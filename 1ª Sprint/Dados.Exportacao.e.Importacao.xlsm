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13_ncr:1_{F99DC3C8-5164-4FD8-B6FF-F3C81BCE9A86}" xr6:coauthVersionLast="47" xr6:coauthVersionMax="47" xr10:uidLastSave="{00000000-0000-0000-0000-000000000000}"/>
  <bookViews>
    <workbookView xWindow="0" yWindow="0" windowWidth="28800" windowHeight="12105" firstSheet="1" activeTab="1" xr2:uid="{82DC2304-4481-4174-AC5E-7F93F932B381}"/>
  </bookViews>
  <sheets>
    <sheet name="Importação" sheetId="1" r:id="rId1"/>
    <sheet name="Exportação" sheetId="2" r:id="rId2"/>
  </sheets>
  <externalReferences>
    <externalReference r:id="rId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</calcChain>
</file>

<file path=xl/sharedStrings.xml><?xml version="1.0" encoding="utf-8"?>
<sst xmlns="http://schemas.openxmlformats.org/spreadsheetml/2006/main" count="9188" uniqueCount="24">
  <si>
    <t>CO_ANO</t>
  </si>
  <si>
    <t>CO_MES</t>
  </si>
  <si>
    <t>SH4</t>
  </si>
  <si>
    <t>CO_PAIS</t>
  </si>
  <si>
    <t>SG_UF_MUN</t>
  </si>
  <si>
    <t>CO_MUN</t>
  </si>
  <si>
    <t>KG_LIQUIDO</t>
  </si>
  <si>
    <t>VL_FOB</t>
  </si>
  <si>
    <t>NO PAIS</t>
  </si>
  <si>
    <t>NO_MUN</t>
  </si>
  <si>
    <t>SP</t>
  </si>
  <si>
    <t>TAUBATE</t>
  </si>
  <si>
    <t>SAO JOSE DOS CAMPOS</t>
  </si>
  <si>
    <t>JACAREI</t>
  </si>
  <si>
    <t>CACAPAVA</t>
  </si>
  <si>
    <t>ANO</t>
  </si>
  <si>
    <t>MES</t>
  </si>
  <si>
    <t>PAIS</t>
  </si>
  <si>
    <t>ESTADO</t>
  </si>
  <si>
    <t>MUNICIPIO</t>
  </si>
  <si>
    <t>KG LIQUIDO</t>
  </si>
  <si>
    <t>VL FOB</t>
  </si>
  <si>
    <t>PAIS3</t>
  </si>
  <si>
    <t>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</si>
</sst>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$-409]#,##0.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6">
    <dxf>
      <numFmt numFmtId="0" formatCode="General"/>
    </dxf>
    <dxf>
      <numFmt numFmtId="165" formatCode="[$$-409]#,##0.00"/>
    </dxf>
    <dxf>
      <numFmt numFmtId="164" formatCode="0.000"/>
    </dxf>
    <dxf>
      <numFmt numFmtId="0" formatCode="General"/>
    </dxf>
    <dxf>
      <numFmt numFmtId="165" formatCode="[$$-409]#,##0.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me%20do%20paix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me do paixs"/>
    </sheetNames>
    <sheetDataSet>
      <sheetData sheetId="0">
        <row r="1">
          <cell r="A1" t="str">
            <v>CO_PAIS</v>
          </cell>
          <cell r="B1" t="str">
            <v>NO_PAIS</v>
          </cell>
        </row>
        <row r="2">
          <cell r="A2">
            <v>0</v>
          </cell>
          <cell r="B2" t="str">
            <v>Não Definido</v>
          </cell>
        </row>
        <row r="3">
          <cell r="A3">
            <v>13</v>
          </cell>
          <cell r="B3" t="str">
            <v>Afeganistão</v>
          </cell>
        </row>
        <row r="4">
          <cell r="A4">
            <v>15</v>
          </cell>
          <cell r="B4" t="str">
            <v>Aland, Ilhas</v>
          </cell>
        </row>
        <row r="5">
          <cell r="A5">
            <v>17</v>
          </cell>
          <cell r="B5" t="str">
            <v>Albânia</v>
          </cell>
        </row>
        <row r="6">
          <cell r="A6">
            <v>20</v>
          </cell>
          <cell r="B6" t="str">
            <v>Alboran-Perejil, Ilhas</v>
          </cell>
        </row>
        <row r="7">
          <cell r="A7">
            <v>23</v>
          </cell>
          <cell r="B7" t="str">
            <v>Alemanha</v>
          </cell>
        </row>
        <row r="8">
          <cell r="A8">
            <v>25</v>
          </cell>
          <cell r="B8" t="str">
            <v>Alemanha Oriental</v>
          </cell>
        </row>
        <row r="9">
          <cell r="A9">
            <v>31</v>
          </cell>
          <cell r="B9" t="str">
            <v>Burkina Faso</v>
          </cell>
        </row>
        <row r="10">
          <cell r="A10">
            <v>37</v>
          </cell>
          <cell r="B10" t="str">
            <v>Andorra</v>
          </cell>
        </row>
        <row r="11">
          <cell r="A11">
            <v>40</v>
          </cell>
          <cell r="B11" t="str">
            <v>Angola</v>
          </cell>
        </row>
        <row r="12">
          <cell r="A12">
            <v>41</v>
          </cell>
          <cell r="B12" t="str">
            <v>Anguilla</v>
          </cell>
        </row>
        <row r="13">
          <cell r="A13">
            <v>42</v>
          </cell>
          <cell r="B13" t="str">
            <v>Antártica</v>
          </cell>
        </row>
        <row r="14">
          <cell r="A14">
            <v>43</v>
          </cell>
          <cell r="B14" t="str">
            <v>Antígua e Barbuda</v>
          </cell>
        </row>
        <row r="15">
          <cell r="A15">
            <v>47</v>
          </cell>
          <cell r="B15" t="str">
            <v>Antilhas Holandesas</v>
          </cell>
        </row>
        <row r="16">
          <cell r="A16">
            <v>53</v>
          </cell>
          <cell r="B16" t="str">
            <v>Arábia Saudita</v>
          </cell>
        </row>
        <row r="17">
          <cell r="A17">
            <v>59</v>
          </cell>
          <cell r="B17" t="str">
            <v>Argélia</v>
          </cell>
        </row>
        <row r="18">
          <cell r="A18">
            <v>63</v>
          </cell>
          <cell r="B18" t="str">
            <v>Argentina</v>
          </cell>
        </row>
        <row r="19">
          <cell r="A19">
            <v>64</v>
          </cell>
          <cell r="B19" t="str">
            <v>Armênia</v>
          </cell>
        </row>
        <row r="20">
          <cell r="A20">
            <v>65</v>
          </cell>
          <cell r="B20" t="str">
            <v>Aruba</v>
          </cell>
        </row>
        <row r="21">
          <cell r="A21">
            <v>69</v>
          </cell>
          <cell r="B21" t="str">
            <v>Austrália</v>
          </cell>
        </row>
        <row r="22">
          <cell r="A22">
            <v>72</v>
          </cell>
          <cell r="B22" t="str">
            <v>Áustria</v>
          </cell>
        </row>
        <row r="23">
          <cell r="A23">
            <v>73</v>
          </cell>
          <cell r="B23" t="str">
            <v>Azerbaijão</v>
          </cell>
        </row>
        <row r="24">
          <cell r="A24">
            <v>77</v>
          </cell>
          <cell r="B24" t="str">
            <v>Bahamas</v>
          </cell>
        </row>
        <row r="25">
          <cell r="A25">
            <v>80</v>
          </cell>
          <cell r="B25" t="str">
            <v>Barein</v>
          </cell>
        </row>
        <row r="26">
          <cell r="A26">
            <v>81</v>
          </cell>
          <cell r="B26" t="str">
            <v>Bangladesh</v>
          </cell>
        </row>
        <row r="27">
          <cell r="A27">
            <v>83</v>
          </cell>
          <cell r="B27" t="str">
            <v>Barbados</v>
          </cell>
        </row>
        <row r="28">
          <cell r="A28">
            <v>85</v>
          </cell>
          <cell r="B28" t="str">
            <v>Belarus</v>
          </cell>
        </row>
        <row r="29">
          <cell r="A29">
            <v>87</v>
          </cell>
          <cell r="B29" t="str">
            <v>Bélgica</v>
          </cell>
        </row>
        <row r="30">
          <cell r="A30">
            <v>88</v>
          </cell>
          <cell r="B30" t="str">
            <v>Belize</v>
          </cell>
        </row>
        <row r="31">
          <cell r="A31">
            <v>90</v>
          </cell>
          <cell r="B31" t="str">
            <v>Bermudas</v>
          </cell>
        </row>
        <row r="32">
          <cell r="A32">
            <v>93</v>
          </cell>
          <cell r="B32" t="str">
            <v>Mianmar</v>
          </cell>
        </row>
        <row r="33">
          <cell r="A33">
            <v>97</v>
          </cell>
          <cell r="B33" t="str">
            <v>Bolívia</v>
          </cell>
        </row>
        <row r="34">
          <cell r="A34">
            <v>98</v>
          </cell>
          <cell r="B34" t="str">
            <v>Bósnia-Herzegovina</v>
          </cell>
        </row>
        <row r="35">
          <cell r="A35">
            <v>99</v>
          </cell>
          <cell r="B35" t="str">
            <v>Bonaire, Saint Eustatius e Saba</v>
          </cell>
        </row>
        <row r="36">
          <cell r="A36">
            <v>100</v>
          </cell>
          <cell r="B36" t="str">
            <v>Internação na Zona Franca de Manaus</v>
          </cell>
        </row>
        <row r="37">
          <cell r="A37">
            <v>101</v>
          </cell>
          <cell r="B37" t="str">
            <v>Botsuana</v>
          </cell>
        </row>
        <row r="38">
          <cell r="A38">
            <v>102</v>
          </cell>
          <cell r="B38" t="str">
            <v>Bouvet, Ilha</v>
          </cell>
        </row>
        <row r="39">
          <cell r="A39">
            <v>105</v>
          </cell>
          <cell r="B39" t="str">
            <v>Brasil</v>
          </cell>
        </row>
        <row r="40">
          <cell r="A40">
            <v>108</v>
          </cell>
          <cell r="B40" t="str">
            <v>Brunei</v>
          </cell>
        </row>
        <row r="41">
          <cell r="A41">
            <v>111</v>
          </cell>
          <cell r="B41" t="str">
            <v>Bulgária</v>
          </cell>
        </row>
        <row r="42">
          <cell r="A42">
            <v>115</v>
          </cell>
          <cell r="B42" t="str">
            <v>Burundi</v>
          </cell>
        </row>
        <row r="43">
          <cell r="A43">
            <v>119</v>
          </cell>
          <cell r="B43" t="str">
            <v>Butão</v>
          </cell>
        </row>
        <row r="44">
          <cell r="A44">
            <v>127</v>
          </cell>
          <cell r="B44" t="str">
            <v>Cabo Verde</v>
          </cell>
        </row>
        <row r="45">
          <cell r="A45">
            <v>137</v>
          </cell>
          <cell r="B45" t="str">
            <v>Cayman, Ilhas</v>
          </cell>
        </row>
        <row r="46">
          <cell r="A46">
            <v>141</v>
          </cell>
          <cell r="B46" t="str">
            <v>Camboja</v>
          </cell>
        </row>
        <row r="47">
          <cell r="A47">
            <v>145</v>
          </cell>
          <cell r="B47" t="str">
            <v>Camarões</v>
          </cell>
        </row>
        <row r="48">
          <cell r="A48">
            <v>149</v>
          </cell>
          <cell r="B48" t="str">
            <v>Canadá</v>
          </cell>
        </row>
        <row r="49">
          <cell r="A49">
            <v>150</v>
          </cell>
          <cell r="B49" t="str">
            <v>Canal, Ilhas do (Guernsey)</v>
          </cell>
        </row>
        <row r="50">
          <cell r="A50">
            <v>151</v>
          </cell>
          <cell r="B50" t="str">
            <v>Canárias, Ilhas</v>
          </cell>
        </row>
        <row r="51">
          <cell r="A51">
            <v>152</v>
          </cell>
          <cell r="B51" t="str">
            <v>Canal, Ilhas do (Jersey)</v>
          </cell>
        </row>
        <row r="52">
          <cell r="A52">
            <v>153</v>
          </cell>
          <cell r="B52" t="str">
            <v>Cazaquistão</v>
          </cell>
        </row>
        <row r="53">
          <cell r="A53">
            <v>154</v>
          </cell>
          <cell r="B53" t="str">
            <v>Catar</v>
          </cell>
        </row>
        <row r="54">
          <cell r="A54">
            <v>158</v>
          </cell>
          <cell r="B54" t="str">
            <v>Chile</v>
          </cell>
        </row>
        <row r="55">
          <cell r="A55">
            <v>160</v>
          </cell>
          <cell r="B55" t="str">
            <v>China</v>
          </cell>
        </row>
        <row r="56">
          <cell r="A56">
            <v>161</v>
          </cell>
          <cell r="B56" t="str">
            <v>Taiwan (Formosa)</v>
          </cell>
        </row>
        <row r="57">
          <cell r="A57">
            <v>163</v>
          </cell>
          <cell r="B57" t="str">
            <v>Chipre</v>
          </cell>
        </row>
        <row r="58">
          <cell r="A58">
            <v>165</v>
          </cell>
          <cell r="B58" t="str">
            <v>Cocos (Keeling), Ilhas</v>
          </cell>
        </row>
        <row r="59">
          <cell r="A59">
            <v>169</v>
          </cell>
          <cell r="B59" t="str">
            <v>Colômbia</v>
          </cell>
        </row>
        <row r="60">
          <cell r="A60">
            <v>173</v>
          </cell>
          <cell r="B60" t="str">
            <v>Comores</v>
          </cell>
        </row>
        <row r="61">
          <cell r="A61">
            <v>177</v>
          </cell>
          <cell r="B61" t="str">
            <v>Congo</v>
          </cell>
        </row>
        <row r="62">
          <cell r="A62">
            <v>183</v>
          </cell>
          <cell r="B62" t="str">
            <v>Cook, Ilhas</v>
          </cell>
        </row>
        <row r="63">
          <cell r="A63">
            <v>187</v>
          </cell>
          <cell r="B63" t="str">
            <v>Coreia do Norte</v>
          </cell>
        </row>
        <row r="64">
          <cell r="A64">
            <v>190</v>
          </cell>
          <cell r="B64" t="str">
            <v>Coreia do Sul</v>
          </cell>
        </row>
        <row r="65">
          <cell r="A65">
            <v>193</v>
          </cell>
          <cell r="B65" t="str">
            <v>Costa do Marfim</v>
          </cell>
        </row>
        <row r="66">
          <cell r="A66">
            <v>195</v>
          </cell>
          <cell r="B66" t="str">
            <v>Croácia</v>
          </cell>
        </row>
        <row r="67">
          <cell r="A67">
            <v>196</v>
          </cell>
          <cell r="B67" t="str">
            <v>Costa Rica</v>
          </cell>
        </row>
        <row r="68">
          <cell r="A68">
            <v>198</v>
          </cell>
          <cell r="B68" t="str">
            <v>Coveite (Kuweit)</v>
          </cell>
        </row>
        <row r="69">
          <cell r="A69">
            <v>199</v>
          </cell>
          <cell r="B69" t="str">
            <v>Cuba</v>
          </cell>
        </row>
        <row r="70">
          <cell r="A70">
            <v>200</v>
          </cell>
          <cell r="B70" t="str">
            <v>Curaçao</v>
          </cell>
        </row>
        <row r="71">
          <cell r="A71">
            <v>229</v>
          </cell>
          <cell r="B71" t="str">
            <v>Benin</v>
          </cell>
        </row>
        <row r="72">
          <cell r="A72">
            <v>232</v>
          </cell>
          <cell r="B72" t="str">
            <v>Dinamarca</v>
          </cell>
        </row>
        <row r="73">
          <cell r="A73">
            <v>235</v>
          </cell>
          <cell r="B73" t="str">
            <v>Dominica</v>
          </cell>
        </row>
        <row r="74">
          <cell r="A74">
            <v>237</v>
          </cell>
          <cell r="B74" t="str">
            <v>Dubai</v>
          </cell>
        </row>
        <row r="75">
          <cell r="A75">
            <v>239</v>
          </cell>
          <cell r="B75" t="str">
            <v>Equador</v>
          </cell>
        </row>
        <row r="76">
          <cell r="A76">
            <v>240</v>
          </cell>
          <cell r="B76" t="str">
            <v>Egito</v>
          </cell>
        </row>
        <row r="77">
          <cell r="A77">
            <v>243</v>
          </cell>
          <cell r="B77" t="str">
            <v>Eritreia</v>
          </cell>
        </row>
        <row r="78">
          <cell r="A78">
            <v>244</v>
          </cell>
          <cell r="B78" t="str">
            <v>Emirados Árabes Unidos</v>
          </cell>
        </row>
        <row r="79">
          <cell r="A79">
            <v>245</v>
          </cell>
          <cell r="B79" t="str">
            <v>Espanha</v>
          </cell>
        </row>
        <row r="80">
          <cell r="A80">
            <v>246</v>
          </cell>
          <cell r="B80" t="str">
            <v>Eslovênia</v>
          </cell>
        </row>
        <row r="81">
          <cell r="A81">
            <v>247</v>
          </cell>
          <cell r="B81" t="str">
            <v>Eslováquia</v>
          </cell>
        </row>
        <row r="82">
          <cell r="A82">
            <v>249</v>
          </cell>
          <cell r="B82" t="str">
            <v>Estados Unidos</v>
          </cell>
        </row>
        <row r="83">
          <cell r="A83">
            <v>251</v>
          </cell>
          <cell r="B83" t="str">
            <v>Estônia</v>
          </cell>
        </row>
        <row r="84">
          <cell r="A84">
            <v>253</v>
          </cell>
          <cell r="B84" t="str">
            <v>Etiópia</v>
          </cell>
        </row>
        <row r="85">
          <cell r="A85">
            <v>255</v>
          </cell>
          <cell r="B85" t="str">
            <v>Falkland (Malvinas)</v>
          </cell>
        </row>
        <row r="86">
          <cell r="A86">
            <v>259</v>
          </cell>
          <cell r="B86" t="str">
            <v>Faroe, Ilhas</v>
          </cell>
        </row>
        <row r="87">
          <cell r="A87">
            <v>267</v>
          </cell>
          <cell r="B87" t="str">
            <v>Filipinas</v>
          </cell>
        </row>
        <row r="88">
          <cell r="A88">
            <v>271</v>
          </cell>
          <cell r="B88" t="str">
            <v>Finlândia</v>
          </cell>
        </row>
        <row r="89">
          <cell r="A89">
            <v>275</v>
          </cell>
          <cell r="B89" t="str">
            <v>França</v>
          </cell>
        </row>
        <row r="90">
          <cell r="A90">
            <v>281</v>
          </cell>
          <cell r="B90" t="str">
            <v>Gabão</v>
          </cell>
        </row>
        <row r="91">
          <cell r="A91">
            <v>285</v>
          </cell>
          <cell r="B91" t="str">
            <v>Gâmbia</v>
          </cell>
        </row>
        <row r="92">
          <cell r="A92">
            <v>289</v>
          </cell>
          <cell r="B92" t="str">
            <v>Gana</v>
          </cell>
        </row>
        <row r="93">
          <cell r="A93">
            <v>291</v>
          </cell>
          <cell r="B93" t="str">
            <v>Geórgia</v>
          </cell>
        </row>
        <row r="94">
          <cell r="A94">
            <v>292</v>
          </cell>
          <cell r="B94" t="str">
            <v>Geórgia do Sul e Sandwich do Sul, Ilhas</v>
          </cell>
        </row>
        <row r="95">
          <cell r="A95">
            <v>293</v>
          </cell>
          <cell r="B95" t="str">
            <v>Gibraltar</v>
          </cell>
        </row>
        <row r="96">
          <cell r="A96">
            <v>297</v>
          </cell>
          <cell r="B96" t="str">
            <v>Granada</v>
          </cell>
        </row>
        <row r="97">
          <cell r="A97">
            <v>301</v>
          </cell>
          <cell r="B97" t="str">
            <v>Grécia</v>
          </cell>
        </row>
        <row r="98">
          <cell r="A98">
            <v>305</v>
          </cell>
          <cell r="B98" t="str">
            <v>Groenlândia</v>
          </cell>
        </row>
        <row r="99">
          <cell r="A99">
            <v>309</v>
          </cell>
          <cell r="B99" t="str">
            <v>Guadalupe</v>
          </cell>
        </row>
        <row r="100">
          <cell r="A100">
            <v>313</v>
          </cell>
          <cell r="B100" t="str">
            <v>Guam</v>
          </cell>
        </row>
        <row r="101">
          <cell r="A101">
            <v>317</v>
          </cell>
          <cell r="B101" t="str">
            <v>Guatemala</v>
          </cell>
        </row>
        <row r="102">
          <cell r="A102">
            <v>321</v>
          </cell>
          <cell r="B102" t="str">
            <v>Guernsey</v>
          </cell>
        </row>
        <row r="103">
          <cell r="A103">
            <v>325</v>
          </cell>
          <cell r="B103" t="str">
            <v>Guiana Francesa</v>
          </cell>
        </row>
        <row r="104">
          <cell r="A104">
            <v>329</v>
          </cell>
          <cell r="B104" t="str">
            <v>Guiné</v>
          </cell>
        </row>
        <row r="105">
          <cell r="A105">
            <v>331</v>
          </cell>
          <cell r="B105" t="str">
            <v>Guiné Equatorial</v>
          </cell>
        </row>
        <row r="106">
          <cell r="A106">
            <v>334</v>
          </cell>
          <cell r="B106" t="str">
            <v>Guiné-Bissau</v>
          </cell>
        </row>
        <row r="107">
          <cell r="A107">
            <v>337</v>
          </cell>
          <cell r="B107" t="str">
            <v>Guiana</v>
          </cell>
        </row>
        <row r="108">
          <cell r="A108">
            <v>341</v>
          </cell>
          <cell r="B108" t="str">
            <v>Haiti</v>
          </cell>
        </row>
        <row r="109">
          <cell r="A109">
            <v>343</v>
          </cell>
          <cell r="B109" t="str">
            <v>Heard e ilhas mcdonald, Ilha</v>
          </cell>
        </row>
        <row r="110">
          <cell r="A110">
            <v>345</v>
          </cell>
          <cell r="B110" t="str">
            <v>Honduras</v>
          </cell>
        </row>
        <row r="111">
          <cell r="A111">
            <v>351</v>
          </cell>
          <cell r="B111" t="str">
            <v>Hong Kong</v>
          </cell>
        </row>
        <row r="112">
          <cell r="A112">
            <v>355</v>
          </cell>
          <cell r="B112" t="str">
            <v>Hungria</v>
          </cell>
        </row>
        <row r="113">
          <cell r="A113">
            <v>357</v>
          </cell>
          <cell r="B113" t="str">
            <v>Iêmen</v>
          </cell>
        </row>
        <row r="114">
          <cell r="A114">
            <v>358</v>
          </cell>
          <cell r="B114" t="str">
            <v>Iêmen Democrático</v>
          </cell>
        </row>
        <row r="115">
          <cell r="A115">
            <v>359</v>
          </cell>
          <cell r="B115" t="str">
            <v>Ilha de Man</v>
          </cell>
        </row>
        <row r="116">
          <cell r="A116">
            <v>361</v>
          </cell>
          <cell r="B116" t="str">
            <v>Índia</v>
          </cell>
        </row>
        <row r="117">
          <cell r="A117">
            <v>365</v>
          </cell>
          <cell r="B117" t="str">
            <v>Indonésia</v>
          </cell>
        </row>
        <row r="118">
          <cell r="A118">
            <v>367</v>
          </cell>
          <cell r="B118" t="str">
            <v>Inglaterra</v>
          </cell>
        </row>
        <row r="119">
          <cell r="A119">
            <v>369</v>
          </cell>
          <cell r="B119" t="str">
            <v>Iraque</v>
          </cell>
        </row>
        <row r="120">
          <cell r="A120">
            <v>372</v>
          </cell>
          <cell r="B120" t="str">
            <v>Irã</v>
          </cell>
        </row>
        <row r="121">
          <cell r="A121">
            <v>375</v>
          </cell>
          <cell r="B121" t="str">
            <v>Irlanda</v>
          </cell>
        </row>
        <row r="122">
          <cell r="A122">
            <v>379</v>
          </cell>
          <cell r="B122" t="str">
            <v>Islândia</v>
          </cell>
        </row>
        <row r="123">
          <cell r="A123">
            <v>383</v>
          </cell>
          <cell r="B123" t="str">
            <v>Israel</v>
          </cell>
        </row>
        <row r="124">
          <cell r="A124">
            <v>386</v>
          </cell>
          <cell r="B124" t="str">
            <v>Itália</v>
          </cell>
        </row>
        <row r="125">
          <cell r="A125">
            <v>388</v>
          </cell>
          <cell r="B125" t="str">
            <v>Iugoslávia</v>
          </cell>
        </row>
        <row r="126">
          <cell r="A126">
            <v>391</v>
          </cell>
          <cell r="B126" t="str">
            <v>Jamaica</v>
          </cell>
        </row>
        <row r="127">
          <cell r="A127">
            <v>393</v>
          </cell>
          <cell r="B127" t="str">
            <v>Jersey</v>
          </cell>
        </row>
        <row r="128">
          <cell r="A128">
            <v>396</v>
          </cell>
          <cell r="B128" t="str">
            <v>Johnston, Ilhas</v>
          </cell>
        </row>
        <row r="129">
          <cell r="A129">
            <v>399</v>
          </cell>
          <cell r="B129" t="str">
            <v>Japão</v>
          </cell>
        </row>
        <row r="130">
          <cell r="A130">
            <v>403</v>
          </cell>
          <cell r="B130" t="str">
            <v>Jordânia</v>
          </cell>
        </row>
        <row r="131">
          <cell r="A131">
            <v>411</v>
          </cell>
          <cell r="B131" t="str">
            <v>Kiribati</v>
          </cell>
        </row>
        <row r="132">
          <cell r="A132">
            <v>420</v>
          </cell>
          <cell r="B132" t="str">
            <v>Laos</v>
          </cell>
        </row>
        <row r="133">
          <cell r="A133">
            <v>423</v>
          </cell>
          <cell r="B133" t="str">
            <v>Lebuan, Ilhas</v>
          </cell>
        </row>
        <row r="134">
          <cell r="A134">
            <v>426</v>
          </cell>
          <cell r="B134" t="str">
            <v>Lesoto</v>
          </cell>
        </row>
        <row r="135">
          <cell r="A135">
            <v>427</v>
          </cell>
          <cell r="B135" t="str">
            <v>Letônia</v>
          </cell>
        </row>
        <row r="136">
          <cell r="A136">
            <v>431</v>
          </cell>
          <cell r="B136" t="str">
            <v>Líbano</v>
          </cell>
        </row>
        <row r="137">
          <cell r="A137">
            <v>434</v>
          </cell>
          <cell r="B137" t="str">
            <v>Libéria</v>
          </cell>
        </row>
        <row r="138">
          <cell r="A138">
            <v>438</v>
          </cell>
          <cell r="B138" t="str">
            <v>Líbia</v>
          </cell>
        </row>
        <row r="139">
          <cell r="A139">
            <v>440</v>
          </cell>
          <cell r="B139" t="str">
            <v>Liechtenstein</v>
          </cell>
        </row>
        <row r="140">
          <cell r="A140">
            <v>442</v>
          </cell>
          <cell r="B140" t="str">
            <v>Lituânia</v>
          </cell>
        </row>
        <row r="141">
          <cell r="A141">
            <v>445</v>
          </cell>
          <cell r="B141" t="str">
            <v>Luxemburgo</v>
          </cell>
        </row>
        <row r="142">
          <cell r="A142">
            <v>447</v>
          </cell>
          <cell r="B142" t="str">
            <v>Macau</v>
          </cell>
        </row>
        <row r="143">
          <cell r="A143">
            <v>449</v>
          </cell>
          <cell r="B143" t="str">
            <v>Macedônia</v>
          </cell>
        </row>
        <row r="144">
          <cell r="A144">
            <v>450</v>
          </cell>
          <cell r="B144" t="str">
            <v>Madagascar</v>
          </cell>
        </row>
        <row r="145">
          <cell r="A145">
            <v>452</v>
          </cell>
          <cell r="B145" t="str">
            <v>Madeira, Ilha da</v>
          </cell>
        </row>
        <row r="146">
          <cell r="A146">
            <v>455</v>
          </cell>
          <cell r="B146" t="str">
            <v>Malásia</v>
          </cell>
        </row>
        <row r="147">
          <cell r="A147">
            <v>458</v>
          </cell>
          <cell r="B147" t="str">
            <v>Malavi</v>
          </cell>
        </row>
        <row r="148">
          <cell r="A148">
            <v>461</v>
          </cell>
          <cell r="B148" t="str">
            <v>Maldivas</v>
          </cell>
        </row>
        <row r="149">
          <cell r="A149">
            <v>464</v>
          </cell>
          <cell r="B149" t="str">
            <v>Mali</v>
          </cell>
        </row>
        <row r="150">
          <cell r="A150">
            <v>467</v>
          </cell>
          <cell r="B150" t="str">
            <v>Malta</v>
          </cell>
        </row>
        <row r="151">
          <cell r="A151">
            <v>472</v>
          </cell>
          <cell r="B151" t="str">
            <v>Marianas do Norte, Ilhas</v>
          </cell>
        </row>
        <row r="152">
          <cell r="A152">
            <v>474</v>
          </cell>
          <cell r="B152" t="str">
            <v>Marrocos</v>
          </cell>
        </row>
        <row r="153">
          <cell r="A153">
            <v>476</v>
          </cell>
          <cell r="B153" t="str">
            <v>Marshall, Ilhas</v>
          </cell>
        </row>
        <row r="154">
          <cell r="A154">
            <v>477</v>
          </cell>
          <cell r="B154" t="str">
            <v>Martinica</v>
          </cell>
        </row>
        <row r="155">
          <cell r="A155">
            <v>485</v>
          </cell>
          <cell r="B155" t="str">
            <v>Maurício</v>
          </cell>
        </row>
        <row r="156">
          <cell r="A156">
            <v>488</v>
          </cell>
          <cell r="B156" t="str">
            <v>Mauritânia</v>
          </cell>
        </row>
        <row r="157">
          <cell r="A157">
            <v>489</v>
          </cell>
          <cell r="B157" t="str">
            <v>Mayotte</v>
          </cell>
        </row>
        <row r="158">
          <cell r="A158">
            <v>490</v>
          </cell>
          <cell r="B158" t="str">
            <v>Midway, Ilhas</v>
          </cell>
        </row>
        <row r="159">
          <cell r="A159">
            <v>493</v>
          </cell>
          <cell r="B159" t="str">
            <v>México</v>
          </cell>
        </row>
        <row r="160">
          <cell r="A160">
            <v>494</v>
          </cell>
          <cell r="B160" t="str">
            <v>Moldávia</v>
          </cell>
        </row>
        <row r="161">
          <cell r="A161">
            <v>495</v>
          </cell>
          <cell r="B161" t="str">
            <v>Mônaco</v>
          </cell>
        </row>
        <row r="162">
          <cell r="A162">
            <v>497</v>
          </cell>
          <cell r="B162" t="str">
            <v>Mongólia</v>
          </cell>
        </row>
        <row r="163">
          <cell r="A163">
            <v>498</v>
          </cell>
          <cell r="B163" t="str">
            <v>Montenegro</v>
          </cell>
        </row>
        <row r="164">
          <cell r="A164">
            <v>499</v>
          </cell>
          <cell r="B164" t="str">
            <v>Micronésia</v>
          </cell>
        </row>
        <row r="165">
          <cell r="A165">
            <v>501</v>
          </cell>
          <cell r="B165" t="str">
            <v>Montserrat</v>
          </cell>
        </row>
        <row r="166">
          <cell r="A166">
            <v>505</v>
          </cell>
          <cell r="B166" t="str">
            <v>Moçambique</v>
          </cell>
        </row>
        <row r="167">
          <cell r="A167">
            <v>507</v>
          </cell>
          <cell r="B167" t="str">
            <v>Namíbia</v>
          </cell>
        </row>
        <row r="168">
          <cell r="A168">
            <v>508</v>
          </cell>
          <cell r="B168" t="str">
            <v>Nauru</v>
          </cell>
        </row>
        <row r="169">
          <cell r="A169">
            <v>511</v>
          </cell>
          <cell r="B169" t="str">
            <v>Christmas (Navidad), Ilha</v>
          </cell>
        </row>
        <row r="170">
          <cell r="A170">
            <v>517</v>
          </cell>
          <cell r="B170" t="str">
            <v>Nepal</v>
          </cell>
        </row>
        <row r="171">
          <cell r="A171">
            <v>521</v>
          </cell>
          <cell r="B171" t="str">
            <v>Nicarágua</v>
          </cell>
        </row>
        <row r="172">
          <cell r="A172">
            <v>525</v>
          </cell>
          <cell r="B172" t="str">
            <v>Níger</v>
          </cell>
        </row>
        <row r="173">
          <cell r="A173">
            <v>528</v>
          </cell>
          <cell r="B173" t="str">
            <v>Nigéria</v>
          </cell>
        </row>
        <row r="174">
          <cell r="A174">
            <v>531</v>
          </cell>
          <cell r="B174" t="str">
            <v>Niue</v>
          </cell>
        </row>
        <row r="175">
          <cell r="A175">
            <v>535</v>
          </cell>
          <cell r="B175" t="str">
            <v>Norfolk, Ilha</v>
          </cell>
        </row>
        <row r="176">
          <cell r="A176">
            <v>538</v>
          </cell>
          <cell r="B176" t="str">
            <v>Noruega</v>
          </cell>
        </row>
        <row r="177">
          <cell r="A177">
            <v>542</v>
          </cell>
          <cell r="B177" t="str">
            <v>Nova Caledônia</v>
          </cell>
        </row>
        <row r="178">
          <cell r="A178">
            <v>545</v>
          </cell>
          <cell r="B178" t="str">
            <v>Papua Nova Guiné</v>
          </cell>
        </row>
        <row r="179">
          <cell r="A179">
            <v>548</v>
          </cell>
          <cell r="B179" t="str">
            <v>Nova Zelândia</v>
          </cell>
        </row>
        <row r="180">
          <cell r="A180">
            <v>551</v>
          </cell>
          <cell r="B180" t="str">
            <v>Vanuatu</v>
          </cell>
        </row>
        <row r="181">
          <cell r="A181">
            <v>556</v>
          </cell>
          <cell r="B181" t="str">
            <v>Omã</v>
          </cell>
        </row>
        <row r="182">
          <cell r="A182">
            <v>563</v>
          </cell>
          <cell r="B182" t="str">
            <v>Pacífico, Ilhas do (Administração dos EUA)</v>
          </cell>
        </row>
        <row r="183">
          <cell r="A183">
            <v>566</v>
          </cell>
          <cell r="B183" t="str">
            <v>Pacífico, Ilhas do (EUA)</v>
          </cell>
        </row>
        <row r="184">
          <cell r="A184">
            <v>569</v>
          </cell>
          <cell r="B184" t="str">
            <v>Pacífico, Ilhas do (Território Fideicomisso EUA)</v>
          </cell>
        </row>
        <row r="185">
          <cell r="A185">
            <v>573</v>
          </cell>
          <cell r="B185" t="str">
            <v>Países Baixos (Holanda)</v>
          </cell>
        </row>
        <row r="186">
          <cell r="A186">
            <v>575</v>
          </cell>
          <cell r="B186" t="str">
            <v>Palau</v>
          </cell>
        </row>
        <row r="187">
          <cell r="A187">
            <v>576</v>
          </cell>
          <cell r="B187" t="str">
            <v>Paquistão</v>
          </cell>
        </row>
        <row r="188">
          <cell r="A188">
            <v>578</v>
          </cell>
          <cell r="B188" t="str">
            <v>Palestina</v>
          </cell>
        </row>
        <row r="189">
          <cell r="A189">
            <v>580</v>
          </cell>
          <cell r="B189" t="str">
            <v>Panamá</v>
          </cell>
        </row>
        <row r="190">
          <cell r="A190">
            <v>583</v>
          </cell>
          <cell r="B190" t="str">
            <v>Papua, Território de</v>
          </cell>
        </row>
        <row r="191">
          <cell r="A191">
            <v>586</v>
          </cell>
          <cell r="B191" t="str">
            <v>Paraguai</v>
          </cell>
        </row>
        <row r="192">
          <cell r="A192">
            <v>589</v>
          </cell>
          <cell r="B192" t="str">
            <v>Peru</v>
          </cell>
        </row>
        <row r="193">
          <cell r="A193">
            <v>593</v>
          </cell>
          <cell r="B193" t="str">
            <v>Pitcairn</v>
          </cell>
        </row>
        <row r="194">
          <cell r="A194">
            <v>599</v>
          </cell>
          <cell r="B194" t="str">
            <v>Polinésia Francesa</v>
          </cell>
        </row>
        <row r="195">
          <cell r="A195">
            <v>603</v>
          </cell>
          <cell r="B195" t="str">
            <v>Polônia</v>
          </cell>
        </row>
        <row r="196">
          <cell r="A196">
            <v>607</v>
          </cell>
          <cell r="B196" t="str">
            <v>Portugal</v>
          </cell>
        </row>
        <row r="197">
          <cell r="A197">
            <v>611</v>
          </cell>
          <cell r="B197" t="str">
            <v>Porto Rico</v>
          </cell>
        </row>
        <row r="198">
          <cell r="A198">
            <v>623</v>
          </cell>
          <cell r="B198" t="str">
            <v>Quênia</v>
          </cell>
        </row>
        <row r="199">
          <cell r="A199">
            <v>625</v>
          </cell>
          <cell r="B199" t="str">
            <v>Quirguistão</v>
          </cell>
        </row>
        <row r="200">
          <cell r="A200">
            <v>628</v>
          </cell>
          <cell r="B200" t="str">
            <v>Reino Unido</v>
          </cell>
        </row>
        <row r="201">
          <cell r="A201">
            <v>640</v>
          </cell>
          <cell r="B201" t="str">
            <v>República Centro-Africana</v>
          </cell>
        </row>
        <row r="202">
          <cell r="A202">
            <v>647</v>
          </cell>
          <cell r="B202" t="str">
            <v>República Dominicana</v>
          </cell>
        </row>
        <row r="203">
          <cell r="A203">
            <v>660</v>
          </cell>
          <cell r="B203" t="str">
            <v>Reunião</v>
          </cell>
        </row>
        <row r="204">
          <cell r="A204">
            <v>665</v>
          </cell>
          <cell r="B204" t="str">
            <v>Zimbábue</v>
          </cell>
        </row>
        <row r="205">
          <cell r="A205">
            <v>670</v>
          </cell>
          <cell r="B205" t="str">
            <v>Romênia</v>
          </cell>
        </row>
        <row r="206">
          <cell r="A206">
            <v>675</v>
          </cell>
          <cell r="B206" t="str">
            <v>Ruanda</v>
          </cell>
        </row>
        <row r="207">
          <cell r="A207">
            <v>676</v>
          </cell>
          <cell r="B207" t="str">
            <v>Rússia</v>
          </cell>
        </row>
        <row r="208">
          <cell r="A208">
            <v>677</v>
          </cell>
          <cell r="B208" t="str">
            <v>Salomão, Ilhas</v>
          </cell>
        </row>
        <row r="209">
          <cell r="A209">
            <v>678</v>
          </cell>
          <cell r="B209" t="str">
            <v>Saint Kitts e Nevis</v>
          </cell>
        </row>
        <row r="210">
          <cell r="A210">
            <v>685</v>
          </cell>
          <cell r="B210" t="str">
            <v>Saara Ocidental</v>
          </cell>
        </row>
        <row r="211">
          <cell r="A211">
            <v>687</v>
          </cell>
          <cell r="B211" t="str">
            <v>El Salvador</v>
          </cell>
        </row>
        <row r="212">
          <cell r="A212">
            <v>690</v>
          </cell>
          <cell r="B212" t="str">
            <v>Samoa</v>
          </cell>
        </row>
        <row r="213">
          <cell r="A213">
            <v>691</v>
          </cell>
          <cell r="B213" t="str">
            <v>Samoa Americana</v>
          </cell>
        </row>
        <row r="214">
          <cell r="A214">
            <v>693</v>
          </cell>
          <cell r="B214" t="str">
            <v>São Bartolomeu</v>
          </cell>
        </row>
        <row r="215">
          <cell r="A215">
            <v>695</v>
          </cell>
          <cell r="B215" t="str">
            <v>São Cristóvão e Névis</v>
          </cell>
        </row>
        <row r="216">
          <cell r="A216">
            <v>697</v>
          </cell>
          <cell r="B216" t="str">
            <v>San Marino</v>
          </cell>
        </row>
        <row r="217">
          <cell r="A217">
            <v>698</v>
          </cell>
          <cell r="B217" t="str">
            <v>São Martinho, Ilha de (parte francesa)</v>
          </cell>
        </row>
        <row r="218">
          <cell r="A218">
            <v>699</v>
          </cell>
          <cell r="B218" t="str">
            <v>Sint Maarten</v>
          </cell>
        </row>
        <row r="219">
          <cell r="A219">
            <v>700</v>
          </cell>
          <cell r="B219" t="str">
            <v>São Pedro e Miquelon</v>
          </cell>
        </row>
        <row r="220">
          <cell r="A220">
            <v>705</v>
          </cell>
          <cell r="B220" t="str">
            <v>São Vicente e Granadinas</v>
          </cell>
        </row>
        <row r="221">
          <cell r="A221">
            <v>710</v>
          </cell>
          <cell r="B221" t="str">
            <v>Santa Helena</v>
          </cell>
        </row>
        <row r="222">
          <cell r="A222">
            <v>715</v>
          </cell>
          <cell r="B222" t="str">
            <v>Santa Lúcia</v>
          </cell>
        </row>
        <row r="223">
          <cell r="A223">
            <v>720</v>
          </cell>
          <cell r="B223" t="str">
            <v>São Tomé e Príncipe</v>
          </cell>
        </row>
        <row r="224">
          <cell r="A224">
            <v>728</v>
          </cell>
          <cell r="B224" t="str">
            <v>Senegal</v>
          </cell>
        </row>
        <row r="225">
          <cell r="A225">
            <v>731</v>
          </cell>
          <cell r="B225" t="str">
            <v>Seicheles</v>
          </cell>
        </row>
        <row r="226">
          <cell r="A226">
            <v>735</v>
          </cell>
          <cell r="B226" t="str">
            <v>Serra Leoa</v>
          </cell>
        </row>
        <row r="227">
          <cell r="A227">
            <v>737</v>
          </cell>
          <cell r="B227" t="str">
            <v>Sérvia</v>
          </cell>
        </row>
        <row r="228">
          <cell r="A228">
            <v>741</v>
          </cell>
          <cell r="B228" t="str">
            <v>Singapura</v>
          </cell>
        </row>
        <row r="229">
          <cell r="A229">
            <v>744</v>
          </cell>
          <cell r="B229" t="str">
            <v>Síria</v>
          </cell>
        </row>
        <row r="230">
          <cell r="A230">
            <v>748</v>
          </cell>
          <cell r="B230" t="str">
            <v>Somália</v>
          </cell>
        </row>
        <row r="231">
          <cell r="A231">
            <v>750</v>
          </cell>
          <cell r="B231" t="str">
            <v>Sri Lanka</v>
          </cell>
        </row>
        <row r="232">
          <cell r="A232">
            <v>754</v>
          </cell>
          <cell r="B232" t="str">
            <v>Suazilândia</v>
          </cell>
        </row>
        <row r="233">
          <cell r="A233">
            <v>755</v>
          </cell>
          <cell r="B233" t="str">
            <v>Svalbard e Jan Mayen</v>
          </cell>
        </row>
        <row r="234">
          <cell r="A234">
            <v>756</v>
          </cell>
          <cell r="B234" t="str">
            <v>África do Sul</v>
          </cell>
        </row>
        <row r="235">
          <cell r="A235">
            <v>759</v>
          </cell>
          <cell r="B235" t="str">
            <v>Sudão</v>
          </cell>
        </row>
        <row r="236">
          <cell r="A236">
            <v>760</v>
          </cell>
          <cell r="B236" t="str">
            <v>Sudão do Sul</v>
          </cell>
        </row>
        <row r="237">
          <cell r="A237">
            <v>764</v>
          </cell>
          <cell r="B237" t="str">
            <v>Suécia</v>
          </cell>
        </row>
        <row r="238">
          <cell r="A238">
            <v>767</v>
          </cell>
          <cell r="B238" t="str">
            <v>Suíça</v>
          </cell>
        </row>
        <row r="239">
          <cell r="A239">
            <v>770</v>
          </cell>
          <cell r="B239" t="str">
            <v>Suriname</v>
          </cell>
        </row>
        <row r="240">
          <cell r="A240">
            <v>772</v>
          </cell>
          <cell r="B240" t="str">
            <v>Tadjiquistão</v>
          </cell>
        </row>
        <row r="241">
          <cell r="A241">
            <v>776</v>
          </cell>
          <cell r="B241" t="str">
            <v>Tailândia</v>
          </cell>
        </row>
        <row r="242">
          <cell r="A242">
            <v>780</v>
          </cell>
          <cell r="B242" t="str">
            <v>Tanzânia</v>
          </cell>
        </row>
        <row r="243">
          <cell r="A243">
            <v>781</v>
          </cell>
          <cell r="B243" t="str">
            <v>Terras Austrais Francesas</v>
          </cell>
        </row>
        <row r="244">
          <cell r="A244">
            <v>782</v>
          </cell>
          <cell r="B244" t="str">
            <v>Território Britânico do Oceano Índico</v>
          </cell>
        </row>
        <row r="245">
          <cell r="A245">
            <v>783</v>
          </cell>
          <cell r="B245" t="str">
            <v>Djibuti</v>
          </cell>
        </row>
        <row r="246">
          <cell r="A246">
            <v>785</v>
          </cell>
          <cell r="B246" t="str">
            <v>Território da Alta Comissão do Pacífico Ocidental</v>
          </cell>
        </row>
        <row r="247">
          <cell r="A247">
            <v>786</v>
          </cell>
          <cell r="B247" t="str">
            <v>Território Antártico Britânico</v>
          </cell>
        </row>
        <row r="248">
          <cell r="A248">
            <v>788</v>
          </cell>
          <cell r="B248" t="str">
            <v>Chade</v>
          </cell>
        </row>
        <row r="249">
          <cell r="A249">
            <v>790</v>
          </cell>
          <cell r="B249" t="str">
            <v>Tchecoslováquia</v>
          </cell>
        </row>
        <row r="250">
          <cell r="A250">
            <v>791</v>
          </cell>
          <cell r="B250" t="str">
            <v>Tcheca, República</v>
          </cell>
        </row>
        <row r="251">
          <cell r="A251">
            <v>795</v>
          </cell>
          <cell r="B251" t="str">
            <v>Timor Leste</v>
          </cell>
        </row>
        <row r="252">
          <cell r="A252">
            <v>800</v>
          </cell>
          <cell r="B252" t="str">
            <v>Togo</v>
          </cell>
        </row>
        <row r="253">
          <cell r="A253">
            <v>805</v>
          </cell>
          <cell r="B253" t="str">
            <v>Toquelau</v>
          </cell>
        </row>
        <row r="254">
          <cell r="A254">
            <v>810</v>
          </cell>
          <cell r="B254" t="str">
            <v>Tonga</v>
          </cell>
        </row>
        <row r="255">
          <cell r="A255">
            <v>815</v>
          </cell>
          <cell r="B255" t="str">
            <v>Trinidad e Tobago</v>
          </cell>
        </row>
        <row r="256">
          <cell r="A256">
            <v>820</v>
          </cell>
          <cell r="B256" t="str">
            <v>Tunísia</v>
          </cell>
        </row>
        <row r="257">
          <cell r="A257">
            <v>823</v>
          </cell>
          <cell r="B257" t="str">
            <v>Turcas e Caicos, Ilhas</v>
          </cell>
        </row>
        <row r="258">
          <cell r="A258">
            <v>824</v>
          </cell>
          <cell r="B258" t="str">
            <v>Turcomenistão</v>
          </cell>
        </row>
        <row r="259">
          <cell r="A259">
            <v>827</v>
          </cell>
          <cell r="B259" t="str">
            <v>Turquia</v>
          </cell>
        </row>
        <row r="260">
          <cell r="A260">
            <v>828</v>
          </cell>
          <cell r="B260" t="str">
            <v>Tuvalu</v>
          </cell>
        </row>
        <row r="261">
          <cell r="A261">
            <v>831</v>
          </cell>
          <cell r="B261" t="str">
            <v>Ucrânia</v>
          </cell>
        </row>
        <row r="262">
          <cell r="A262">
            <v>833</v>
          </cell>
          <cell r="B262" t="str">
            <v>Uganda</v>
          </cell>
        </row>
        <row r="263">
          <cell r="A263">
            <v>840</v>
          </cell>
          <cell r="B263" t="str">
            <v>União das Repúblicas Socialistas Soviéticas</v>
          </cell>
        </row>
        <row r="264">
          <cell r="A264">
            <v>845</v>
          </cell>
          <cell r="B264" t="str">
            <v>Uruguai</v>
          </cell>
        </row>
        <row r="265">
          <cell r="A265">
            <v>847</v>
          </cell>
          <cell r="B265" t="str">
            <v>Uzbequistão</v>
          </cell>
        </row>
        <row r="266">
          <cell r="A266">
            <v>848</v>
          </cell>
          <cell r="B266" t="str">
            <v>Vaticano</v>
          </cell>
        </row>
        <row r="267">
          <cell r="A267">
            <v>850</v>
          </cell>
          <cell r="B267" t="str">
            <v>Venezuela</v>
          </cell>
        </row>
        <row r="268">
          <cell r="A268">
            <v>858</v>
          </cell>
          <cell r="B268" t="str">
            <v>Vietnã</v>
          </cell>
        </row>
        <row r="269">
          <cell r="A269">
            <v>863</v>
          </cell>
          <cell r="B269" t="str">
            <v>Virgens, Ilhas (Britânicas)</v>
          </cell>
        </row>
        <row r="270">
          <cell r="A270">
            <v>866</v>
          </cell>
          <cell r="B270" t="str">
            <v>Virgens, Ilhas (Americanas)</v>
          </cell>
        </row>
        <row r="271">
          <cell r="A271">
            <v>870</v>
          </cell>
          <cell r="B271" t="str">
            <v>Fiji</v>
          </cell>
        </row>
        <row r="272">
          <cell r="A272">
            <v>873</v>
          </cell>
          <cell r="B272" t="str">
            <v>Wake, Ilha</v>
          </cell>
        </row>
        <row r="273">
          <cell r="A273">
            <v>875</v>
          </cell>
          <cell r="B273" t="str">
            <v>Wallis e Futuna, Ilhas</v>
          </cell>
        </row>
        <row r="274">
          <cell r="A274">
            <v>888</v>
          </cell>
          <cell r="B274" t="str">
            <v>Congo, República Democrática</v>
          </cell>
        </row>
        <row r="275">
          <cell r="A275">
            <v>890</v>
          </cell>
          <cell r="B275" t="str">
            <v>Zâmbia</v>
          </cell>
        </row>
        <row r="276">
          <cell r="A276">
            <v>895</v>
          </cell>
          <cell r="B276" t="str">
            <v>Zona do Canal do Panamá</v>
          </cell>
        </row>
        <row r="277">
          <cell r="A277">
            <v>990</v>
          </cell>
          <cell r="B277" t="str">
            <v>Provisão de Navios e Aeronaves</v>
          </cell>
        </row>
        <row r="278">
          <cell r="A278">
            <v>994</v>
          </cell>
          <cell r="B278" t="str">
            <v>A Designar</v>
          </cell>
        </row>
        <row r="279">
          <cell r="A279">
            <v>995</v>
          </cell>
          <cell r="B279" t="str">
            <v>Bancos Centrais</v>
          </cell>
        </row>
        <row r="280">
          <cell r="A280">
            <v>997</v>
          </cell>
          <cell r="B280" t="str">
            <v>Organizações Internacionais</v>
          </cell>
        </row>
        <row r="281">
          <cell r="A281">
            <v>998</v>
          </cell>
          <cell r="B281" t="str">
            <v>Sem informação</v>
          </cell>
        </row>
        <row r="282">
          <cell r="A282">
            <v>999</v>
          </cell>
          <cell r="B282" t="str">
            <v>Não Declarados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2A8CBA-B757-46BA-A30D-085BA4BDA1D2}" name="Tabela1" displayName="Tabela1" ref="A1:J2544" totalsRowShown="0">
  <autoFilter ref="A1:J2544" xr:uid="{B32A8CBA-B757-46BA-A30D-085BA4BDA1D2}"/>
  <tableColumns count="10">
    <tableColumn id="1" xr3:uid="{BBCCEC12-409C-407E-A201-57195A0D875E}" name="CO_ANO"/>
    <tableColumn id="2" xr3:uid="{5277CB19-D2B5-46DE-9F03-5E10DC86247F}" name="CO_MES"/>
    <tableColumn id="3" xr3:uid="{4BB89678-872B-4842-8683-179811CFE65C}" name="SH4"/>
    <tableColumn id="4" xr3:uid="{4FD20E42-6A4B-4B74-B819-0808D467299E}" name="CO_PAIS"/>
    <tableColumn id="5" xr3:uid="{DF22548B-E414-44BB-A3E4-3608B919A7F4}" name="SG_UF_MUN"/>
    <tableColumn id="6" xr3:uid="{C4D96728-8C70-4224-846B-0707092DF032}" name="CO_MUN"/>
    <tableColumn id="7" xr3:uid="{599D0EB0-4887-4AE9-9650-24D33D66941C}" name="KG_LIQUIDO" dataDxfId="5"/>
    <tableColumn id="8" xr3:uid="{638583C9-BEC9-4DAC-A5AB-E079BCA27E58}" name="VL_FOB" dataDxfId="4"/>
    <tableColumn id="11" xr3:uid="{A6A56E1B-D478-497A-BF13-B3EB16B5FF9C}" name="NO PAIS" dataDxfId="3">
      <calculatedColumnFormula>VLOOKUP(Tabela1[[#This Row],[CO_PAIS]],'[1]nome do paixs'!$A:$B,2,0)</calculatedColumnFormula>
    </tableColumn>
    <tableColumn id="10" xr3:uid="{98751B8D-0F1A-48F0-8C68-98B3E2B7597A}" name="NO_MUN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D630BA-F0F3-4638-B9EA-E11C2A6B90C9}" name="Tabela2" displayName="Tabela2" ref="A1:J2042" totalsRowShown="0">
  <autoFilter ref="A1:J2042" xr:uid="{35D630BA-F0F3-4638-B9EA-E11C2A6B90C9}"/>
  <tableColumns count="10">
    <tableColumn id="1" xr3:uid="{C7CDA85A-0B3F-4940-8CA8-138747F9FD31}" name="ANO"/>
    <tableColumn id="2" xr3:uid="{3522F3EA-7A7A-4885-BBE5-AF2F59D571AF}" name="MES"/>
    <tableColumn id="3" xr3:uid="{C725A5C9-213A-4D39-9B42-80B1B2BDB8A3}" name="SH4"/>
    <tableColumn id="4" xr3:uid="{9C5AE30B-E979-48D3-B4CF-2D2E33CF8A8E}" name="PAIS"/>
    <tableColumn id="5" xr3:uid="{570ACFC6-B18F-430B-BAA7-4A4AC2BA66C9}" name="ESTADO"/>
    <tableColumn id="6" xr3:uid="{587B2A21-1C6E-4A7B-841B-F95470102CFF}" name="MUNICIPIO"/>
    <tableColumn id="7" xr3:uid="{0E64D0F0-8F8E-49DA-BF62-775EB5138F32}" name="KG LIQUIDO" dataDxfId="2"/>
    <tableColumn id="8" xr3:uid="{98F68186-9D8D-4DC6-A7BF-512AC17DF013}" name="VL FOB" dataDxfId="1"/>
    <tableColumn id="11" xr3:uid="{29B94288-C8B7-4B0F-97AE-7E2732791668}" name="PAIS3" dataDxfId="0">
      <calculatedColumnFormula>VLOOKUP(Tabela2[[#This Row],[PAIS]],'[1]nome do paixs'!$A:$B,2,0)</calculatedColumnFormula>
    </tableColumn>
    <tableColumn id="10" xr3:uid="{92AA2B75-9AA8-49B6-9CE9-73CDDB7BBE97}" name="CIDADE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79F9-C210-4833-AB7A-5272DE6D81A7}">
  <dimension ref="A1:J2544"/>
  <sheetViews>
    <sheetView workbookViewId="0">
      <pane ySplit="1" topLeftCell="A2" activePane="bottomLeft" state="frozen"/>
      <selection pane="bottomLeft" activeCell="G2" sqref="G2:G2544"/>
    </sheetView>
  </sheetViews>
  <sheetFormatPr defaultRowHeight="15"/>
  <cols>
    <col min="1" max="1" width="11" bestFit="1" customWidth="1"/>
    <col min="2" max="2" width="10.7109375" bestFit="1" customWidth="1"/>
    <col min="3" max="3" width="6.5703125" bestFit="1" customWidth="1"/>
    <col min="4" max="4" width="10.85546875" bestFit="1" customWidth="1"/>
    <col min="5" max="5" width="14.85546875" bestFit="1" customWidth="1"/>
    <col min="6" max="6" width="11.5703125" bestFit="1" customWidth="1"/>
    <col min="7" max="7" width="14.42578125" style="1" bestFit="1" customWidth="1"/>
    <col min="8" max="8" width="13.85546875" style="2" bestFit="1" customWidth="1"/>
    <col min="9" max="9" width="16.85546875" customWidth="1"/>
    <col min="10" max="10" width="22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2" t="s">
        <v>7</v>
      </c>
      <c r="I1" t="s">
        <v>8</v>
      </c>
      <c r="J1" t="s">
        <v>9</v>
      </c>
    </row>
    <row r="2" spans="1:10">
      <c r="A2">
        <v>2025</v>
      </c>
      <c r="B2">
        <v>1</v>
      </c>
      <c r="C2">
        <v>8807</v>
      </c>
      <c r="D2">
        <v>105</v>
      </c>
      <c r="E2" t="s">
        <v>10</v>
      </c>
      <c r="F2">
        <v>3454102</v>
      </c>
      <c r="G2" s="1">
        <v>6921</v>
      </c>
      <c r="H2" s="2">
        <v>6906148</v>
      </c>
      <c r="I2" t="str">
        <f>VLOOKUP(Tabela1[[#This Row],[CO_PAIS]],'[1]nome do paixs'!$A:$B,2,0)</f>
        <v>Brasil</v>
      </c>
      <c r="J2" t="s">
        <v>11</v>
      </c>
    </row>
    <row r="3" spans="1:10">
      <c r="A3">
        <v>2025</v>
      </c>
      <c r="B3">
        <v>1</v>
      </c>
      <c r="C3">
        <v>8807</v>
      </c>
      <c r="D3">
        <v>375</v>
      </c>
      <c r="E3" t="s">
        <v>10</v>
      </c>
      <c r="F3">
        <v>3454102</v>
      </c>
      <c r="G3" s="1">
        <v>102</v>
      </c>
      <c r="H3" s="2">
        <v>30566</v>
      </c>
      <c r="I3" t="str">
        <f>VLOOKUP(Tabela1[[#This Row],[CO_PAIS]],'[1]nome do paixs'!$A:$B,2,0)</f>
        <v>Irlanda</v>
      </c>
      <c r="J3" t="s">
        <v>11</v>
      </c>
    </row>
    <row r="4" spans="1:10">
      <c r="A4">
        <v>2025</v>
      </c>
      <c r="B4">
        <v>1</v>
      </c>
      <c r="C4">
        <v>8807</v>
      </c>
      <c r="D4">
        <v>493</v>
      </c>
      <c r="E4" t="s">
        <v>10</v>
      </c>
      <c r="F4">
        <v>3454102</v>
      </c>
      <c r="G4" s="1">
        <v>15617</v>
      </c>
      <c r="H4" s="2">
        <v>9060651</v>
      </c>
      <c r="I4" t="str">
        <f>VLOOKUP(Tabela1[[#This Row],[CO_PAIS]],'[1]nome do paixs'!$A:$B,2,0)</f>
        <v>México</v>
      </c>
      <c r="J4" t="s">
        <v>11</v>
      </c>
    </row>
    <row r="5" spans="1:10">
      <c r="A5">
        <v>2025</v>
      </c>
      <c r="B5">
        <v>1</v>
      </c>
      <c r="C5">
        <v>8807</v>
      </c>
      <c r="D5">
        <v>105</v>
      </c>
      <c r="E5" t="s">
        <v>10</v>
      </c>
      <c r="F5">
        <v>3449904</v>
      </c>
      <c r="G5" s="1">
        <v>12224</v>
      </c>
      <c r="H5" s="2">
        <v>8204801</v>
      </c>
      <c r="I5" t="str">
        <f>VLOOKUP(Tabela1[[#This Row],[CO_PAIS]],'[1]nome do paixs'!$A:$B,2,0)</f>
        <v>Brasil</v>
      </c>
      <c r="J5" t="s">
        <v>12</v>
      </c>
    </row>
    <row r="6" spans="1:10">
      <c r="A6">
        <v>2025</v>
      </c>
      <c r="B6">
        <v>1</v>
      </c>
      <c r="C6">
        <v>8807</v>
      </c>
      <c r="D6">
        <v>87</v>
      </c>
      <c r="E6" t="s">
        <v>10</v>
      </c>
      <c r="F6">
        <v>3454102</v>
      </c>
      <c r="G6" s="1">
        <v>2216</v>
      </c>
      <c r="H6" s="2">
        <v>1821458</v>
      </c>
      <c r="I6" t="str">
        <f>VLOOKUP(Tabela1[[#This Row],[CO_PAIS]],'[1]nome do paixs'!$A:$B,2,0)</f>
        <v>Bélgica</v>
      </c>
      <c r="J6" t="s">
        <v>11</v>
      </c>
    </row>
    <row r="7" spans="1:10">
      <c r="A7">
        <v>2025</v>
      </c>
      <c r="B7">
        <v>1</v>
      </c>
      <c r="C7">
        <v>8807</v>
      </c>
      <c r="D7">
        <v>275</v>
      </c>
      <c r="E7" t="s">
        <v>10</v>
      </c>
      <c r="F7">
        <v>3424402</v>
      </c>
      <c r="G7" s="1">
        <v>308</v>
      </c>
      <c r="H7" s="2">
        <v>339275</v>
      </c>
      <c r="I7" t="str">
        <f>VLOOKUP(Tabela1[[#This Row],[CO_PAIS]],'[1]nome do paixs'!$A:$B,2,0)</f>
        <v>França</v>
      </c>
      <c r="J7" t="s">
        <v>13</v>
      </c>
    </row>
    <row r="8" spans="1:10">
      <c r="A8">
        <v>2025</v>
      </c>
      <c r="B8">
        <v>1</v>
      </c>
      <c r="C8">
        <v>8807</v>
      </c>
      <c r="D8">
        <v>149</v>
      </c>
      <c r="E8" t="s">
        <v>10</v>
      </c>
      <c r="F8">
        <v>3449904</v>
      </c>
      <c r="G8" s="1">
        <v>35</v>
      </c>
      <c r="H8" s="2">
        <v>42865</v>
      </c>
      <c r="I8" t="str">
        <f>VLOOKUP(Tabela1[[#This Row],[CO_PAIS]],'[1]nome do paixs'!$A:$B,2,0)</f>
        <v>Canadá</v>
      </c>
      <c r="J8" t="s">
        <v>12</v>
      </c>
    </row>
    <row r="9" spans="1:10">
      <c r="A9">
        <v>2025</v>
      </c>
      <c r="B9">
        <v>1</v>
      </c>
      <c r="C9">
        <v>8807</v>
      </c>
      <c r="D9">
        <v>87</v>
      </c>
      <c r="E9" t="s">
        <v>10</v>
      </c>
      <c r="F9">
        <v>3424402</v>
      </c>
      <c r="G9" s="1">
        <v>15</v>
      </c>
      <c r="H9" s="2">
        <v>27751</v>
      </c>
      <c r="I9" t="str">
        <f>VLOOKUP(Tabela1[[#This Row],[CO_PAIS]],'[1]nome do paixs'!$A:$B,2,0)</f>
        <v>Bélgica</v>
      </c>
      <c r="J9" t="s">
        <v>13</v>
      </c>
    </row>
    <row r="10" spans="1:10">
      <c r="A10">
        <v>2025</v>
      </c>
      <c r="B10">
        <v>1</v>
      </c>
      <c r="C10">
        <v>8807</v>
      </c>
      <c r="D10">
        <v>149</v>
      </c>
      <c r="E10" t="s">
        <v>10</v>
      </c>
      <c r="F10">
        <v>3454102</v>
      </c>
      <c r="G10" s="1">
        <v>208</v>
      </c>
      <c r="H10" s="2">
        <v>164167</v>
      </c>
      <c r="I10" t="str">
        <f>VLOOKUP(Tabela1[[#This Row],[CO_PAIS]],'[1]nome do paixs'!$A:$B,2,0)</f>
        <v>Canadá</v>
      </c>
      <c r="J10" t="s">
        <v>11</v>
      </c>
    </row>
    <row r="11" spans="1:10">
      <c r="A11">
        <v>2025</v>
      </c>
      <c r="B11">
        <v>1</v>
      </c>
      <c r="C11">
        <v>8807</v>
      </c>
      <c r="D11">
        <v>493</v>
      </c>
      <c r="E11" t="s">
        <v>10</v>
      </c>
      <c r="F11">
        <v>3449904</v>
      </c>
      <c r="G11" s="1">
        <v>1513</v>
      </c>
      <c r="H11" s="2">
        <v>1449731</v>
      </c>
      <c r="I11" t="str">
        <f>VLOOKUP(Tabela1[[#This Row],[CO_PAIS]],'[1]nome do paixs'!$A:$B,2,0)</f>
        <v>México</v>
      </c>
      <c r="J11" t="s">
        <v>12</v>
      </c>
    </row>
    <row r="12" spans="1:10">
      <c r="A12">
        <v>2025</v>
      </c>
      <c r="B12">
        <v>1</v>
      </c>
      <c r="C12">
        <v>8807</v>
      </c>
      <c r="D12">
        <v>474</v>
      </c>
      <c r="E12" t="s">
        <v>10</v>
      </c>
      <c r="F12">
        <v>3454102</v>
      </c>
      <c r="G12" s="1">
        <v>184</v>
      </c>
      <c r="H12" s="2">
        <v>360781</v>
      </c>
      <c r="I12" t="str">
        <f>VLOOKUP(Tabela1[[#This Row],[CO_PAIS]],'[1]nome do paixs'!$A:$B,2,0)</f>
        <v>Marrocos</v>
      </c>
      <c r="J12" t="s">
        <v>11</v>
      </c>
    </row>
    <row r="13" spans="1:10">
      <c r="A13">
        <v>2025</v>
      </c>
      <c r="B13">
        <v>1</v>
      </c>
      <c r="C13">
        <v>8807</v>
      </c>
      <c r="D13">
        <v>23</v>
      </c>
      <c r="E13" t="s">
        <v>10</v>
      </c>
      <c r="F13">
        <v>3449904</v>
      </c>
      <c r="G13" s="1">
        <v>91</v>
      </c>
      <c r="H13" s="2">
        <v>212157</v>
      </c>
      <c r="I13" t="str">
        <f>VLOOKUP(Tabela1[[#This Row],[CO_PAIS]],'[1]nome do paixs'!$A:$B,2,0)</f>
        <v>Alemanha</v>
      </c>
      <c r="J13" t="s">
        <v>12</v>
      </c>
    </row>
    <row r="14" spans="1:10">
      <c r="A14">
        <v>2025</v>
      </c>
      <c r="B14">
        <v>1</v>
      </c>
      <c r="C14">
        <v>8807</v>
      </c>
      <c r="D14">
        <v>676</v>
      </c>
      <c r="E14" t="s">
        <v>10</v>
      </c>
      <c r="F14">
        <v>3454102</v>
      </c>
      <c r="G14" s="1">
        <v>8320</v>
      </c>
      <c r="H14" s="2">
        <v>735856</v>
      </c>
      <c r="I14" t="str">
        <f>VLOOKUP(Tabela1[[#This Row],[CO_PAIS]],'[1]nome do paixs'!$A:$B,2,0)</f>
        <v>Rússia</v>
      </c>
      <c r="J14" t="s">
        <v>11</v>
      </c>
    </row>
    <row r="15" spans="1:10">
      <c r="A15">
        <v>2025</v>
      </c>
      <c r="B15">
        <v>1</v>
      </c>
      <c r="C15">
        <v>8807</v>
      </c>
      <c r="D15">
        <v>23</v>
      </c>
      <c r="E15" t="s">
        <v>10</v>
      </c>
      <c r="F15">
        <v>3454102</v>
      </c>
      <c r="G15" s="1">
        <v>6182</v>
      </c>
      <c r="H15" s="2">
        <v>327799</v>
      </c>
      <c r="I15" t="str">
        <f>VLOOKUP(Tabela1[[#This Row],[CO_PAIS]],'[1]nome do paixs'!$A:$B,2,0)</f>
        <v>Alemanha</v>
      </c>
      <c r="J15" t="s">
        <v>11</v>
      </c>
    </row>
    <row r="16" spans="1:10">
      <c r="A16">
        <v>2025</v>
      </c>
      <c r="B16">
        <v>1</v>
      </c>
      <c r="C16">
        <v>8807</v>
      </c>
      <c r="D16">
        <v>386</v>
      </c>
      <c r="E16" t="s">
        <v>10</v>
      </c>
      <c r="F16">
        <v>3454102</v>
      </c>
      <c r="G16" s="1">
        <v>384</v>
      </c>
      <c r="H16" s="2">
        <v>1065967</v>
      </c>
      <c r="I16" t="str">
        <f>VLOOKUP(Tabela1[[#This Row],[CO_PAIS]],'[1]nome do paixs'!$A:$B,2,0)</f>
        <v>Itália</v>
      </c>
      <c r="J16" t="s">
        <v>11</v>
      </c>
    </row>
    <row r="17" spans="1:10">
      <c r="A17">
        <v>2025</v>
      </c>
      <c r="B17">
        <v>1</v>
      </c>
      <c r="C17">
        <v>8807</v>
      </c>
      <c r="D17">
        <v>245</v>
      </c>
      <c r="E17" t="s">
        <v>10</v>
      </c>
      <c r="F17">
        <v>3454102</v>
      </c>
      <c r="G17" s="1">
        <v>1169</v>
      </c>
      <c r="H17" s="2">
        <v>716375</v>
      </c>
      <c r="I17" t="str">
        <f>VLOOKUP(Tabela1[[#This Row],[CO_PAIS]],'[1]nome do paixs'!$A:$B,2,0)</f>
        <v>Espanha</v>
      </c>
      <c r="J17" t="s">
        <v>11</v>
      </c>
    </row>
    <row r="18" spans="1:10">
      <c r="A18">
        <v>2025</v>
      </c>
      <c r="B18">
        <v>1</v>
      </c>
      <c r="C18">
        <v>8807</v>
      </c>
      <c r="D18">
        <v>190</v>
      </c>
      <c r="E18" t="s">
        <v>10</v>
      </c>
      <c r="F18">
        <v>3449904</v>
      </c>
      <c r="G18" s="1">
        <v>100</v>
      </c>
      <c r="H18" s="2">
        <v>495357</v>
      </c>
      <c r="I18" t="str">
        <f>VLOOKUP(Tabela1[[#This Row],[CO_PAIS]],'[1]nome do paixs'!$A:$B,2,0)</f>
        <v>Coreia do Sul</v>
      </c>
      <c r="J18" t="s">
        <v>12</v>
      </c>
    </row>
    <row r="19" spans="1:10">
      <c r="A19">
        <v>2025</v>
      </c>
      <c r="B19">
        <v>1</v>
      </c>
      <c r="C19">
        <v>8807</v>
      </c>
      <c r="D19">
        <v>72</v>
      </c>
      <c r="E19" t="s">
        <v>10</v>
      </c>
      <c r="F19">
        <v>3449904</v>
      </c>
      <c r="G19" s="1">
        <v>3</v>
      </c>
      <c r="H19" s="2">
        <v>2499</v>
      </c>
      <c r="I19" t="str">
        <f>VLOOKUP(Tabela1[[#This Row],[CO_PAIS]],'[1]nome do paixs'!$A:$B,2,0)</f>
        <v>Áustria</v>
      </c>
      <c r="J19" t="s">
        <v>12</v>
      </c>
    </row>
    <row r="20" spans="1:10">
      <c r="A20">
        <v>2025</v>
      </c>
      <c r="B20">
        <v>1</v>
      </c>
      <c r="C20">
        <v>8807</v>
      </c>
      <c r="D20">
        <v>791</v>
      </c>
      <c r="E20" t="s">
        <v>10</v>
      </c>
      <c r="F20">
        <v>3454102</v>
      </c>
      <c r="G20" s="1">
        <v>1</v>
      </c>
      <c r="H20" s="2">
        <v>5435</v>
      </c>
      <c r="I20" t="str">
        <f>VLOOKUP(Tabela1[[#This Row],[CO_PAIS]],'[1]nome do paixs'!$A:$B,2,0)</f>
        <v>Tcheca, República</v>
      </c>
      <c r="J20" t="s">
        <v>11</v>
      </c>
    </row>
    <row r="21" spans="1:10">
      <c r="A21">
        <v>2025</v>
      </c>
      <c r="B21">
        <v>1</v>
      </c>
      <c r="C21">
        <v>8807</v>
      </c>
      <c r="D21">
        <v>741</v>
      </c>
      <c r="E21" t="s">
        <v>10</v>
      </c>
      <c r="F21">
        <v>3449904</v>
      </c>
      <c r="G21" s="1">
        <v>126</v>
      </c>
      <c r="H21" s="2">
        <v>162347</v>
      </c>
      <c r="I21" t="str">
        <f>VLOOKUP(Tabela1[[#This Row],[CO_PAIS]],'[1]nome do paixs'!$A:$B,2,0)</f>
        <v>Singapura</v>
      </c>
      <c r="J21" t="s">
        <v>12</v>
      </c>
    </row>
    <row r="22" spans="1:10">
      <c r="A22">
        <v>2025</v>
      </c>
      <c r="B22">
        <v>1</v>
      </c>
      <c r="C22">
        <v>8807</v>
      </c>
      <c r="D22">
        <v>375</v>
      </c>
      <c r="E22" t="s">
        <v>10</v>
      </c>
      <c r="F22">
        <v>3449904</v>
      </c>
      <c r="G22" s="1">
        <v>22</v>
      </c>
      <c r="H22" s="2">
        <v>8689</v>
      </c>
      <c r="I22" t="str">
        <f>VLOOKUP(Tabela1[[#This Row],[CO_PAIS]],'[1]nome do paixs'!$A:$B,2,0)</f>
        <v>Irlanda</v>
      </c>
      <c r="J22" t="s">
        <v>12</v>
      </c>
    </row>
    <row r="23" spans="1:10">
      <c r="A23">
        <v>2025</v>
      </c>
      <c r="B23">
        <v>1</v>
      </c>
      <c r="C23">
        <v>8807</v>
      </c>
      <c r="D23">
        <v>275</v>
      </c>
      <c r="E23" t="s">
        <v>10</v>
      </c>
      <c r="F23">
        <v>3449904</v>
      </c>
      <c r="G23" s="1">
        <v>362</v>
      </c>
      <c r="H23" s="2">
        <v>346598</v>
      </c>
      <c r="I23" t="str">
        <f>VLOOKUP(Tabela1[[#This Row],[CO_PAIS]],'[1]nome do paixs'!$A:$B,2,0)</f>
        <v>França</v>
      </c>
      <c r="J23" t="s">
        <v>12</v>
      </c>
    </row>
    <row r="24" spans="1:10">
      <c r="A24">
        <v>2025</v>
      </c>
      <c r="B24">
        <v>1</v>
      </c>
      <c r="C24">
        <v>8807</v>
      </c>
      <c r="D24">
        <v>607</v>
      </c>
      <c r="E24" t="s">
        <v>10</v>
      </c>
      <c r="F24">
        <v>3449904</v>
      </c>
      <c r="G24" s="1">
        <v>17</v>
      </c>
      <c r="H24" s="2">
        <v>59024</v>
      </c>
      <c r="I24" t="str">
        <f>VLOOKUP(Tabela1[[#This Row],[CO_PAIS]],'[1]nome do paixs'!$A:$B,2,0)</f>
        <v>Portugal</v>
      </c>
      <c r="J24" t="s">
        <v>12</v>
      </c>
    </row>
    <row r="25" spans="1:10">
      <c r="A25">
        <v>2025</v>
      </c>
      <c r="B25">
        <v>1</v>
      </c>
      <c r="C25">
        <v>8807</v>
      </c>
      <c r="D25">
        <v>249</v>
      </c>
      <c r="E25" t="s">
        <v>10</v>
      </c>
      <c r="F25">
        <v>3424402</v>
      </c>
      <c r="G25" s="1">
        <v>2018</v>
      </c>
      <c r="H25" s="2">
        <v>426785</v>
      </c>
      <c r="I25" t="str">
        <f>VLOOKUP(Tabela1[[#This Row],[CO_PAIS]],'[1]nome do paixs'!$A:$B,2,0)</f>
        <v>Estados Unidos</v>
      </c>
      <c r="J25" t="s">
        <v>13</v>
      </c>
    </row>
    <row r="26" spans="1:10">
      <c r="A26">
        <v>2025</v>
      </c>
      <c r="B26">
        <v>1</v>
      </c>
      <c r="C26">
        <v>8807</v>
      </c>
      <c r="D26">
        <v>249</v>
      </c>
      <c r="E26" t="s">
        <v>10</v>
      </c>
      <c r="F26">
        <v>3449904</v>
      </c>
      <c r="G26" s="1">
        <v>5923</v>
      </c>
      <c r="H26" s="2">
        <v>4937493</v>
      </c>
      <c r="I26" t="str">
        <f>VLOOKUP(Tabela1[[#This Row],[CO_PAIS]],'[1]nome do paixs'!$A:$B,2,0)</f>
        <v>Estados Unidos</v>
      </c>
      <c r="J26" t="s">
        <v>12</v>
      </c>
    </row>
    <row r="27" spans="1:10">
      <c r="A27">
        <v>2025</v>
      </c>
      <c r="B27">
        <v>1</v>
      </c>
      <c r="C27">
        <v>8807</v>
      </c>
      <c r="D27">
        <v>249</v>
      </c>
      <c r="E27" t="s">
        <v>10</v>
      </c>
      <c r="F27">
        <v>3454102</v>
      </c>
      <c r="G27" s="1">
        <v>29339</v>
      </c>
      <c r="H27" s="2">
        <v>10715286</v>
      </c>
      <c r="I27" t="str">
        <f>VLOOKUP(Tabela1[[#This Row],[CO_PAIS]],'[1]nome do paixs'!$A:$B,2,0)</f>
        <v>Estados Unidos</v>
      </c>
      <c r="J27" t="s">
        <v>11</v>
      </c>
    </row>
    <row r="28" spans="1:10">
      <c r="A28">
        <v>2025</v>
      </c>
      <c r="B28">
        <v>1</v>
      </c>
      <c r="C28">
        <v>8807</v>
      </c>
      <c r="D28">
        <v>275</v>
      </c>
      <c r="E28" t="s">
        <v>10</v>
      </c>
      <c r="F28">
        <v>3454102</v>
      </c>
      <c r="G28" s="1">
        <v>2529</v>
      </c>
      <c r="H28" s="2">
        <v>3209264</v>
      </c>
      <c r="I28" t="str">
        <f>VLOOKUP(Tabela1[[#This Row],[CO_PAIS]],'[1]nome do paixs'!$A:$B,2,0)</f>
        <v>França</v>
      </c>
      <c r="J28" t="s">
        <v>11</v>
      </c>
    </row>
    <row r="29" spans="1:10">
      <c r="A29">
        <v>2025</v>
      </c>
      <c r="B29">
        <v>1</v>
      </c>
      <c r="C29">
        <v>8807</v>
      </c>
      <c r="D29">
        <v>628</v>
      </c>
      <c r="E29" t="s">
        <v>10</v>
      </c>
      <c r="F29">
        <v>3454102</v>
      </c>
      <c r="G29" s="1">
        <v>644</v>
      </c>
      <c r="H29" s="2">
        <v>628317</v>
      </c>
      <c r="I29" t="str">
        <f>VLOOKUP(Tabela1[[#This Row],[CO_PAIS]],'[1]nome do paixs'!$A:$B,2,0)</f>
        <v>Reino Unido</v>
      </c>
      <c r="J29" t="s">
        <v>11</v>
      </c>
    </row>
    <row r="30" spans="1:10">
      <c r="A30">
        <v>2025</v>
      </c>
      <c r="B30">
        <v>1</v>
      </c>
      <c r="C30">
        <v>8807</v>
      </c>
      <c r="D30">
        <v>245</v>
      </c>
      <c r="E30" t="s">
        <v>10</v>
      </c>
      <c r="F30">
        <v>3449904</v>
      </c>
      <c r="G30" s="1">
        <v>3802</v>
      </c>
      <c r="H30" s="2">
        <v>2254944</v>
      </c>
      <c r="I30" t="str">
        <f>VLOOKUP(Tabela1[[#This Row],[CO_PAIS]],'[1]nome do paixs'!$A:$B,2,0)</f>
        <v>Espanha</v>
      </c>
      <c r="J30" t="s">
        <v>12</v>
      </c>
    </row>
    <row r="31" spans="1:10">
      <c r="A31">
        <v>2025</v>
      </c>
      <c r="B31">
        <v>1</v>
      </c>
      <c r="C31">
        <v>8807</v>
      </c>
      <c r="D31">
        <v>628</v>
      </c>
      <c r="E31" t="s">
        <v>10</v>
      </c>
      <c r="F31">
        <v>3449904</v>
      </c>
      <c r="G31" s="1">
        <v>405</v>
      </c>
      <c r="H31" s="2">
        <v>400241</v>
      </c>
      <c r="I31" t="str">
        <f>VLOOKUP(Tabela1[[#This Row],[CO_PAIS]],'[1]nome do paixs'!$A:$B,2,0)</f>
        <v>Reino Unido</v>
      </c>
      <c r="J31" t="s">
        <v>12</v>
      </c>
    </row>
    <row r="32" spans="1:10">
      <c r="A32">
        <v>2025</v>
      </c>
      <c r="B32">
        <v>1</v>
      </c>
      <c r="C32">
        <v>8807</v>
      </c>
      <c r="D32">
        <v>493</v>
      </c>
      <c r="E32" t="s">
        <v>10</v>
      </c>
      <c r="F32">
        <v>3424402</v>
      </c>
      <c r="G32" s="1">
        <v>2</v>
      </c>
      <c r="H32" s="2">
        <v>8154</v>
      </c>
      <c r="I32" t="str">
        <f>VLOOKUP(Tabela1[[#This Row],[CO_PAIS]],'[1]nome do paixs'!$A:$B,2,0)</f>
        <v>México</v>
      </c>
      <c r="J32" t="s">
        <v>13</v>
      </c>
    </row>
    <row r="33" spans="1:10">
      <c r="A33">
        <v>2025</v>
      </c>
      <c r="B33">
        <v>1</v>
      </c>
      <c r="C33">
        <v>8807</v>
      </c>
      <c r="D33">
        <v>791</v>
      </c>
      <c r="E33" t="s">
        <v>10</v>
      </c>
      <c r="F33">
        <v>3424402</v>
      </c>
      <c r="G33" s="1">
        <v>146</v>
      </c>
      <c r="H33" s="2">
        <v>145854</v>
      </c>
      <c r="I33" t="str">
        <f>VLOOKUP(Tabela1[[#This Row],[CO_PAIS]],'[1]nome do paixs'!$A:$B,2,0)</f>
        <v>Tcheca, República</v>
      </c>
      <c r="J33" t="s">
        <v>13</v>
      </c>
    </row>
    <row r="34" spans="1:10">
      <c r="A34">
        <v>2025</v>
      </c>
      <c r="B34">
        <v>1</v>
      </c>
      <c r="C34">
        <v>8807</v>
      </c>
      <c r="D34">
        <v>190</v>
      </c>
      <c r="E34" t="s">
        <v>10</v>
      </c>
      <c r="F34">
        <v>3424402</v>
      </c>
      <c r="G34" s="1">
        <v>106</v>
      </c>
      <c r="H34" s="2">
        <v>42002</v>
      </c>
      <c r="I34" t="str">
        <f>VLOOKUP(Tabela1[[#This Row],[CO_PAIS]],'[1]nome do paixs'!$A:$B,2,0)</f>
        <v>Coreia do Sul</v>
      </c>
      <c r="J34" t="s">
        <v>13</v>
      </c>
    </row>
    <row r="35" spans="1:10">
      <c r="A35">
        <v>2025</v>
      </c>
      <c r="B35">
        <v>1</v>
      </c>
      <c r="C35">
        <v>8807</v>
      </c>
      <c r="D35">
        <v>386</v>
      </c>
      <c r="E35" t="s">
        <v>10</v>
      </c>
      <c r="F35">
        <v>3449904</v>
      </c>
      <c r="G35" s="1">
        <v>887</v>
      </c>
      <c r="H35" s="2">
        <v>376589</v>
      </c>
      <c r="I35" t="str">
        <f>VLOOKUP(Tabela1[[#This Row],[CO_PAIS]],'[1]nome do paixs'!$A:$B,2,0)</f>
        <v>Itália</v>
      </c>
      <c r="J35" t="s">
        <v>12</v>
      </c>
    </row>
    <row r="36" spans="1:10">
      <c r="A36">
        <v>2025</v>
      </c>
      <c r="B36">
        <v>1</v>
      </c>
      <c r="C36">
        <v>8807</v>
      </c>
      <c r="D36">
        <v>455</v>
      </c>
      <c r="E36" t="s">
        <v>10</v>
      </c>
      <c r="F36">
        <v>3454102</v>
      </c>
      <c r="G36" s="1">
        <v>1518</v>
      </c>
      <c r="H36" s="2">
        <v>155766</v>
      </c>
      <c r="I36" t="str">
        <f>VLOOKUP(Tabela1[[#This Row],[CO_PAIS]],'[1]nome do paixs'!$A:$B,2,0)</f>
        <v>Malásia</v>
      </c>
      <c r="J36" t="s">
        <v>11</v>
      </c>
    </row>
    <row r="37" spans="1:10">
      <c r="A37">
        <v>2025</v>
      </c>
      <c r="B37">
        <v>1</v>
      </c>
      <c r="C37">
        <v>8807</v>
      </c>
      <c r="D37">
        <v>607</v>
      </c>
      <c r="E37" t="s">
        <v>10</v>
      </c>
      <c r="F37">
        <v>3454102</v>
      </c>
      <c r="G37" s="1">
        <v>15667</v>
      </c>
      <c r="H37" s="2">
        <v>5787109</v>
      </c>
      <c r="I37" t="str">
        <f>VLOOKUP(Tabela1[[#This Row],[CO_PAIS]],'[1]nome do paixs'!$A:$B,2,0)</f>
        <v>Portugal</v>
      </c>
      <c r="J37" t="s">
        <v>11</v>
      </c>
    </row>
    <row r="38" spans="1:10">
      <c r="A38">
        <v>2025</v>
      </c>
      <c r="B38">
        <v>1</v>
      </c>
      <c r="C38">
        <v>8807</v>
      </c>
      <c r="D38">
        <v>190</v>
      </c>
      <c r="E38" t="s">
        <v>10</v>
      </c>
      <c r="F38">
        <v>3454102</v>
      </c>
      <c r="G38" s="1">
        <v>9138</v>
      </c>
      <c r="H38" s="2">
        <v>6580001</v>
      </c>
      <c r="I38" t="str">
        <f>VLOOKUP(Tabela1[[#This Row],[CO_PAIS]],'[1]nome do paixs'!$A:$B,2,0)</f>
        <v>Coreia do Sul</v>
      </c>
      <c r="J38" t="s">
        <v>11</v>
      </c>
    </row>
    <row r="39" spans="1:10">
      <c r="A39">
        <v>2025</v>
      </c>
      <c r="B39">
        <v>1</v>
      </c>
      <c r="C39">
        <v>8807</v>
      </c>
      <c r="D39">
        <v>791</v>
      </c>
      <c r="E39" t="s">
        <v>10</v>
      </c>
      <c r="F39">
        <v>3449904</v>
      </c>
      <c r="G39" s="1">
        <v>59</v>
      </c>
      <c r="H39" s="2">
        <v>31827</v>
      </c>
      <c r="I39" t="str">
        <f>VLOOKUP(Tabela1[[#This Row],[CO_PAIS]],'[1]nome do paixs'!$A:$B,2,0)</f>
        <v>Tcheca, República</v>
      </c>
      <c r="J39" t="s">
        <v>12</v>
      </c>
    </row>
    <row r="40" spans="1:10">
      <c r="A40">
        <v>2025</v>
      </c>
      <c r="B40">
        <v>1</v>
      </c>
      <c r="C40">
        <v>8807</v>
      </c>
      <c r="D40">
        <v>361</v>
      </c>
      <c r="E40" t="s">
        <v>10</v>
      </c>
      <c r="F40">
        <v>3449904</v>
      </c>
      <c r="G40" s="1">
        <v>1036</v>
      </c>
      <c r="H40" s="2">
        <v>466303</v>
      </c>
      <c r="I40" t="str">
        <f>VLOOKUP(Tabela1[[#This Row],[CO_PAIS]],'[1]nome do paixs'!$A:$B,2,0)</f>
        <v>Índia</v>
      </c>
      <c r="J40" t="s">
        <v>12</v>
      </c>
    </row>
    <row r="41" spans="1:10">
      <c r="A41">
        <v>2025</v>
      </c>
      <c r="B41">
        <v>1</v>
      </c>
      <c r="C41">
        <v>8807</v>
      </c>
      <c r="D41">
        <v>72</v>
      </c>
      <c r="E41" t="s">
        <v>10</v>
      </c>
      <c r="F41">
        <v>3454102</v>
      </c>
      <c r="G41" s="1">
        <v>3065</v>
      </c>
      <c r="H41" s="2">
        <v>1778146</v>
      </c>
      <c r="I41" t="str">
        <f>VLOOKUP(Tabela1[[#This Row],[CO_PAIS]],'[1]nome do paixs'!$A:$B,2,0)</f>
        <v>Áustria</v>
      </c>
      <c r="J41" t="s">
        <v>11</v>
      </c>
    </row>
    <row r="42" spans="1:10">
      <c r="A42">
        <v>2025</v>
      </c>
      <c r="B42">
        <v>1</v>
      </c>
      <c r="C42">
        <v>8807</v>
      </c>
      <c r="D42">
        <v>399</v>
      </c>
      <c r="E42" t="s">
        <v>10</v>
      </c>
      <c r="F42">
        <v>3454102</v>
      </c>
      <c r="G42" s="1">
        <v>2924</v>
      </c>
      <c r="H42" s="2">
        <v>1608792</v>
      </c>
      <c r="I42" t="str">
        <f>VLOOKUP(Tabela1[[#This Row],[CO_PAIS]],'[1]nome do paixs'!$A:$B,2,0)</f>
        <v>Japão</v>
      </c>
      <c r="J42" t="s">
        <v>11</v>
      </c>
    </row>
    <row r="43" spans="1:10">
      <c r="A43">
        <v>2025</v>
      </c>
      <c r="B43">
        <v>1</v>
      </c>
      <c r="C43">
        <v>8807</v>
      </c>
      <c r="D43">
        <v>23</v>
      </c>
      <c r="E43" t="s">
        <v>10</v>
      </c>
      <c r="F43">
        <v>3424402</v>
      </c>
      <c r="G43" s="1">
        <v>29</v>
      </c>
      <c r="H43" s="2">
        <v>45311</v>
      </c>
      <c r="I43" t="str">
        <f>VLOOKUP(Tabela1[[#This Row],[CO_PAIS]],'[1]nome do paixs'!$A:$B,2,0)</f>
        <v>Alemanha</v>
      </c>
      <c r="J43" t="s">
        <v>13</v>
      </c>
    </row>
    <row r="44" spans="1:10">
      <c r="A44">
        <v>2025</v>
      </c>
      <c r="B44">
        <v>1</v>
      </c>
      <c r="C44">
        <v>8807</v>
      </c>
      <c r="D44">
        <v>245</v>
      </c>
      <c r="E44" t="s">
        <v>10</v>
      </c>
      <c r="F44">
        <v>3424402</v>
      </c>
      <c r="G44" s="1">
        <v>249</v>
      </c>
      <c r="H44" s="2">
        <v>56656</v>
      </c>
      <c r="I44" t="str">
        <f>VLOOKUP(Tabela1[[#This Row],[CO_PAIS]],'[1]nome do paixs'!$A:$B,2,0)</f>
        <v>Espanha</v>
      </c>
      <c r="J44" t="s">
        <v>13</v>
      </c>
    </row>
    <row r="45" spans="1:10">
      <c r="A45">
        <v>2025</v>
      </c>
      <c r="B45">
        <v>1</v>
      </c>
      <c r="C45">
        <v>8807</v>
      </c>
      <c r="D45">
        <v>87</v>
      </c>
      <c r="E45" t="s">
        <v>10</v>
      </c>
      <c r="F45">
        <v>3449904</v>
      </c>
      <c r="G45" s="1">
        <v>3886</v>
      </c>
      <c r="H45" s="2">
        <v>4605497</v>
      </c>
      <c r="I45" t="str">
        <f>VLOOKUP(Tabela1[[#This Row],[CO_PAIS]],'[1]nome do paixs'!$A:$B,2,0)</f>
        <v>Bélgica</v>
      </c>
      <c r="J45" t="s">
        <v>12</v>
      </c>
    </row>
    <row r="46" spans="1:10">
      <c r="A46">
        <v>2025</v>
      </c>
      <c r="B46">
        <v>1</v>
      </c>
      <c r="C46">
        <v>8807</v>
      </c>
      <c r="D46">
        <v>399</v>
      </c>
      <c r="E46" t="s">
        <v>10</v>
      </c>
      <c r="F46">
        <v>3449904</v>
      </c>
      <c r="G46" s="1">
        <v>321</v>
      </c>
      <c r="H46" s="2">
        <v>313480</v>
      </c>
      <c r="I46" t="str">
        <f>VLOOKUP(Tabela1[[#This Row],[CO_PAIS]],'[1]nome do paixs'!$A:$B,2,0)</f>
        <v>Japão</v>
      </c>
      <c r="J46" t="s">
        <v>12</v>
      </c>
    </row>
    <row r="47" spans="1:10">
      <c r="A47">
        <v>2024</v>
      </c>
      <c r="B47">
        <v>1</v>
      </c>
      <c r="C47">
        <v>8807</v>
      </c>
      <c r="D47">
        <v>375</v>
      </c>
      <c r="E47" t="s">
        <v>10</v>
      </c>
      <c r="F47">
        <v>3449904</v>
      </c>
      <c r="G47" s="1">
        <v>32</v>
      </c>
      <c r="H47" s="2">
        <v>11746</v>
      </c>
      <c r="I47" t="str">
        <f>VLOOKUP(Tabela1[[#This Row],[CO_PAIS]],'[1]nome do paixs'!$A:$B,2,0)</f>
        <v>Irlanda</v>
      </c>
      <c r="J47" t="s">
        <v>12</v>
      </c>
    </row>
    <row r="48" spans="1:10">
      <c r="A48">
        <v>2024</v>
      </c>
      <c r="B48">
        <v>1</v>
      </c>
      <c r="C48">
        <v>8807</v>
      </c>
      <c r="D48">
        <v>386</v>
      </c>
      <c r="E48" t="s">
        <v>10</v>
      </c>
      <c r="F48">
        <v>3449904</v>
      </c>
      <c r="G48" s="1">
        <v>2</v>
      </c>
      <c r="H48" s="2">
        <v>573</v>
      </c>
      <c r="I48" t="str">
        <f>VLOOKUP(Tabela1[[#This Row],[CO_PAIS]],'[1]nome do paixs'!$A:$B,2,0)</f>
        <v>Itália</v>
      </c>
      <c r="J48" t="s">
        <v>12</v>
      </c>
    </row>
    <row r="49" spans="1:10">
      <c r="A49">
        <v>2024</v>
      </c>
      <c r="B49">
        <v>1</v>
      </c>
      <c r="C49">
        <v>8807</v>
      </c>
      <c r="D49">
        <v>149</v>
      </c>
      <c r="E49" t="s">
        <v>10</v>
      </c>
      <c r="F49">
        <v>3454102</v>
      </c>
      <c r="G49" s="1">
        <v>436</v>
      </c>
      <c r="H49" s="2">
        <v>203196</v>
      </c>
      <c r="I49" t="str">
        <f>VLOOKUP(Tabela1[[#This Row],[CO_PAIS]],'[1]nome do paixs'!$A:$B,2,0)</f>
        <v>Canadá</v>
      </c>
      <c r="J49" t="s">
        <v>11</v>
      </c>
    </row>
    <row r="50" spans="1:10">
      <c r="A50">
        <v>2024</v>
      </c>
      <c r="B50">
        <v>1</v>
      </c>
      <c r="C50">
        <v>8807</v>
      </c>
      <c r="D50">
        <v>87</v>
      </c>
      <c r="E50" t="s">
        <v>10</v>
      </c>
      <c r="F50">
        <v>3424402</v>
      </c>
      <c r="G50" s="1">
        <v>10</v>
      </c>
      <c r="H50" s="2">
        <v>27870</v>
      </c>
      <c r="I50" t="str">
        <f>VLOOKUP(Tabela1[[#This Row],[CO_PAIS]],'[1]nome do paixs'!$A:$B,2,0)</f>
        <v>Bélgica</v>
      </c>
      <c r="J50" t="s">
        <v>13</v>
      </c>
    </row>
    <row r="51" spans="1:10">
      <c r="A51">
        <v>2024</v>
      </c>
      <c r="B51">
        <v>1</v>
      </c>
      <c r="C51">
        <v>8807</v>
      </c>
      <c r="D51">
        <v>160</v>
      </c>
      <c r="E51" t="s">
        <v>10</v>
      </c>
      <c r="F51">
        <v>3449904</v>
      </c>
      <c r="G51" s="1">
        <v>201</v>
      </c>
      <c r="H51" s="2">
        <v>2159</v>
      </c>
      <c r="I51" t="str">
        <f>VLOOKUP(Tabela1[[#This Row],[CO_PAIS]],'[1]nome do paixs'!$A:$B,2,0)</f>
        <v>China</v>
      </c>
      <c r="J51" t="s">
        <v>12</v>
      </c>
    </row>
    <row r="52" spans="1:10">
      <c r="A52">
        <v>2024</v>
      </c>
      <c r="B52">
        <v>1</v>
      </c>
      <c r="C52">
        <v>8807</v>
      </c>
      <c r="D52">
        <v>767</v>
      </c>
      <c r="E52" t="s">
        <v>10</v>
      </c>
      <c r="F52">
        <v>3449904</v>
      </c>
      <c r="G52" s="1">
        <v>66</v>
      </c>
      <c r="H52" s="2">
        <v>146379</v>
      </c>
      <c r="I52" t="str">
        <f>VLOOKUP(Tabela1[[#This Row],[CO_PAIS]],'[1]nome do paixs'!$A:$B,2,0)</f>
        <v>Suíça</v>
      </c>
      <c r="J52" t="s">
        <v>12</v>
      </c>
    </row>
    <row r="53" spans="1:10">
      <c r="A53">
        <v>2024</v>
      </c>
      <c r="B53">
        <v>1</v>
      </c>
      <c r="C53">
        <v>8807</v>
      </c>
      <c r="D53">
        <v>791</v>
      </c>
      <c r="E53" t="s">
        <v>10</v>
      </c>
      <c r="F53">
        <v>3424402</v>
      </c>
      <c r="G53" s="1">
        <v>154</v>
      </c>
      <c r="H53" s="2">
        <v>134682</v>
      </c>
      <c r="I53" t="str">
        <f>VLOOKUP(Tabela1[[#This Row],[CO_PAIS]],'[1]nome do paixs'!$A:$B,2,0)</f>
        <v>Tcheca, República</v>
      </c>
      <c r="J53" t="s">
        <v>13</v>
      </c>
    </row>
    <row r="54" spans="1:10">
      <c r="A54">
        <v>2024</v>
      </c>
      <c r="B54">
        <v>1</v>
      </c>
      <c r="C54">
        <v>8807</v>
      </c>
      <c r="D54">
        <v>607</v>
      </c>
      <c r="E54" t="s">
        <v>10</v>
      </c>
      <c r="F54">
        <v>3449904</v>
      </c>
      <c r="G54" s="1">
        <v>12</v>
      </c>
      <c r="H54" s="2">
        <v>27485</v>
      </c>
      <c r="I54" t="str">
        <f>VLOOKUP(Tabela1[[#This Row],[CO_PAIS]],'[1]nome do paixs'!$A:$B,2,0)</f>
        <v>Portugal</v>
      </c>
      <c r="J54" t="s">
        <v>12</v>
      </c>
    </row>
    <row r="55" spans="1:10">
      <c r="A55">
        <v>2024</v>
      </c>
      <c r="B55">
        <v>1</v>
      </c>
      <c r="C55">
        <v>8807</v>
      </c>
      <c r="D55">
        <v>190</v>
      </c>
      <c r="E55" t="s">
        <v>10</v>
      </c>
      <c r="F55">
        <v>3454102</v>
      </c>
      <c r="G55" s="1">
        <v>4571</v>
      </c>
      <c r="H55" s="2">
        <v>4494571</v>
      </c>
      <c r="I55" t="str">
        <f>VLOOKUP(Tabela1[[#This Row],[CO_PAIS]],'[1]nome do paixs'!$A:$B,2,0)</f>
        <v>Coreia do Sul</v>
      </c>
      <c r="J55" t="s">
        <v>11</v>
      </c>
    </row>
    <row r="56" spans="1:10">
      <c r="A56">
        <v>2024</v>
      </c>
      <c r="B56">
        <v>1</v>
      </c>
      <c r="C56">
        <v>8807</v>
      </c>
      <c r="D56">
        <v>87</v>
      </c>
      <c r="E56" t="s">
        <v>10</v>
      </c>
      <c r="F56">
        <v>3449904</v>
      </c>
      <c r="G56" s="1">
        <v>1902</v>
      </c>
      <c r="H56" s="2">
        <v>2297413</v>
      </c>
      <c r="I56" t="str">
        <f>VLOOKUP(Tabela1[[#This Row],[CO_PAIS]],'[1]nome do paixs'!$A:$B,2,0)</f>
        <v>Bélgica</v>
      </c>
      <c r="J56" t="s">
        <v>12</v>
      </c>
    </row>
    <row r="57" spans="1:10">
      <c r="A57">
        <v>2024</v>
      </c>
      <c r="B57">
        <v>1</v>
      </c>
      <c r="C57">
        <v>8807</v>
      </c>
      <c r="D57">
        <v>245</v>
      </c>
      <c r="E57" t="s">
        <v>10</v>
      </c>
      <c r="F57">
        <v>3454102</v>
      </c>
      <c r="G57" s="1">
        <v>1803</v>
      </c>
      <c r="H57" s="2">
        <v>1421353</v>
      </c>
      <c r="I57" t="str">
        <f>VLOOKUP(Tabela1[[#This Row],[CO_PAIS]],'[1]nome do paixs'!$A:$B,2,0)</f>
        <v>Espanha</v>
      </c>
      <c r="J57" t="s">
        <v>11</v>
      </c>
    </row>
    <row r="58" spans="1:10">
      <c r="A58">
        <v>2024</v>
      </c>
      <c r="B58">
        <v>1</v>
      </c>
      <c r="C58">
        <v>8807</v>
      </c>
      <c r="D58">
        <v>493</v>
      </c>
      <c r="E58" t="s">
        <v>10</v>
      </c>
      <c r="F58">
        <v>3454102</v>
      </c>
      <c r="G58" s="1">
        <v>10297</v>
      </c>
      <c r="H58" s="2">
        <v>4271219</v>
      </c>
      <c r="I58" t="str">
        <f>VLOOKUP(Tabela1[[#This Row],[CO_PAIS]],'[1]nome do paixs'!$A:$B,2,0)</f>
        <v>México</v>
      </c>
      <c r="J58" t="s">
        <v>11</v>
      </c>
    </row>
    <row r="59" spans="1:10">
      <c r="A59">
        <v>2024</v>
      </c>
      <c r="B59">
        <v>1</v>
      </c>
      <c r="C59">
        <v>8807</v>
      </c>
      <c r="D59">
        <v>399</v>
      </c>
      <c r="E59" t="s">
        <v>10</v>
      </c>
      <c r="F59">
        <v>3454102</v>
      </c>
      <c r="G59" s="1">
        <v>4265</v>
      </c>
      <c r="H59" s="2">
        <v>2811212</v>
      </c>
      <c r="I59" t="str">
        <f>VLOOKUP(Tabela1[[#This Row],[CO_PAIS]],'[1]nome do paixs'!$A:$B,2,0)</f>
        <v>Japão</v>
      </c>
      <c r="J59" t="s">
        <v>11</v>
      </c>
    </row>
    <row r="60" spans="1:10">
      <c r="A60">
        <v>2024</v>
      </c>
      <c r="B60">
        <v>1</v>
      </c>
      <c r="C60">
        <v>8807</v>
      </c>
      <c r="D60">
        <v>249</v>
      </c>
      <c r="E60" t="s">
        <v>10</v>
      </c>
      <c r="F60">
        <v>3454102</v>
      </c>
      <c r="G60" s="1">
        <v>14338</v>
      </c>
      <c r="H60" s="2">
        <v>4230537</v>
      </c>
      <c r="I60" t="str">
        <f>VLOOKUP(Tabela1[[#This Row],[CO_PAIS]],'[1]nome do paixs'!$A:$B,2,0)</f>
        <v>Estados Unidos</v>
      </c>
      <c r="J60" t="s">
        <v>11</v>
      </c>
    </row>
    <row r="61" spans="1:10">
      <c r="A61">
        <v>2024</v>
      </c>
      <c r="B61">
        <v>1</v>
      </c>
      <c r="C61">
        <v>8807</v>
      </c>
      <c r="D61">
        <v>72</v>
      </c>
      <c r="E61" t="s">
        <v>10</v>
      </c>
      <c r="F61">
        <v>3449904</v>
      </c>
      <c r="G61" s="1">
        <v>219</v>
      </c>
      <c r="H61" s="2">
        <v>43186</v>
      </c>
      <c r="I61" t="str">
        <f>VLOOKUP(Tabela1[[#This Row],[CO_PAIS]],'[1]nome do paixs'!$A:$B,2,0)</f>
        <v>Áustria</v>
      </c>
      <c r="J61" t="s">
        <v>12</v>
      </c>
    </row>
    <row r="62" spans="1:10">
      <c r="A62">
        <v>2024</v>
      </c>
      <c r="B62">
        <v>1</v>
      </c>
      <c r="C62">
        <v>8807</v>
      </c>
      <c r="D62">
        <v>190</v>
      </c>
      <c r="E62" t="s">
        <v>10</v>
      </c>
      <c r="F62">
        <v>3424402</v>
      </c>
      <c r="G62" s="1">
        <v>6</v>
      </c>
      <c r="H62" s="2">
        <v>5475</v>
      </c>
      <c r="I62" t="str">
        <f>VLOOKUP(Tabela1[[#This Row],[CO_PAIS]],'[1]nome do paixs'!$A:$B,2,0)</f>
        <v>Coreia do Sul</v>
      </c>
      <c r="J62" t="s">
        <v>13</v>
      </c>
    </row>
    <row r="63" spans="1:10">
      <c r="A63">
        <v>2024</v>
      </c>
      <c r="B63">
        <v>1</v>
      </c>
      <c r="C63">
        <v>8807</v>
      </c>
      <c r="D63">
        <v>628</v>
      </c>
      <c r="E63" t="s">
        <v>10</v>
      </c>
      <c r="F63">
        <v>3449904</v>
      </c>
      <c r="G63" s="1">
        <v>690</v>
      </c>
      <c r="H63" s="2">
        <v>589576</v>
      </c>
      <c r="I63" t="str">
        <f>VLOOKUP(Tabela1[[#This Row],[CO_PAIS]],'[1]nome do paixs'!$A:$B,2,0)</f>
        <v>Reino Unido</v>
      </c>
      <c r="J63" t="s">
        <v>12</v>
      </c>
    </row>
    <row r="64" spans="1:10">
      <c r="A64">
        <v>2024</v>
      </c>
      <c r="B64">
        <v>1</v>
      </c>
      <c r="C64">
        <v>8807</v>
      </c>
      <c r="D64">
        <v>455</v>
      </c>
      <c r="E64" t="s">
        <v>10</v>
      </c>
      <c r="F64">
        <v>3454102</v>
      </c>
      <c r="G64" s="1">
        <v>1042</v>
      </c>
      <c r="H64" s="2">
        <v>124012</v>
      </c>
      <c r="I64" t="str">
        <f>VLOOKUP(Tabela1[[#This Row],[CO_PAIS]],'[1]nome do paixs'!$A:$B,2,0)</f>
        <v>Malásia</v>
      </c>
      <c r="J64" t="s">
        <v>11</v>
      </c>
    </row>
    <row r="65" spans="1:10">
      <c r="A65">
        <v>2024</v>
      </c>
      <c r="B65">
        <v>1</v>
      </c>
      <c r="C65">
        <v>8807</v>
      </c>
      <c r="D65">
        <v>158</v>
      </c>
      <c r="E65" t="s">
        <v>10</v>
      </c>
      <c r="F65">
        <v>3449904</v>
      </c>
      <c r="G65" s="1">
        <v>228</v>
      </c>
      <c r="H65" s="2">
        <v>710276</v>
      </c>
      <c r="I65" t="str">
        <f>VLOOKUP(Tabela1[[#This Row],[CO_PAIS]],'[1]nome do paixs'!$A:$B,2,0)</f>
        <v>Chile</v>
      </c>
      <c r="J65" t="s">
        <v>12</v>
      </c>
    </row>
    <row r="66" spans="1:10">
      <c r="A66">
        <v>2024</v>
      </c>
      <c r="B66">
        <v>1</v>
      </c>
      <c r="C66">
        <v>8807</v>
      </c>
      <c r="D66">
        <v>249</v>
      </c>
      <c r="E66" t="s">
        <v>10</v>
      </c>
      <c r="F66">
        <v>3449904</v>
      </c>
      <c r="G66" s="1">
        <v>4018</v>
      </c>
      <c r="H66" s="2">
        <v>3188137</v>
      </c>
      <c r="I66" t="str">
        <f>VLOOKUP(Tabela1[[#This Row],[CO_PAIS]],'[1]nome do paixs'!$A:$B,2,0)</f>
        <v>Estados Unidos</v>
      </c>
      <c r="J66" t="s">
        <v>12</v>
      </c>
    </row>
    <row r="67" spans="1:10">
      <c r="A67">
        <v>2024</v>
      </c>
      <c r="B67">
        <v>1</v>
      </c>
      <c r="C67">
        <v>8807</v>
      </c>
      <c r="D67">
        <v>741</v>
      </c>
      <c r="E67" t="s">
        <v>10</v>
      </c>
      <c r="F67">
        <v>3449904</v>
      </c>
      <c r="G67" s="1">
        <v>66</v>
      </c>
      <c r="H67" s="2">
        <v>57850</v>
      </c>
      <c r="I67" t="str">
        <f>VLOOKUP(Tabela1[[#This Row],[CO_PAIS]],'[1]nome do paixs'!$A:$B,2,0)</f>
        <v>Singapura</v>
      </c>
      <c r="J67" t="s">
        <v>12</v>
      </c>
    </row>
    <row r="68" spans="1:10">
      <c r="A68">
        <v>2024</v>
      </c>
      <c r="B68">
        <v>1</v>
      </c>
      <c r="C68">
        <v>8807</v>
      </c>
      <c r="D68">
        <v>72</v>
      </c>
      <c r="E68" t="s">
        <v>10</v>
      </c>
      <c r="F68">
        <v>3454102</v>
      </c>
      <c r="G68" s="1">
        <v>2307</v>
      </c>
      <c r="H68" s="2">
        <v>428206</v>
      </c>
      <c r="I68" t="str">
        <f>VLOOKUP(Tabela1[[#This Row],[CO_PAIS]],'[1]nome do paixs'!$A:$B,2,0)</f>
        <v>Áustria</v>
      </c>
      <c r="J68" t="s">
        <v>11</v>
      </c>
    </row>
    <row r="69" spans="1:10">
      <c r="A69">
        <v>2024</v>
      </c>
      <c r="B69">
        <v>1</v>
      </c>
      <c r="C69">
        <v>8807</v>
      </c>
      <c r="D69">
        <v>245</v>
      </c>
      <c r="E69" t="s">
        <v>10</v>
      </c>
      <c r="F69">
        <v>3424402</v>
      </c>
      <c r="G69" s="1">
        <v>148</v>
      </c>
      <c r="H69" s="2">
        <v>42118</v>
      </c>
      <c r="I69" t="str">
        <f>VLOOKUP(Tabela1[[#This Row],[CO_PAIS]],'[1]nome do paixs'!$A:$B,2,0)</f>
        <v>Espanha</v>
      </c>
      <c r="J69" t="s">
        <v>13</v>
      </c>
    </row>
    <row r="70" spans="1:10">
      <c r="A70">
        <v>2024</v>
      </c>
      <c r="B70">
        <v>1</v>
      </c>
      <c r="C70">
        <v>8807</v>
      </c>
      <c r="D70">
        <v>23</v>
      </c>
      <c r="E70" t="s">
        <v>10</v>
      </c>
      <c r="F70">
        <v>3424402</v>
      </c>
      <c r="G70" s="1">
        <v>1</v>
      </c>
      <c r="H70" s="2">
        <v>1064</v>
      </c>
      <c r="I70" t="str">
        <f>VLOOKUP(Tabela1[[#This Row],[CO_PAIS]],'[1]nome do paixs'!$A:$B,2,0)</f>
        <v>Alemanha</v>
      </c>
      <c r="J70" t="s">
        <v>13</v>
      </c>
    </row>
    <row r="71" spans="1:10">
      <c r="A71">
        <v>2024</v>
      </c>
      <c r="B71">
        <v>1</v>
      </c>
      <c r="C71">
        <v>8807</v>
      </c>
      <c r="D71">
        <v>23</v>
      </c>
      <c r="E71" t="s">
        <v>10</v>
      </c>
      <c r="F71">
        <v>3449904</v>
      </c>
      <c r="G71" s="1">
        <v>107</v>
      </c>
      <c r="H71" s="2">
        <v>145350</v>
      </c>
      <c r="I71" t="str">
        <f>VLOOKUP(Tabela1[[#This Row],[CO_PAIS]],'[1]nome do paixs'!$A:$B,2,0)</f>
        <v>Alemanha</v>
      </c>
      <c r="J71" t="s">
        <v>12</v>
      </c>
    </row>
    <row r="72" spans="1:10">
      <c r="A72">
        <v>2024</v>
      </c>
      <c r="B72">
        <v>1</v>
      </c>
      <c r="C72">
        <v>8807</v>
      </c>
      <c r="D72">
        <v>474</v>
      </c>
      <c r="E72" t="s">
        <v>10</v>
      </c>
      <c r="F72">
        <v>3449904</v>
      </c>
      <c r="G72" s="1">
        <v>18</v>
      </c>
      <c r="H72" s="2">
        <v>61538</v>
      </c>
      <c r="I72" t="str">
        <f>VLOOKUP(Tabela1[[#This Row],[CO_PAIS]],'[1]nome do paixs'!$A:$B,2,0)</f>
        <v>Marrocos</v>
      </c>
      <c r="J72" t="s">
        <v>12</v>
      </c>
    </row>
    <row r="73" spans="1:10">
      <c r="A73">
        <v>2024</v>
      </c>
      <c r="B73">
        <v>1</v>
      </c>
      <c r="C73">
        <v>8807</v>
      </c>
      <c r="D73">
        <v>275</v>
      </c>
      <c r="E73" t="s">
        <v>10</v>
      </c>
      <c r="F73">
        <v>3449904</v>
      </c>
      <c r="G73" s="1">
        <v>183</v>
      </c>
      <c r="H73" s="2">
        <v>178886</v>
      </c>
      <c r="I73" t="str">
        <f>VLOOKUP(Tabela1[[#This Row],[CO_PAIS]],'[1]nome do paixs'!$A:$B,2,0)</f>
        <v>França</v>
      </c>
      <c r="J73" t="s">
        <v>12</v>
      </c>
    </row>
    <row r="74" spans="1:10">
      <c r="A74">
        <v>2024</v>
      </c>
      <c r="B74">
        <v>1</v>
      </c>
      <c r="C74">
        <v>8807</v>
      </c>
      <c r="D74">
        <v>249</v>
      </c>
      <c r="E74" t="s">
        <v>10</v>
      </c>
      <c r="F74">
        <v>3424402</v>
      </c>
      <c r="G74" s="1">
        <v>1234</v>
      </c>
      <c r="H74" s="2">
        <v>271715</v>
      </c>
      <c r="I74" t="str">
        <f>VLOOKUP(Tabela1[[#This Row],[CO_PAIS]],'[1]nome do paixs'!$A:$B,2,0)</f>
        <v>Estados Unidos</v>
      </c>
      <c r="J74" t="s">
        <v>13</v>
      </c>
    </row>
    <row r="75" spans="1:10">
      <c r="A75">
        <v>2024</v>
      </c>
      <c r="B75">
        <v>1</v>
      </c>
      <c r="C75">
        <v>8807</v>
      </c>
      <c r="D75">
        <v>791</v>
      </c>
      <c r="E75" t="s">
        <v>10</v>
      </c>
      <c r="F75">
        <v>3449904</v>
      </c>
      <c r="G75" s="1">
        <v>2</v>
      </c>
      <c r="H75" s="2">
        <v>1886</v>
      </c>
      <c r="I75" t="str">
        <f>VLOOKUP(Tabela1[[#This Row],[CO_PAIS]],'[1]nome do paixs'!$A:$B,2,0)</f>
        <v>Tcheca, República</v>
      </c>
      <c r="J75" t="s">
        <v>12</v>
      </c>
    </row>
    <row r="76" spans="1:10">
      <c r="A76">
        <v>2024</v>
      </c>
      <c r="B76">
        <v>1</v>
      </c>
      <c r="C76">
        <v>8807</v>
      </c>
      <c r="D76">
        <v>105</v>
      </c>
      <c r="E76" t="s">
        <v>10</v>
      </c>
      <c r="F76">
        <v>3454102</v>
      </c>
      <c r="G76" s="1">
        <v>5281</v>
      </c>
      <c r="H76" s="2">
        <v>4979584</v>
      </c>
      <c r="I76" t="str">
        <f>VLOOKUP(Tabela1[[#This Row],[CO_PAIS]],'[1]nome do paixs'!$A:$B,2,0)</f>
        <v>Brasil</v>
      </c>
      <c r="J76" t="s">
        <v>11</v>
      </c>
    </row>
    <row r="77" spans="1:10">
      <c r="A77">
        <v>2024</v>
      </c>
      <c r="B77">
        <v>1</v>
      </c>
      <c r="C77">
        <v>8807</v>
      </c>
      <c r="D77">
        <v>493</v>
      </c>
      <c r="E77" t="s">
        <v>10</v>
      </c>
      <c r="F77">
        <v>3449904</v>
      </c>
      <c r="G77" s="1">
        <v>2030</v>
      </c>
      <c r="H77" s="2">
        <v>1285951</v>
      </c>
      <c r="I77" t="str">
        <f>VLOOKUP(Tabela1[[#This Row],[CO_PAIS]],'[1]nome do paixs'!$A:$B,2,0)</f>
        <v>México</v>
      </c>
      <c r="J77" t="s">
        <v>12</v>
      </c>
    </row>
    <row r="78" spans="1:10">
      <c r="A78">
        <v>2024</v>
      </c>
      <c r="B78">
        <v>1</v>
      </c>
      <c r="C78">
        <v>8807</v>
      </c>
      <c r="D78">
        <v>776</v>
      </c>
      <c r="E78" t="s">
        <v>10</v>
      </c>
      <c r="F78">
        <v>3454102</v>
      </c>
      <c r="G78" s="1">
        <v>159</v>
      </c>
      <c r="H78" s="2">
        <v>12036</v>
      </c>
      <c r="I78" t="str">
        <f>VLOOKUP(Tabela1[[#This Row],[CO_PAIS]],'[1]nome do paixs'!$A:$B,2,0)</f>
        <v>Tailândia</v>
      </c>
      <c r="J78" t="s">
        <v>11</v>
      </c>
    </row>
    <row r="79" spans="1:10">
      <c r="A79">
        <v>2024</v>
      </c>
      <c r="B79">
        <v>1</v>
      </c>
      <c r="C79">
        <v>8807</v>
      </c>
      <c r="D79">
        <v>628</v>
      </c>
      <c r="E79" t="s">
        <v>10</v>
      </c>
      <c r="F79">
        <v>3454102</v>
      </c>
      <c r="G79" s="1">
        <v>1337</v>
      </c>
      <c r="H79" s="2">
        <v>312736</v>
      </c>
      <c r="I79" t="str">
        <f>VLOOKUP(Tabela1[[#This Row],[CO_PAIS]],'[1]nome do paixs'!$A:$B,2,0)</f>
        <v>Reino Unido</v>
      </c>
      <c r="J79" t="s">
        <v>11</v>
      </c>
    </row>
    <row r="80" spans="1:10">
      <c r="A80">
        <v>2024</v>
      </c>
      <c r="B80">
        <v>1</v>
      </c>
      <c r="C80">
        <v>8807</v>
      </c>
      <c r="D80">
        <v>361</v>
      </c>
      <c r="E80" t="s">
        <v>10</v>
      </c>
      <c r="F80">
        <v>3449904</v>
      </c>
      <c r="G80" s="1">
        <v>716</v>
      </c>
      <c r="H80" s="2">
        <v>401625</v>
      </c>
      <c r="I80" t="str">
        <f>VLOOKUP(Tabela1[[#This Row],[CO_PAIS]],'[1]nome do paixs'!$A:$B,2,0)</f>
        <v>Índia</v>
      </c>
      <c r="J80" t="s">
        <v>12</v>
      </c>
    </row>
    <row r="81" spans="1:10">
      <c r="A81">
        <v>2024</v>
      </c>
      <c r="B81">
        <v>1</v>
      </c>
      <c r="C81">
        <v>8807</v>
      </c>
      <c r="D81">
        <v>275</v>
      </c>
      <c r="E81" t="s">
        <v>10</v>
      </c>
      <c r="F81">
        <v>3424402</v>
      </c>
      <c r="G81" s="1">
        <v>439</v>
      </c>
      <c r="H81" s="2">
        <v>474762</v>
      </c>
      <c r="I81" t="str">
        <f>VLOOKUP(Tabela1[[#This Row],[CO_PAIS]],'[1]nome do paixs'!$A:$B,2,0)</f>
        <v>França</v>
      </c>
      <c r="J81" t="s">
        <v>13</v>
      </c>
    </row>
    <row r="82" spans="1:10">
      <c r="A82">
        <v>2024</v>
      </c>
      <c r="B82">
        <v>1</v>
      </c>
      <c r="C82">
        <v>8807</v>
      </c>
      <c r="D82">
        <v>275</v>
      </c>
      <c r="E82" t="s">
        <v>10</v>
      </c>
      <c r="F82">
        <v>3454102</v>
      </c>
      <c r="G82" s="1">
        <v>1049</v>
      </c>
      <c r="H82" s="2">
        <v>546295</v>
      </c>
      <c r="I82" t="str">
        <f>VLOOKUP(Tabela1[[#This Row],[CO_PAIS]],'[1]nome do paixs'!$A:$B,2,0)</f>
        <v>França</v>
      </c>
      <c r="J82" t="s">
        <v>11</v>
      </c>
    </row>
    <row r="83" spans="1:10">
      <c r="A83">
        <v>2024</v>
      </c>
      <c r="B83">
        <v>1</v>
      </c>
      <c r="C83">
        <v>8807</v>
      </c>
      <c r="D83">
        <v>607</v>
      </c>
      <c r="E83" t="s">
        <v>10</v>
      </c>
      <c r="F83">
        <v>3454102</v>
      </c>
      <c r="G83" s="1">
        <v>20121</v>
      </c>
      <c r="H83" s="2">
        <v>6969243</v>
      </c>
      <c r="I83" t="str">
        <f>VLOOKUP(Tabela1[[#This Row],[CO_PAIS]],'[1]nome do paixs'!$A:$B,2,0)</f>
        <v>Portugal</v>
      </c>
      <c r="J83" t="s">
        <v>11</v>
      </c>
    </row>
    <row r="84" spans="1:10">
      <c r="A84">
        <v>2024</v>
      </c>
      <c r="B84">
        <v>1</v>
      </c>
      <c r="C84">
        <v>8807</v>
      </c>
      <c r="D84">
        <v>87</v>
      </c>
      <c r="E84" t="s">
        <v>10</v>
      </c>
      <c r="F84">
        <v>3454102</v>
      </c>
      <c r="G84" s="1">
        <v>2183</v>
      </c>
      <c r="H84" s="2">
        <v>1890943</v>
      </c>
      <c r="I84" t="str">
        <f>VLOOKUP(Tabela1[[#This Row],[CO_PAIS]],'[1]nome do paixs'!$A:$B,2,0)</f>
        <v>Bélgica</v>
      </c>
      <c r="J84" t="s">
        <v>11</v>
      </c>
    </row>
    <row r="85" spans="1:10">
      <c r="A85">
        <v>2024</v>
      </c>
      <c r="B85">
        <v>1</v>
      </c>
      <c r="C85">
        <v>8807</v>
      </c>
      <c r="D85">
        <v>105</v>
      </c>
      <c r="E85" t="s">
        <v>10</v>
      </c>
      <c r="F85">
        <v>3449904</v>
      </c>
      <c r="G85" s="1">
        <v>10640</v>
      </c>
      <c r="H85" s="2">
        <v>7376800</v>
      </c>
      <c r="I85" t="str">
        <f>VLOOKUP(Tabela1[[#This Row],[CO_PAIS]],'[1]nome do paixs'!$A:$B,2,0)</f>
        <v>Brasil</v>
      </c>
      <c r="J85" t="s">
        <v>12</v>
      </c>
    </row>
    <row r="86" spans="1:10">
      <c r="A86">
        <v>2024</v>
      </c>
      <c r="B86">
        <v>1</v>
      </c>
      <c r="C86">
        <v>8807</v>
      </c>
      <c r="D86">
        <v>245</v>
      </c>
      <c r="E86" t="s">
        <v>10</v>
      </c>
      <c r="F86">
        <v>3449904</v>
      </c>
      <c r="G86" s="1">
        <v>5648</v>
      </c>
      <c r="H86" s="2">
        <v>1442877</v>
      </c>
      <c r="I86" t="str">
        <f>VLOOKUP(Tabela1[[#This Row],[CO_PAIS]],'[1]nome do paixs'!$A:$B,2,0)</f>
        <v>Espanha</v>
      </c>
      <c r="J86" t="s">
        <v>12</v>
      </c>
    </row>
    <row r="87" spans="1:10">
      <c r="A87">
        <v>2024</v>
      </c>
      <c r="B87">
        <v>1</v>
      </c>
      <c r="C87">
        <v>8807</v>
      </c>
      <c r="D87">
        <v>375</v>
      </c>
      <c r="E87" t="s">
        <v>10</v>
      </c>
      <c r="F87">
        <v>3454102</v>
      </c>
      <c r="G87" s="1">
        <v>32</v>
      </c>
      <c r="H87" s="2">
        <v>14069</v>
      </c>
      <c r="I87" t="str">
        <f>VLOOKUP(Tabela1[[#This Row],[CO_PAIS]],'[1]nome do paixs'!$A:$B,2,0)</f>
        <v>Irlanda</v>
      </c>
      <c r="J87" t="s">
        <v>11</v>
      </c>
    </row>
    <row r="88" spans="1:10">
      <c r="A88">
        <v>2024</v>
      </c>
      <c r="B88">
        <v>1</v>
      </c>
      <c r="C88">
        <v>8807</v>
      </c>
      <c r="D88">
        <v>827</v>
      </c>
      <c r="E88" t="s">
        <v>10</v>
      </c>
      <c r="F88">
        <v>3449904</v>
      </c>
      <c r="G88" s="1">
        <v>0</v>
      </c>
      <c r="H88" s="2">
        <v>576</v>
      </c>
      <c r="I88" t="str">
        <f>VLOOKUP(Tabela1[[#This Row],[CO_PAIS]],'[1]nome do paixs'!$A:$B,2,0)</f>
        <v>Turquia</v>
      </c>
      <c r="J88" t="s">
        <v>12</v>
      </c>
    </row>
    <row r="89" spans="1:10">
      <c r="A89">
        <v>2024</v>
      </c>
      <c r="B89">
        <v>1</v>
      </c>
      <c r="C89">
        <v>8807</v>
      </c>
      <c r="D89">
        <v>190</v>
      </c>
      <c r="E89" t="s">
        <v>10</v>
      </c>
      <c r="F89">
        <v>3449904</v>
      </c>
      <c r="G89" s="1">
        <v>66</v>
      </c>
      <c r="H89" s="2">
        <v>62721</v>
      </c>
      <c r="I89" t="str">
        <f>VLOOKUP(Tabela1[[#This Row],[CO_PAIS]],'[1]nome do paixs'!$A:$B,2,0)</f>
        <v>Coreia do Sul</v>
      </c>
      <c r="J89" t="s">
        <v>12</v>
      </c>
    </row>
    <row r="90" spans="1:10">
      <c r="A90">
        <v>2024</v>
      </c>
      <c r="B90">
        <v>1</v>
      </c>
      <c r="C90">
        <v>8807</v>
      </c>
      <c r="D90">
        <v>23</v>
      </c>
      <c r="E90" t="s">
        <v>10</v>
      </c>
      <c r="F90">
        <v>3454102</v>
      </c>
      <c r="G90" s="1">
        <v>27464</v>
      </c>
      <c r="H90" s="2">
        <v>792935</v>
      </c>
      <c r="I90" t="str">
        <f>VLOOKUP(Tabela1[[#This Row],[CO_PAIS]],'[1]nome do paixs'!$A:$B,2,0)</f>
        <v>Alemanha</v>
      </c>
      <c r="J90" t="s">
        <v>11</v>
      </c>
    </row>
    <row r="91" spans="1:10">
      <c r="A91">
        <v>2024</v>
      </c>
      <c r="B91">
        <v>1</v>
      </c>
      <c r="C91">
        <v>8807</v>
      </c>
      <c r="D91">
        <v>399</v>
      </c>
      <c r="E91" t="s">
        <v>10</v>
      </c>
      <c r="F91">
        <v>3449904</v>
      </c>
      <c r="G91" s="1">
        <v>666</v>
      </c>
      <c r="H91" s="2">
        <v>643795</v>
      </c>
      <c r="I91" t="str">
        <f>VLOOKUP(Tabela1[[#This Row],[CO_PAIS]],'[1]nome do paixs'!$A:$B,2,0)</f>
        <v>Japão</v>
      </c>
      <c r="J91" t="s">
        <v>12</v>
      </c>
    </row>
    <row r="92" spans="1:10">
      <c r="A92">
        <v>2023</v>
      </c>
      <c r="B92">
        <v>1</v>
      </c>
      <c r="C92">
        <v>8807</v>
      </c>
      <c r="D92">
        <v>23</v>
      </c>
      <c r="E92" t="s">
        <v>10</v>
      </c>
      <c r="F92">
        <v>3449904</v>
      </c>
      <c r="G92" s="1">
        <v>144</v>
      </c>
      <c r="H92" s="2">
        <v>147909</v>
      </c>
      <c r="I92" t="str">
        <f>VLOOKUP(Tabela1[[#This Row],[CO_PAIS]],'[1]nome do paixs'!$A:$B,2,0)</f>
        <v>Alemanha</v>
      </c>
      <c r="J92" t="s">
        <v>12</v>
      </c>
    </row>
    <row r="93" spans="1:10">
      <c r="A93">
        <v>2023</v>
      </c>
      <c r="B93">
        <v>1</v>
      </c>
      <c r="C93">
        <v>8807</v>
      </c>
      <c r="D93">
        <v>249</v>
      </c>
      <c r="E93" t="s">
        <v>10</v>
      </c>
      <c r="F93">
        <v>3449904</v>
      </c>
      <c r="G93" s="1">
        <v>6096</v>
      </c>
      <c r="H93" s="2">
        <v>4530758</v>
      </c>
      <c r="I93" t="str">
        <f>VLOOKUP(Tabela1[[#This Row],[CO_PAIS]],'[1]nome do paixs'!$A:$B,2,0)</f>
        <v>Estados Unidos</v>
      </c>
      <c r="J93" t="s">
        <v>12</v>
      </c>
    </row>
    <row r="94" spans="1:10">
      <c r="A94">
        <v>2023</v>
      </c>
      <c r="B94">
        <v>1</v>
      </c>
      <c r="C94">
        <v>8807</v>
      </c>
      <c r="D94">
        <v>375</v>
      </c>
      <c r="E94" t="s">
        <v>10</v>
      </c>
      <c r="F94">
        <v>3454102</v>
      </c>
      <c r="G94" s="1">
        <v>3</v>
      </c>
      <c r="H94" s="2">
        <v>2618</v>
      </c>
      <c r="I94" t="str">
        <f>VLOOKUP(Tabela1[[#This Row],[CO_PAIS]],'[1]nome do paixs'!$A:$B,2,0)</f>
        <v>Irlanda</v>
      </c>
      <c r="J94" t="s">
        <v>11</v>
      </c>
    </row>
    <row r="95" spans="1:10">
      <c r="A95">
        <v>2023</v>
      </c>
      <c r="B95">
        <v>1</v>
      </c>
      <c r="C95">
        <v>8807</v>
      </c>
      <c r="D95">
        <v>190</v>
      </c>
      <c r="E95" t="s">
        <v>10</v>
      </c>
      <c r="F95">
        <v>3454102</v>
      </c>
      <c r="G95" s="1">
        <v>1217</v>
      </c>
      <c r="H95" s="2">
        <v>1193219</v>
      </c>
      <c r="I95" t="str">
        <f>VLOOKUP(Tabela1[[#This Row],[CO_PAIS]],'[1]nome do paixs'!$A:$B,2,0)</f>
        <v>Coreia do Sul</v>
      </c>
      <c r="J95" t="s">
        <v>11</v>
      </c>
    </row>
    <row r="96" spans="1:10">
      <c r="A96">
        <v>2023</v>
      </c>
      <c r="B96">
        <v>1</v>
      </c>
      <c r="C96">
        <v>8807</v>
      </c>
      <c r="D96">
        <v>275</v>
      </c>
      <c r="E96" t="s">
        <v>10</v>
      </c>
      <c r="F96">
        <v>3449904</v>
      </c>
      <c r="G96" s="1">
        <v>149</v>
      </c>
      <c r="H96" s="2">
        <v>274121</v>
      </c>
      <c r="I96" t="str">
        <f>VLOOKUP(Tabela1[[#This Row],[CO_PAIS]],'[1]nome do paixs'!$A:$B,2,0)</f>
        <v>França</v>
      </c>
      <c r="J96" t="s">
        <v>12</v>
      </c>
    </row>
    <row r="97" spans="1:10">
      <c r="A97">
        <v>2023</v>
      </c>
      <c r="B97">
        <v>1</v>
      </c>
      <c r="C97">
        <v>8807</v>
      </c>
      <c r="D97">
        <v>275</v>
      </c>
      <c r="E97" t="s">
        <v>10</v>
      </c>
      <c r="F97">
        <v>3424402</v>
      </c>
      <c r="G97" s="1">
        <v>314</v>
      </c>
      <c r="H97" s="2">
        <v>465760</v>
      </c>
      <c r="I97" t="str">
        <f>VLOOKUP(Tabela1[[#This Row],[CO_PAIS]],'[1]nome do paixs'!$A:$B,2,0)</f>
        <v>França</v>
      </c>
      <c r="J97" t="s">
        <v>13</v>
      </c>
    </row>
    <row r="98" spans="1:10">
      <c r="A98">
        <v>2023</v>
      </c>
      <c r="B98">
        <v>1</v>
      </c>
      <c r="C98">
        <v>8807</v>
      </c>
      <c r="D98">
        <v>23</v>
      </c>
      <c r="E98" t="s">
        <v>10</v>
      </c>
      <c r="F98">
        <v>3454102</v>
      </c>
      <c r="G98" s="1">
        <v>6265</v>
      </c>
      <c r="H98" s="2">
        <v>1006875</v>
      </c>
      <c r="I98" t="str">
        <f>VLOOKUP(Tabela1[[#This Row],[CO_PAIS]],'[1]nome do paixs'!$A:$B,2,0)</f>
        <v>Alemanha</v>
      </c>
      <c r="J98" t="s">
        <v>11</v>
      </c>
    </row>
    <row r="99" spans="1:10">
      <c r="A99">
        <v>2023</v>
      </c>
      <c r="B99">
        <v>1</v>
      </c>
      <c r="C99">
        <v>8807</v>
      </c>
      <c r="D99">
        <v>149</v>
      </c>
      <c r="E99" t="s">
        <v>10</v>
      </c>
      <c r="F99">
        <v>3449904</v>
      </c>
      <c r="G99" s="1">
        <v>42</v>
      </c>
      <c r="H99" s="2">
        <v>31663</v>
      </c>
      <c r="I99" t="str">
        <f>VLOOKUP(Tabela1[[#This Row],[CO_PAIS]],'[1]nome do paixs'!$A:$B,2,0)</f>
        <v>Canadá</v>
      </c>
      <c r="J99" t="s">
        <v>12</v>
      </c>
    </row>
    <row r="100" spans="1:10">
      <c r="A100">
        <v>2023</v>
      </c>
      <c r="B100">
        <v>1</v>
      </c>
      <c r="C100">
        <v>8807</v>
      </c>
      <c r="D100">
        <v>245</v>
      </c>
      <c r="E100" t="s">
        <v>10</v>
      </c>
      <c r="F100">
        <v>3424402</v>
      </c>
      <c r="G100" s="1">
        <v>428</v>
      </c>
      <c r="H100" s="2">
        <v>105751</v>
      </c>
      <c r="I100" t="str">
        <f>VLOOKUP(Tabela1[[#This Row],[CO_PAIS]],'[1]nome do paixs'!$A:$B,2,0)</f>
        <v>Espanha</v>
      </c>
      <c r="J100" t="s">
        <v>13</v>
      </c>
    </row>
    <row r="101" spans="1:10">
      <c r="A101">
        <v>2023</v>
      </c>
      <c r="B101">
        <v>1</v>
      </c>
      <c r="C101">
        <v>8807</v>
      </c>
      <c r="D101">
        <v>105</v>
      </c>
      <c r="E101" t="s">
        <v>10</v>
      </c>
      <c r="F101">
        <v>3449904</v>
      </c>
      <c r="G101" s="1">
        <v>7374</v>
      </c>
      <c r="H101" s="2">
        <v>5025761</v>
      </c>
      <c r="I101" t="str">
        <f>VLOOKUP(Tabela1[[#This Row],[CO_PAIS]],'[1]nome do paixs'!$A:$B,2,0)</f>
        <v>Brasil</v>
      </c>
      <c r="J101" t="s">
        <v>12</v>
      </c>
    </row>
    <row r="102" spans="1:10">
      <c r="A102">
        <v>2023</v>
      </c>
      <c r="B102">
        <v>1</v>
      </c>
      <c r="C102">
        <v>8807</v>
      </c>
      <c r="D102">
        <v>386</v>
      </c>
      <c r="E102" t="s">
        <v>10</v>
      </c>
      <c r="F102">
        <v>3449904</v>
      </c>
      <c r="G102" s="1">
        <v>70</v>
      </c>
      <c r="H102" s="2">
        <v>60486</v>
      </c>
      <c r="I102" t="str">
        <f>VLOOKUP(Tabela1[[#This Row],[CO_PAIS]],'[1]nome do paixs'!$A:$B,2,0)</f>
        <v>Itália</v>
      </c>
      <c r="J102" t="s">
        <v>12</v>
      </c>
    </row>
    <row r="103" spans="1:10">
      <c r="A103">
        <v>2023</v>
      </c>
      <c r="B103">
        <v>1</v>
      </c>
      <c r="C103">
        <v>8807</v>
      </c>
      <c r="D103">
        <v>160</v>
      </c>
      <c r="E103" t="s">
        <v>10</v>
      </c>
      <c r="F103">
        <v>3449904</v>
      </c>
      <c r="G103" s="1">
        <v>2</v>
      </c>
      <c r="H103" s="2">
        <v>7197</v>
      </c>
      <c r="I103" t="str">
        <f>VLOOKUP(Tabela1[[#This Row],[CO_PAIS]],'[1]nome do paixs'!$A:$B,2,0)</f>
        <v>China</v>
      </c>
      <c r="J103" t="s">
        <v>12</v>
      </c>
    </row>
    <row r="104" spans="1:10">
      <c r="A104">
        <v>2023</v>
      </c>
      <c r="B104">
        <v>1</v>
      </c>
      <c r="C104">
        <v>8807</v>
      </c>
      <c r="D104">
        <v>245</v>
      </c>
      <c r="E104" t="s">
        <v>10</v>
      </c>
      <c r="F104">
        <v>3449904</v>
      </c>
      <c r="G104" s="1">
        <v>2010</v>
      </c>
      <c r="H104" s="2">
        <v>1185096</v>
      </c>
      <c r="I104" t="str">
        <f>VLOOKUP(Tabela1[[#This Row],[CO_PAIS]],'[1]nome do paixs'!$A:$B,2,0)</f>
        <v>Espanha</v>
      </c>
      <c r="J104" t="s">
        <v>12</v>
      </c>
    </row>
    <row r="105" spans="1:10">
      <c r="A105">
        <v>2023</v>
      </c>
      <c r="B105">
        <v>1</v>
      </c>
      <c r="C105">
        <v>8807</v>
      </c>
      <c r="D105">
        <v>275</v>
      </c>
      <c r="E105" t="s">
        <v>10</v>
      </c>
      <c r="F105">
        <v>3454102</v>
      </c>
      <c r="G105" s="1">
        <v>1571</v>
      </c>
      <c r="H105" s="2">
        <v>2186385</v>
      </c>
      <c r="I105" t="str">
        <f>VLOOKUP(Tabela1[[#This Row],[CO_PAIS]],'[1]nome do paixs'!$A:$B,2,0)</f>
        <v>França</v>
      </c>
      <c r="J105" t="s">
        <v>11</v>
      </c>
    </row>
    <row r="106" spans="1:10">
      <c r="A106">
        <v>2023</v>
      </c>
      <c r="B106">
        <v>1</v>
      </c>
      <c r="C106">
        <v>8807</v>
      </c>
      <c r="D106">
        <v>72</v>
      </c>
      <c r="E106" t="s">
        <v>10</v>
      </c>
      <c r="F106">
        <v>3454102</v>
      </c>
      <c r="G106" s="1">
        <v>1597</v>
      </c>
      <c r="H106" s="2">
        <v>728158</v>
      </c>
      <c r="I106" t="str">
        <f>VLOOKUP(Tabela1[[#This Row],[CO_PAIS]],'[1]nome do paixs'!$A:$B,2,0)</f>
        <v>Áustria</v>
      </c>
      <c r="J106" t="s">
        <v>11</v>
      </c>
    </row>
    <row r="107" spans="1:10">
      <c r="A107">
        <v>2023</v>
      </c>
      <c r="B107">
        <v>1</v>
      </c>
      <c r="C107">
        <v>8807</v>
      </c>
      <c r="D107">
        <v>741</v>
      </c>
      <c r="E107" t="s">
        <v>10</v>
      </c>
      <c r="F107">
        <v>3449904</v>
      </c>
      <c r="G107" s="1">
        <v>186</v>
      </c>
      <c r="H107" s="2">
        <v>194526</v>
      </c>
      <c r="I107" t="str">
        <f>VLOOKUP(Tabela1[[#This Row],[CO_PAIS]],'[1]nome do paixs'!$A:$B,2,0)</f>
        <v>Singapura</v>
      </c>
      <c r="J107" t="s">
        <v>12</v>
      </c>
    </row>
    <row r="108" spans="1:10">
      <c r="A108">
        <v>2023</v>
      </c>
      <c r="B108">
        <v>1</v>
      </c>
      <c r="C108">
        <v>8807</v>
      </c>
      <c r="D108">
        <v>386</v>
      </c>
      <c r="E108" t="s">
        <v>10</v>
      </c>
      <c r="F108">
        <v>3454102</v>
      </c>
      <c r="G108" s="1">
        <v>384</v>
      </c>
      <c r="H108" s="2">
        <v>991968</v>
      </c>
      <c r="I108" t="str">
        <f>VLOOKUP(Tabela1[[#This Row],[CO_PAIS]],'[1]nome do paixs'!$A:$B,2,0)</f>
        <v>Itália</v>
      </c>
      <c r="J108" t="s">
        <v>11</v>
      </c>
    </row>
    <row r="109" spans="1:10">
      <c r="A109">
        <v>2023</v>
      </c>
      <c r="B109">
        <v>1</v>
      </c>
      <c r="C109">
        <v>8807</v>
      </c>
      <c r="D109">
        <v>607</v>
      </c>
      <c r="E109" t="s">
        <v>10</v>
      </c>
      <c r="F109">
        <v>3454102</v>
      </c>
      <c r="G109" s="1">
        <v>20959</v>
      </c>
      <c r="H109" s="2">
        <v>6157317</v>
      </c>
      <c r="I109" t="str">
        <f>VLOOKUP(Tabela1[[#This Row],[CO_PAIS]],'[1]nome do paixs'!$A:$B,2,0)</f>
        <v>Portugal</v>
      </c>
      <c r="J109" t="s">
        <v>11</v>
      </c>
    </row>
    <row r="110" spans="1:10">
      <c r="A110">
        <v>2023</v>
      </c>
      <c r="B110">
        <v>1</v>
      </c>
      <c r="C110">
        <v>8807</v>
      </c>
      <c r="D110">
        <v>676</v>
      </c>
      <c r="E110" t="s">
        <v>10</v>
      </c>
      <c r="F110">
        <v>3449904</v>
      </c>
      <c r="G110" s="1">
        <v>17</v>
      </c>
      <c r="H110" s="2">
        <v>11005</v>
      </c>
      <c r="I110" t="str">
        <f>VLOOKUP(Tabela1[[#This Row],[CO_PAIS]],'[1]nome do paixs'!$A:$B,2,0)</f>
        <v>Rússia</v>
      </c>
      <c r="J110" t="s">
        <v>12</v>
      </c>
    </row>
    <row r="111" spans="1:10">
      <c r="A111">
        <v>2023</v>
      </c>
      <c r="B111">
        <v>1</v>
      </c>
      <c r="C111">
        <v>8807</v>
      </c>
      <c r="D111">
        <v>493</v>
      </c>
      <c r="E111" t="s">
        <v>10</v>
      </c>
      <c r="F111">
        <v>3454102</v>
      </c>
      <c r="G111" s="1">
        <v>9087</v>
      </c>
      <c r="H111" s="2">
        <v>2826896</v>
      </c>
      <c r="I111" t="str">
        <f>VLOOKUP(Tabela1[[#This Row],[CO_PAIS]],'[1]nome do paixs'!$A:$B,2,0)</f>
        <v>México</v>
      </c>
      <c r="J111" t="s">
        <v>11</v>
      </c>
    </row>
    <row r="112" spans="1:10">
      <c r="A112">
        <v>2023</v>
      </c>
      <c r="B112">
        <v>1</v>
      </c>
      <c r="C112">
        <v>8807</v>
      </c>
      <c r="D112">
        <v>628</v>
      </c>
      <c r="E112" t="s">
        <v>10</v>
      </c>
      <c r="F112">
        <v>3454102</v>
      </c>
      <c r="G112" s="1">
        <v>140</v>
      </c>
      <c r="H112" s="2">
        <v>147362</v>
      </c>
      <c r="I112" t="str">
        <f>VLOOKUP(Tabela1[[#This Row],[CO_PAIS]],'[1]nome do paixs'!$A:$B,2,0)</f>
        <v>Reino Unido</v>
      </c>
      <c r="J112" t="s">
        <v>11</v>
      </c>
    </row>
    <row r="113" spans="1:10">
      <c r="A113">
        <v>2023</v>
      </c>
      <c r="B113">
        <v>1</v>
      </c>
      <c r="C113">
        <v>8807</v>
      </c>
      <c r="D113">
        <v>493</v>
      </c>
      <c r="E113" t="s">
        <v>10</v>
      </c>
      <c r="F113">
        <v>3449904</v>
      </c>
      <c r="G113" s="1">
        <v>1270</v>
      </c>
      <c r="H113" s="2">
        <v>1244360</v>
      </c>
      <c r="I113" t="str">
        <f>VLOOKUP(Tabela1[[#This Row],[CO_PAIS]],'[1]nome do paixs'!$A:$B,2,0)</f>
        <v>México</v>
      </c>
      <c r="J113" t="s">
        <v>12</v>
      </c>
    </row>
    <row r="114" spans="1:10">
      <c r="A114">
        <v>2023</v>
      </c>
      <c r="B114">
        <v>1</v>
      </c>
      <c r="C114">
        <v>8807</v>
      </c>
      <c r="D114">
        <v>827</v>
      </c>
      <c r="E114" t="s">
        <v>10</v>
      </c>
      <c r="F114">
        <v>3449904</v>
      </c>
      <c r="G114" s="1">
        <v>0</v>
      </c>
      <c r="H114" s="2">
        <v>864</v>
      </c>
      <c r="I114" t="str">
        <f>VLOOKUP(Tabela1[[#This Row],[CO_PAIS]],'[1]nome do paixs'!$A:$B,2,0)</f>
        <v>Turquia</v>
      </c>
      <c r="J114" t="s">
        <v>12</v>
      </c>
    </row>
    <row r="115" spans="1:10">
      <c r="A115">
        <v>2023</v>
      </c>
      <c r="B115">
        <v>1</v>
      </c>
      <c r="C115">
        <v>8807</v>
      </c>
      <c r="D115">
        <v>603</v>
      </c>
      <c r="E115" t="s">
        <v>10</v>
      </c>
      <c r="F115">
        <v>3449904</v>
      </c>
      <c r="G115" s="1">
        <v>33</v>
      </c>
      <c r="H115" s="2">
        <v>11951</v>
      </c>
      <c r="I115" t="str">
        <f>VLOOKUP(Tabela1[[#This Row],[CO_PAIS]],'[1]nome do paixs'!$A:$B,2,0)</f>
        <v>Polônia</v>
      </c>
      <c r="J115" t="s">
        <v>12</v>
      </c>
    </row>
    <row r="116" spans="1:10">
      <c r="A116">
        <v>2023</v>
      </c>
      <c r="B116">
        <v>1</v>
      </c>
      <c r="C116">
        <v>8807</v>
      </c>
      <c r="D116">
        <v>158</v>
      </c>
      <c r="E116" t="s">
        <v>10</v>
      </c>
      <c r="F116">
        <v>3449904</v>
      </c>
      <c r="G116" s="1">
        <v>17</v>
      </c>
      <c r="H116" s="2">
        <v>35839</v>
      </c>
      <c r="I116" t="str">
        <f>VLOOKUP(Tabela1[[#This Row],[CO_PAIS]],'[1]nome do paixs'!$A:$B,2,0)</f>
        <v>Chile</v>
      </c>
      <c r="J116" t="s">
        <v>12</v>
      </c>
    </row>
    <row r="117" spans="1:10">
      <c r="A117">
        <v>2023</v>
      </c>
      <c r="B117">
        <v>1</v>
      </c>
      <c r="C117">
        <v>8807</v>
      </c>
      <c r="D117">
        <v>87</v>
      </c>
      <c r="E117" t="s">
        <v>10</v>
      </c>
      <c r="F117">
        <v>3449904</v>
      </c>
      <c r="G117" s="1">
        <v>1754</v>
      </c>
      <c r="H117" s="2">
        <v>1869872</v>
      </c>
      <c r="I117" t="str">
        <f>VLOOKUP(Tabela1[[#This Row],[CO_PAIS]],'[1]nome do paixs'!$A:$B,2,0)</f>
        <v>Bélgica</v>
      </c>
      <c r="J117" t="s">
        <v>12</v>
      </c>
    </row>
    <row r="118" spans="1:10">
      <c r="A118">
        <v>2023</v>
      </c>
      <c r="B118">
        <v>1</v>
      </c>
      <c r="C118">
        <v>8807</v>
      </c>
      <c r="D118">
        <v>375</v>
      </c>
      <c r="E118" t="s">
        <v>10</v>
      </c>
      <c r="F118">
        <v>3449904</v>
      </c>
      <c r="G118" s="1">
        <v>0</v>
      </c>
      <c r="H118" s="2">
        <v>15</v>
      </c>
      <c r="I118" t="str">
        <f>VLOOKUP(Tabela1[[#This Row],[CO_PAIS]],'[1]nome do paixs'!$A:$B,2,0)</f>
        <v>Irlanda</v>
      </c>
      <c r="J118" t="s">
        <v>12</v>
      </c>
    </row>
    <row r="119" spans="1:10">
      <c r="A119">
        <v>2023</v>
      </c>
      <c r="B119">
        <v>1</v>
      </c>
      <c r="C119">
        <v>8807</v>
      </c>
      <c r="D119">
        <v>791</v>
      </c>
      <c r="E119" t="s">
        <v>10</v>
      </c>
      <c r="F119">
        <v>3454102</v>
      </c>
      <c r="G119" s="1">
        <v>0</v>
      </c>
      <c r="H119" s="2">
        <v>674</v>
      </c>
      <c r="I119" t="str">
        <f>VLOOKUP(Tabela1[[#This Row],[CO_PAIS]],'[1]nome do paixs'!$A:$B,2,0)</f>
        <v>Tcheca, República</v>
      </c>
      <c r="J119" t="s">
        <v>11</v>
      </c>
    </row>
    <row r="120" spans="1:10">
      <c r="A120">
        <v>2023</v>
      </c>
      <c r="B120">
        <v>1</v>
      </c>
      <c r="C120">
        <v>8807</v>
      </c>
      <c r="D120">
        <v>361</v>
      </c>
      <c r="E120" t="s">
        <v>10</v>
      </c>
      <c r="F120">
        <v>3449904</v>
      </c>
      <c r="G120" s="1">
        <v>781</v>
      </c>
      <c r="H120" s="2">
        <v>353708</v>
      </c>
      <c r="I120" t="str">
        <f>VLOOKUP(Tabela1[[#This Row],[CO_PAIS]],'[1]nome do paixs'!$A:$B,2,0)</f>
        <v>Índia</v>
      </c>
      <c r="J120" t="s">
        <v>12</v>
      </c>
    </row>
    <row r="121" spans="1:10">
      <c r="A121">
        <v>2023</v>
      </c>
      <c r="B121">
        <v>1</v>
      </c>
      <c r="C121">
        <v>8807</v>
      </c>
      <c r="D121">
        <v>245</v>
      </c>
      <c r="E121" t="s">
        <v>10</v>
      </c>
      <c r="F121">
        <v>3454102</v>
      </c>
      <c r="G121" s="1">
        <v>1231</v>
      </c>
      <c r="H121" s="2">
        <v>1155536</v>
      </c>
      <c r="I121" t="str">
        <f>VLOOKUP(Tabela1[[#This Row],[CO_PAIS]],'[1]nome do paixs'!$A:$B,2,0)</f>
        <v>Espanha</v>
      </c>
      <c r="J121" t="s">
        <v>11</v>
      </c>
    </row>
    <row r="122" spans="1:10">
      <c r="A122">
        <v>2023</v>
      </c>
      <c r="B122">
        <v>1</v>
      </c>
      <c r="C122">
        <v>8807</v>
      </c>
      <c r="D122">
        <v>149</v>
      </c>
      <c r="E122" t="s">
        <v>10</v>
      </c>
      <c r="F122">
        <v>3454102</v>
      </c>
      <c r="G122" s="1">
        <v>72</v>
      </c>
      <c r="H122" s="2">
        <v>23897</v>
      </c>
      <c r="I122" t="str">
        <f>VLOOKUP(Tabela1[[#This Row],[CO_PAIS]],'[1]nome do paixs'!$A:$B,2,0)</f>
        <v>Canadá</v>
      </c>
      <c r="J122" t="s">
        <v>11</v>
      </c>
    </row>
    <row r="123" spans="1:10">
      <c r="A123">
        <v>2023</v>
      </c>
      <c r="B123">
        <v>1</v>
      </c>
      <c r="C123">
        <v>8807</v>
      </c>
      <c r="D123">
        <v>399</v>
      </c>
      <c r="E123" t="s">
        <v>10</v>
      </c>
      <c r="F123">
        <v>3449904</v>
      </c>
      <c r="G123" s="1">
        <v>623</v>
      </c>
      <c r="H123" s="2">
        <v>591086</v>
      </c>
      <c r="I123" t="str">
        <f>VLOOKUP(Tabela1[[#This Row],[CO_PAIS]],'[1]nome do paixs'!$A:$B,2,0)</f>
        <v>Japão</v>
      </c>
      <c r="J123" t="s">
        <v>12</v>
      </c>
    </row>
    <row r="124" spans="1:10">
      <c r="A124">
        <v>2023</v>
      </c>
      <c r="B124">
        <v>1</v>
      </c>
      <c r="C124">
        <v>8807</v>
      </c>
      <c r="D124">
        <v>474</v>
      </c>
      <c r="E124" t="s">
        <v>10</v>
      </c>
      <c r="F124">
        <v>3449904</v>
      </c>
      <c r="G124" s="1">
        <v>20</v>
      </c>
      <c r="H124" s="2">
        <v>48265</v>
      </c>
      <c r="I124" t="str">
        <f>VLOOKUP(Tabela1[[#This Row],[CO_PAIS]],'[1]nome do paixs'!$A:$B,2,0)</f>
        <v>Marrocos</v>
      </c>
      <c r="J124" t="s">
        <v>12</v>
      </c>
    </row>
    <row r="125" spans="1:10">
      <c r="A125">
        <v>2023</v>
      </c>
      <c r="B125">
        <v>1</v>
      </c>
      <c r="C125">
        <v>8807</v>
      </c>
      <c r="D125">
        <v>455</v>
      </c>
      <c r="E125" t="s">
        <v>10</v>
      </c>
      <c r="F125">
        <v>3454102</v>
      </c>
      <c r="G125" s="1">
        <v>3602</v>
      </c>
      <c r="H125" s="2">
        <v>403469</v>
      </c>
      <c r="I125" t="str">
        <f>VLOOKUP(Tabela1[[#This Row],[CO_PAIS]],'[1]nome do paixs'!$A:$B,2,0)</f>
        <v>Malásia</v>
      </c>
      <c r="J125" t="s">
        <v>11</v>
      </c>
    </row>
    <row r="126" spans="1:10">
      <c r="A126">
        <v>2023</v>
      </c>
      <c r="B126">
        <v>1</v>
      </c>
      <c r="C126">
        <v>8807</v>
      </c>
      <c r="D126">
        <v>87</v>
      </c>
      <c r="E126" t="s">
        <v>10</v>
      </c>
      <c r="F126">
        <v>3454102</v>
      </c>
      <c r="G126" s="1">
        <v>922</v>
      </c>
      <c r="H126" s="2">
        <v>926406</v>
      </c>
      <c r="I126" t="str">
        <f>VLOOKUP(Tabela1[[#This Row],[CO_PAIS]],'[1]nome do paixs'!$A:$B,2,0)</f>
        <v>Bélgica</v>
      </c>
      <c r="J126" t="s">
        <v>11</v>
      </c>
    </row>
    <row r="127" spans="1:10">
      <c r="A127">
        <v>2023</v>
      </c>
      <c r="B127">
        <v>1</v>
      </c>
      <c r="C127">
        <v>8807</v>
      </c>
      <c r="D127">
        <v>249</v>
      </c>
      <c r="E127" t="s">
        <v>10</v>
      </c>
      <c r="F127">
        <v>3424402</v>
      </c>
      <c r="G127" s="1">
        <v>426</v>
      </c>
      <c r="H127" s="2">
        <v>83545</v>
      </c>
      <c r="I127" t="str">
        <f>VLOOKUP(Tabela1[[#This Row],[CO_PAIS]],'[1]nome do paixs'!$A:$B,2,0)</f>
        <v>Estados Unidos</v>
      </c>
      <c r="J127" t="s">
        <v>13</v>
      </c>
    </row>
    <row r="128" spans="1:10">
      <c r="A128">
        <v>2023</v>
      </c>
      <c r="B128">
        <v>1</v>
      </c>
      <c r="C128">
        <v>8807</v>
      </c>
      <c r="D128">
        <v>399</v>
      </c>
      <c r="E128" t="s">
        <v>10</v>
      </c>
      <c r="F128">
        <v>3454102</v>
      </c>
      <c r="G128" s="1">
        <v>3729</v>
      </c>
      <c r="H128" s="2">
        <v>2187395</v>
      </c>
      <c r="I128" t="str">
        <f>VLOOKUP(Tabela1[[#This Row],[CO_PAIS]],'[1]nome do paixs'!$A:$B,2,0)</f>
        <v>Japão</v>
      </c>
      <c r="J128" t="s">
        <v>11</v>
      </c>
    </row>
    <row r="129" spans="1:10">
      <c r="A129">
        <v>2023</v>
      </c>
      <c r="B129">
        <v>1</v>
      </c>
      <c r="C129">
        <v>8807</v>
      </c>
      <c r="D129">
        <v>628</v>
      </c>
      <c r="E129" t="s">
        <v>10</v>
      </c>
      <c r="F129">
        <v>3449904</v>
      </c>
      <c r="G129" s="1">
        <v>921</v>
      </c>
      <c r="H129" s="2">
        <v>703021</v>
      </c>
      <c r="I129" t="str">
        <f>VLOOKUP(Tabela1[[#This Row],[CO_PAIS]],'[1]nome do paixs'!$A:$B,2,0)</f>
        <v>Reino Unido</v>
      </c>
      <c r="J129" t="s">
        <v>12</v>
      </c>
    </row>
    <row r="130" spans="1:10">
      <c r="A130">
        <v>2023</v>
      </c>
      <c r="B130">
        <v>1</v>
      </c>
      <c r="C130">
        <v>8807</v>
      </c>
      <c r="D130">
        <v>249</v>
      </c>
      <c r="E130" t="s">
        <v>10</v>
      </c>
      <c r="F130">
        <v>3454102</v>
      </c>
      <c r="G130" s="1">
        <v>25687</v>
      </c>
      <c r="H130" s="2">
        <v>8373889</v>
      </c>
      <c r="I130" t="str">
        <f>VLOOKUP(Tabela1[[#This Row],[CO_PAIS]],'[1]nome do paixs'!$A:$B,2,0)</f>
        <v>Estados Unidos</v>
      </c>
      <c r="J130" t="s">
        <v>11</v>
      </c>
    </row>
    <row r="131" spans="1:10">
      <c r="A131">
        <v>2023</v>
      </c>
      <c r="B131">
        <v>1</v>
      </c>
      <c r="C131">
        <v>8807</v>
      </c>
      <c r="D131">
        <v>474</v>
      </c>
      <c r="E131" t="s">
        <v>10</v>
      </c>
      <c r="F131">
        <v>3454102</v>
      </c>
      <c r="G131" s="1">
        <v>92</v>
      </c>
      <c r="H131" s="2">
        <v>197636</v>
      </c>
      <c r="I131" t="str">
        <f>VLOOKUP(Tabela1[[#This Row],[CO_PAIS]],'[1]nome do paixs'!$A:$B,2,0)</f>
        <v>Marrocos</v>
      </c>
      <c r="J131" t="s">
        <v>11</v>
      </c>
    </row>
    <row r="132" spans="1:10">
      <c r="A132">
        <v>2023</v>
      </c>
      <c r="B132">
        <v>1</v>
      </c>
      <c r="C132">
        <v>8807</v>
      </c>
      <c r="D132">
        <v>791</v>
      </c>
      <c r="E132" t="s">
        <v>10</v>
      </c>
      <c r="F132">
        <v>3449904</v>
      </c>
      <c r="G132" s="1">
        <v>3</v>
      </c>
      <c r="H132" s="2">
        <v>1950</v>
      </c>
      <c r="I132" t="str">
        <f>VLOOKUP(Tabela1[[#This Row],[CO_PAIS]],'[1]nome do paixs'!$A:$B,2,0)</f>
        <v>Tcheca, República</v>
      </c>
      <c r="J132" t="s">
        <v>12</v>
      </c>
    </row>
    <row r="133" spans="1:10">
      <c r="A133">
        <v>2023</v>
      </c>
      <c r="B133">
        <v>1</v>
      </c>
      <c r="C133">
        <v>8807</v>
      </c>
      <c r="D133">
        <v>791</v>
      </c>
      <c r="E133" t="s">
        <v>10</v>
      </c>
      <c r="F133">
        <v>3424402</v>
      </c>
      <c r="G133" s="1">
        <v>138</v>
      </c>
      <c r="H133" s="2">
        <v>139225</v>
      </c>
      <c r="I133" t="str">
        <f>VLOOKUP(Tabela1[[#This Row],[CO_PAIS]],'[1]nome do paixs'!$A:$B,2,0)</f>
        <v>Tcheca, República</v>
      </c>
      <c r="J133" t="s">
        <v>13</v>
      </c>
    </row>
    <row r="134" spans="1:10">
      <c r="A134">
        <v>2023</v>
      </c>
      <c r="B134">
        <v>1</v>
      </c>
      <c r="C134">
        <v>8807</v>
      </c>
      <c r="D134">
        <v>607</v>
      </c>
      <c r="E134" t="s">
        <v>10</v>
      </c>
      <c r="F134">
        <v>3449904</v>
      </c>
      <c r="G134" s="1">
        <v>14</v>
      </c>
      <c r="H134" s="2">
        <v>30710</v>
      </c>
      <c r="I134" t="str">
        <f>VLOOKUP(Tabela1[[#This Row],[CO_PAIS]],'[1]nome do paixs'!$A:$B,2,0)</f>
        <v>Portugal</v>
      </c>
      <c r="J134" t="s">
        <v>12</v>
      </c>
    </row>
    <row r="135" spans="1:10">
      <c r="A135">
        <v>2023</v>
      </c>
      <c r="B135">
        <v>1</v>
      </c>
      <c r="C135">
        <v>8807</v>
      </c>
      <c r="D135">
        <v>87</v>
      </c>
      <c r="E135" t="s">
        <v>10</v>
      </c>
      <c r="F135">
        <v>3424402</v>
      </c>
      <c r="G135" s="1">
        <v>18</v>
      </c>
      <c r="H135" s="2">
        <v>30348</v>
      </c>
      <c r="I135" t="str">
        <f>VLOOKUP(Tabela1[[#This Row],[CO_PAIS]],'[1]nome do paixs'!$A:$B,2,0)</f>
        <v>Bélgica</v>
      </c>
      <c r="J135" t="s">
        <v>13</v>
      </c>
    </row>
    <row r="136" spans="1:10">
      <c r="A136">
        <v>2023</v>
      </c>
      <c r="B136">
        <v>1</v>
      </c>
      <c r="C136">
        <v>8807</v>
      </c>
      <c r="D136">
        <v>72</v>
      </c>
      <c r="E136" t="s">
        <v>10</v>
      </c>
      <c r="F136">
        <v>3449904</v>
      </c>
      <c r="G136" s="1">
        <v>6</v>
      </c>
      <c r="H136" s="2">
        <v>3300</v>
      </c>
      <c r="I136" t="str">
        <f>VLOOKUP(Tabela1[[#This Row],[CO_PAIS]],'[1]nome do paixs'!$A:$B,2,0)</f>
        <v>Áustria</v>
      </c>
      <c r="J136" t="s">
        <v>12</v>
      </c>
    </row>
    <row r="137" spans="1:10">
      <c r="A137">
        <v>2023</v>
      </c>
      <c r="B137">
        <v>1</v>
      </c>
      <c r="C137">
        <v>8807</v>
      </c>
      <c r="D137">
        <v>105</v>
      </c>
      <c r="E137" t="s">
        <v>10</v>
      </c>
      <c r="F137">
        <v>3454102</v>
      </c>
      <c r="G137" s="1">
        <v>3136</v>
      </c>
      <c r="H137" s="2">
        <v>3330701</v>
      </c>
      <c r="I137" t="str">
        <f>VLOOKUP(Tabela1[[#This Row],[CO_PAIS]],'[1]nome do paixs'!$A:$B,2,0)</f>
        <v>Brasil</v>
      </c>
      <c r="J137" t="s">
        <v>11</v>
      </c>
    </row>
    <row r="138" spans="1:10">
      <c r="A138">
        <v>2023</v>
      </c>
      <c r="B138">
        <v>1</v>
      </c>
      <c r="C138">
        <v>8807</v>
      </c>
      <c r="D138">
        <v>190</v>
      </c>
      <c r="E138" t="s">
        <v>10</v>
      </c>
      <c r="F138">
        <v>3449904</v>
      </c>
      <c r="G138" s="1">
        <v>55</v>
      </c>
      <c r="H138" s="2">
        <v>38885</v>
      </c>
      <c r="I138" t="str">
        <f>VLOOKUP(Tabela1[[#This Row],[CO_PAIS]],'[1]nome do paixs'!$A:$B,2,0)</f>
        <v>Coreia do Sul</v>
      </c>
      <c r="J138" t="s">
        <v>12</v>
      </c>
    </row>
    <row r="139" spans="1:10">
      <c r="A139">
        <v>2022</v>
      </c>
      <c r="B139">
        <v>1</v>
      </c>
      <c r="C139">
        <v>8803</v>
      </c>
      <c r="D139">
        <v>399</v>
      </c>
      <c r="E139" t="s">
        <v>10</v>
      </c>
      <c r="F139">
        <v>3454102</v>
      </c>
      <c r="G139" s="1">
        <v>1401</v>
      </c>
      <c r="H139" s="2">
        <v>686976</v>
      </c>
      <c r="I139" t="str">
        <f>VLOOKUP(Tabela1[[#This Row],[CO_PAIS]],'[1]nome do paixs'!$A:$B,2,0)</f>
        <v>Japão</v>
      </c>
      <c r="J139" t="s">
        <v>11</v>
      </c>
    </row>
    <row r="140" spans="1:10">
      <c r="A140">
        <v>2022</v>
      </c>
      <c r="B140">
        <v>1</v>
      </c>
      <c r="C140">
        <v>8803</v>
      </c>
      <c r="D140">
        <v>399</v>
      </c>
      <c r="E140" t="s">
        <v>10</v>
      </c>
      <c r="F140">
        <v>3449904</v>
      </c>
      <c r="G140" s="1">
        <v>2</v>
      </c>
      <c r="H140" s="2">
        <v>3896</v>
      </c>
      <c r="I140" t="str">
        <f>VLOOKUP(Tabela1[[#This Row],[CO_PAIS]],'[1]nome do paixs'!$A:$B,2,0)</f>
        <v>Japão</v>
      </c>
      <c r="J140" t="s">
        <v>12</v>
      </c>
    </row>
    <row r="141" spans="1:10">
      <c r="A141">
        <v>2022</v>
      </c>
      <c r="B141">
        <v>1</v>
      </c>
      <c r="C141">
        <v>8803</v>
      </c>
      <c r="D141">
        <v>791</v>
      </c>
      <c r="E141" t="s">
        <v>10</v>
      </c>
      <c r="F141">
        <v>3424402</v>
      </c>
      <c r="G141" s="1">
        <v>182</v>
      </c>
      <c r="H141" s="2">
        <v>113087</v>
      </c>
      <c r="I141" t="str">
        <f>VLOOKUP(Tabela1[[#This Row],[CO_PAIS]],'[1]nome do paixs'!$A:$B,2,0)</f>
        <v>Tcheca, República</v>
      </c>
      <c r="J141" t="s">
        <v>13</v>
      </c>
    </row>
    <row r="142" spans="1:10">
      <c r="A142">
        <v>2022</v>
      </c>
      <c r="B142">
        <v>1</v>
      </c>
      <c r="C142">
        <v>8803</v>
      </c>
      <c r="D142">
        <v>386</v>
      </c>
      <c r="E142" t="s">
        <v>10</v>
      </c>
      <c r="F142">
        <v>3449904</v>
      </c>
      <c r="G142" s="1">
        <v>26</v>
      </c>
      <c r="H142" s="2">
        <v>45237</v>
      </c>
      <c r="I142" t="str">
        <f>VLOOKUP(Tabela1[[#This Row],[CO_PAIS]],'[1]nome do paixs'!$A:$B,2,0)</f>
        <v>Itália</v>
      </c>
      <c r="J142" t="s">
        <v>12</v>
      </c>
    </row>
    <row r="143" spans="1:10">
      <c r="A143">
        <v>2022</v>
      </c>
      <c r="B143">
        <v>1</v>
      </c>
      <c r="C143">
        <v>8803</v>
      </c>
      <c r="D143">
        <v>190</v>
      </c>
      <c r="E143" t="s">
        <v>10</v>
      </c>
      <c r="F143">
        <v>3449904</v>
      </c>
      <c r="G143" s="1">
        <v>0</v>
      </c>
      <c r="H143" s="2">
        <v>1219</v>
      </c>
      <c r="I143" t="str">
        <f>VLOOKUP(Tabela1[[#This Row],[CO_PAIS]],'[1]nome do paixs'!$A:$B,2,0)</f>
        <v>Coreia do Sul</v>
      </c>
      <c r="J143" t="s">
        <v>12</v>
      </c>
    </row>
    <row r="144" spans="1:10">
      <c r="A144">
        <v>2022</v>
      </c>
      <c r="B144">
        <v>1</v>
      </c>
      <c r="C144">
        <v>8803</v>
      </c>
      <c r="D144">
        <v>105</v>
      </c>
      <c r="E144" t="s">
        <v>10</v>
      </c>
      <c r="F144">
        <v>3449904</v>
      </c>
      <c r="G144" s="1">
        <v>2451</v>
      </c>
      <c r="H144" s="2">
        <v>1717621</v>
      </c>
      <c r="I144" t="str">
        <f>VLOOKUP(Tabela1[[#This Row],[CO_PAIS]],'[1]nome do paixs'!$A:$B,2,0)</f>
        <v>Brasil</v>
      </c>
      <c r="J144" t="s">
        <v>12</v>
      </c>
    </row>
    <row r="145" spans="1:10">
      <c r="A145">
        <v>2022</v>
      </c>
      <c r="B145">
        <v>1</v>
      </c>
      <c r="C145">
        <v>8803</v>
      </c>
      <c r="D145">
        <v>628</v>
      </c>
      <c r="E145" t="s">
        <v>10</v>
      </c>
      <c r="F145">
        <v>3449904</v>
      </c>
      <c r="G145" s="1">
        <v>29</v>
      </c>
      <c r="H145" s="2">
        <v>76866</v>
      </c>
      <c r="I145" t="str">
        <f>VLOOKUP(Tabela1[[#This Row],[CO_PAIS]],'[1]nome do paixs'!$A:$B,2,0)</f>
        <v>Reino Unido</v>
      </c>
      <c r="J145" t="s">
        <v>12</v>
      </c>
    </row>
    <row r="146" spans="1:10">
      <c r="A146">
        <v>2022</v>
      </c>
      <c r="B146">
        <v>1</v>
      </c>
      <c r="C146">
        <v>8803</v>
      </c>
      <c r="D146">
        <v>249</v>
      </c>
      <c r="E146" t="s">
        <v>10</v>
      </c>
      <c r="F146">
        <v>3449904</v>
      </c>
      <c r="G146" s="1">
        <v>2112</v>
      </c>
      <c r="H146" s="2">
        <v>1501889</v>
      </c>
      <c r="I146" t="str">
        <f>VLOOKUP(Tabela1[[#This Row],[CO_PAIS]],'[1]nome do paixs'!$A:$B,2,0)</f>
        <v>Estados Unidos</v>
      </c>
      <c r="J146" t="s">
        <v>12</v>
      </c>
    </row>
    <row r="147" spans="1:10">
      <c r="A147">
        <v>2022</v>
      </c>
      <c r="B147">
        <v>1</v>
      </c>
      <c r="C147">
        <v>8803</v>
      </c>
      <c r="D147">
        <v>375</v>
      </c>
      <c r="E147" t="s">
        <v>10</v>
      </c>
      <c r="F147">
        <v>3449904</v>
      </c>
      <c r="G147" s="1">
        <v>3</v>
      </c>
      <c r="H147" s="2">
        <v>1804</v>
      </c>
      <c r="I147" t="str">
        <f>VLOOKUP(Tabela1[[#This Row],[CO_PAIS]],'[1]nome do paixs'!$A:$B,2,0)</f>
        <v>Irlanda</v>
      </c>
      <c r="J147" t="s">
        <v>12</v>
      </c>
    </row>
    <row r="148" spans="1:10">
      <c r="A148">
        <v>2022</v>
      </c>
      <c r="B148">
        <v>1</v>
      </c>
      <c r="C148">
        <v>8803</v>
      </c>
      <c r="D148">
        <v>23</v>
      </c>
      <c r="E148" t="s">
        <v>10</v>
      </c>
      <c r="F148">
        <v>3424402</v>
      </c>
      <c r="G148" s="1">
        <v>1</v>
      </c>
      <c r="H148" s="2">
        <v>1086</v>
      </c>
      <c r="I148" t="str">
        <f>VLOOKUP(Tabela1[[#This Row],[CO_PAIS]],'[1]nome do paixs'!$A:$B,2,0)</f>
        <v>Alemanha</v>
      </c>
      <c r="J148" t="s">
        <v>13</v>
      </c>
    </row>
    <row r="149" spans="1:10">
      <c r="A149">
        <v>2022</v>
      </c>
      <c r="B149">
        <v>1</v>
      </c>
      <c r="C149">
        <v>8803</v>
      </c>
      <c r="D149">
        <v>361</v>
      </c>
      <c r="E149" t="s">
        <v>10</v>
      </c>
      <c r="F149">
        <v>3449904</v>
      </c>
      <c r="G149" s="1">
        <v>109</v>
      </c>
      <c r="H149" s="2">
        <v>46538</v>
      </c>
      <c r="I149" t="str">
        <f>VLOOKUP(Tabela1[[#This Row],[CO_PAIS]],'[1]nome do paixs'!$A:$B,2,0)</f>
        <v>Índia</v>
      </c>
      <c r="J149" t="s">
        <v>12</v>
      </c>
    </row>
    <row r="150" spans="1:10">
      <c r="A150">
        <v>2022</v>
      </c>
      <c r="B150">
        <v>1</v>
      </c>
      <c r="C150">
        <v>8803</v>
      </c>
      <c r="D150">
        <v>87</v>
      </c>
      <c r="E150" t="s">
        <v>10</v>
      </c>
      <c r="F150">
        <v>3449904</v>
      </c>
      <c r="G150" s="1">
        <v>545</v>
      </c>
      <c r="H150" s="2">
        <v>766362</v>
      </c>
      <c r="I150" t="str">
        <f>VLOOKUP(Tabela1[[#This Row],[CO_PAIS]],'[1]nome do paixs'!$A:$B,2,0)</f>
        <v>Bélgica</v>
      </c>
      <c r="J150" t="s">
        <v>12</v>
      </c>
    </row>
    <row r="151" spans="1:10">
      <c r="A151">
        <v>2022</v>
      </c>
      <c r="B151">
        <v>1</v>
      </c>
      <c r="C151">
        <v>8803</v>
      </c>
      <c r="D151">
        <v>23</v>
      </c>
      <c r="E151" t="s">
        <v>10</v>
      </c>
      <c r="F151">
        <v>3454102</v>
      </c>
      <c r="G151" s="1">
        <v>11384</v>
      </c>
      <c r="H151" s="2">
        <v>568786</v>
      </c>
      <c r="I151" t="str">
        <f>VLOOKUP(Tabela1[[#This Row],[CO_PAIS]],'[1]nome do paixs'!$A:$B,2,0)</f>
        <v>Alemanha</v>
      </c>
      <c r="J151" t="s">
        <v>11</v>
      </c>
    </row>
    <row r="152" spans="1:10">
      <c r="A152">
        <v>2022</v>
      </c>
      <c r="B152">
        <v>1</v>
      </c>
      <c r="C152">
        <v>8803</v>
      </c>
      <c r="D152">
        <v>190</v>
      </c>
      <c r="E152" t="s">
        <v>10</v>
      </c>
      <c r="F152">
        <v>3454102</v>
      </c>
      <c r="G152" s="1">
        <v>3423</v>
      </c>
      <c r="H152" s="2">
        <v>3066337</v>
      </c>
      <c r="I152" t="str">
        <f>VLOOKUP(Tabela1[[#This Row],[CO_PAIS]],'[1]nome do paixs'!$A:$B,2,0)</f>
        <v>Coreia do Sul</v>
      </c>
      <c r="J152" t="s">
        <v>11</v>
      </c>
    </row>
    <row r="153" spans="1:10">
      <c r="A153">
        <v>2022</v>
      </c>
      <c r="B153">
        <v>1</v>
      </c>
      <c r="C153">
        <v>8803</v>
      </c>
      <c r="D153">
        <v>72</v>
      </c>
      <c r="E153" t="s">
        <v>10</v>
      </c>
      <c r="F153">
        <v>3454102</v>
      </c>
      <c r="G153" s="1">
        <v>1003</v>
      </c>
      <c r="H153" s="2">
        <v>457000</v>
      </c>
      <c r="I153" t="str">
        <f>VLOOKUP(Tabela1[[#This Row],[CO_PAIS]],'[1]nome do paixs'!$A:$B,2,0)</f>
        <v>Áustria</v>
      </c>
      <c r="J153" t="s">
        <v>11</v>
      </c>
    </row>
    <row r="154" spans="1:10">
      <c r="A154">
        <v>2022</v>
      </c>
      <c r="B154">
        <v>1</v>
      </c>
      <c r="C154">
        <v>8803</v>
      </c>
      <c r="D154">
        <v>493</v>
      </c>
      <c r="E154" t="s">
        <v>10</v>
      </c>
      <c r="F154">
        <v>3449904</v>
      </c>
      <c r="G154" s="1">
        <v>350</v>
      </c>
      <c r="H154" s="2">
        <v>273309</v>
      </c>
      <c r="I154" t="str">
        <f>VLOOKUP(Tabela1[[#This Row],[CO_PAIS]],'[1]nome do paixs'!$A:$B,2,0)</f>
        <v>México</v>
      </c>
      <c r="J154" t="s">
        <v>12</v>
      </c>
    </row>
    <row r="155" spans="1:10">
      <c r="A155">
        <v>2022</v>
      </c>
      <c r="B155">
        <v>1</v>
      </c>
      <c r="C155">
        <v>8803</v>
      </c>
      <c r="D155">
        <v>105</v>
      </c>
      <c r="E155" t="s">
        <v>10</v>
      </c>
      <c r="F155">
        <v>3454102</v>
      </c>
      <c r="G155" s="1">
        <v>897</v>
      </c>
      <c r="H155" s="2">
        <v>455923</v>
      </c>
      <c r="I155" t="str">
        <f>VLOOKUP(Tabela1[[#This Row],[CO_PAIS]],'[1]nome do paixs'!$A:$B,2,0)</f>
        <v>Brasil</v>
      </c>
      <c r="J155" t="s">
        <v>11</v>
      </c>
    </row>
    <row r="156" spans="1:10">
      <c r="A156">
        <v>2022</v>
      </c>
      <c r="B156">
        <v>1</v>
      </c>
      <c r="C156">
        <v>8803</v>
      </c>
      <c r="D156">
        <v>245</v>
      </c>
      <c r="E156" t="s">
        <v>10</v>
      </c>
      <c r="F156">
        <v>3424402</v>
      </c>
      <c r="G156" s="1">
        <v>162</v>
      </c>
      <c r="H156" s="2">
        <v>71075</v>
      </c>
      <c r="I156" t="str">
        <f>VLOOKUP(Tabela1[[#This Row],[CO_PAIS]],'[1]nome do paixs'!$A:$B,2,0)</f>
        <v>Espanha</v>
      </c>
      <c r="J156" t="s">
        <v>13</v>
      </c>
    </row>
    <row r="157" spans="1:10">
      <c r="A157">
        <v>2022</v>
      </c>
      <c r="B157">
        <v>1</v>
      </c>
      <c r="C157">
        <v>8803</v>
      </c>
      <c r="D157">
        <v>628</v>
      </c>
      <c r="E157" t="s">
        <v>10</v>
      </c>
      <c r="F157">
        <v>3454102</v>
      </c>
      <c r="G157" s="1">
        <v>47</v>
      </c>
      <c r="H157" s="2">
        <v>12952</v>
      </c>
      <c r="I157" t="str">
        <f>VLOOKUP(Tabela1[[#This Row],[CO_PAIS]],'[1]nome do paixs'!$A:$B,2,0)</f>
        <v>Reino Unido</v>
      </c>
      <c r="J157" t="s">
        <v>11</v>
      </c>
    </row>
    <row r="158" spans="1:10">
      <c r="A158">
        <v>2022</v>
      </c>
      <c r="B158">
        <v>1</v>
      </c>
      <c r="C158">
        <v>8803</v>
      </c>
      <c r="D158">
        <v>275</v>
      </c>
      <c r="E158" t="s">
        <v>10</v>
      </c>
      <c r="F158">
        <v>3424402</v>
      </c>
      <c r="G158" s="1">
        <v>287</v>
      </c>
      <c r="H158" s="2">
        <v>426405</v>
      </c>
      <c r="I158" t="str">
        <f>VLOOKUP(Tabela1[[#This Row],[CO_PAIS]],'[1]nome do paixs'!$A:$B,2,0)</f>
        <v>França</v>
      </c>
      <c r="J158" t="s">
        <v>13</v>
      </c>
    </row>
    <row r="159" spans="1:10">
      <c r="A159">
        <v>2022</v>
      </c>
      <c r="B159">
        <v>1</v>
      </c>
      <c r="C159">
        <v>8803</v>
      </c>
      <c r="D159">
        <v>764</v>
      </c>
      <c r="E159" t="s">
        <v>10</v>
      </c>
      <c r="F159">
        <v>3449904</v>
      </c>
      <c r="G159" s="1">
        <v>4</v>
      </c>
      <c r="H159" s="2">
        <v>350</v>
      </c>
      <c r="I159" t="str">
        <f>VLOOKUP(Tabela1[[#This Row],[CO_PAIS]],'[1]nome do paixs'!$A:$B,2,0)</f>
        <v>Suécia</v>
      </c>
      <c r="J159" t="s">
        <v>12</v>
      </c>
    </row>
    <row r="160" spans="1:10">
      <c r="A160">
        <v>2022</v>
      </c>
      <c r="B160">
        <v>1</v>
      </c>
      <c r="C160">
        <v>8803</v>
      </c>
      <c r="D160">
        <v>87</v>
      </c>
      <c r="E160" t="s">
        <v>10</v>
      </c>
      <c r="F160">
        <v>3454102</v>
      </c>
      <c r="G160" s="1">
        <v>274</v>
      </c>
      <c r="H160" s="2">
        <v>289585</v>
      </c>
      <c r="I160" t="str">
        <f>VLOOKUP(Tabela1[[#This Row],[CO_PAIS]],'[1]nome do paixs'!$A:$B,2,0)</f>
        <v>Bélgica</v>
      </c>
      <c r="J160" t="s">
        <v>11</v>
      </c>
    </row>
    <row r="161" spans="1:10">
      <c r="A161">
        <v>2022</v>
      </c>
      <c r="B161">
        <v>1</v>
      </c>
      <c r="C161">
        <v>8803</v>
      </c>
      <c r="D161">
        <v>245</v>
      </c>
      <c r="E161" t="s">
        <v>10</v>
      </c>
      <c r="F161">
        <v>3454102</v>
      </c>
      <c r="G161" s="1">
        <v>1117</v>
      </c>
      <c r="H161" s="2">
        <v>972197</v>
      </c>
      <c r="I161" t="str">
        <f>VLOOKUP(Tabela1[[#This Row],[CO_PAIS]],'[1]nome do paixs'!$A:$B,2,0)</f>
        <v>Espanha</v>
      </c>
      <c r="J161" t="s">
        <v>11</v>
      </c>
    </row>
    <row r="162" spans="1:10">
      <c r="A162">
        <v>2022</v>
      </c>
      <c r="B162">
        <v>1</v>
      </c>
      <c r="C162">
        <v>8803</v>
      </c>
      <c r="D162">
        <v>607</v>
      </c>
      <c r="E162" t="s">
        <v>10</v>
      </c>
      <c r="F162">
        <v>3454102</v>
      </c>
      <c r="G162" s="1">
        <v>4458</v>
      </c>
      <c r="H162" s="2">
        <v>1783561</v>
      </c>
      <c r="I162" t="str">
        <f>VLOOKUP(Tabela1[[#This Row],[CO_PAIS]],'[1]nome do paixs'!$A:$B,2,0)</f>
        <v>Portugal</v>
      </c>
      <c r="J162" t="s">
        <v>11</v>
      </c>
    </row>
    <row r="163" spans="1:10">
      <c r="A163">
        <v>2022</v>
      </c>
      <c r="B163">
        <v>1</v>
      </c>
      <c r="C163">
        <v>8803</v>
      </c>
      <c r="D163">
        <v>190</v>
      </c>
      <c r="E163" t="s">
        <v>10</v>
      </c>
      <c r="F163">
        <v>3424402</v>
      </c>
      <c r="G163" s="1">
        <v>88</v>
      </c>
      <c r="H163" s="2">
        <v>34134</v>
      </c>
      <c r="I163" t="str">
        <f>VLOOKUP(Tabela1[[#This Row],[CO_PAIS]],'[1]nome do paixs'!$A:$B,2,0)</f>
        <v>Coreia do Sul</v>
      </c>
      <c r="J163" t="s">
        <v>13</v>
      </c>
    </row>
    <row r="164" spans="1:10">
      <c r="A164">
        <v>2022</v>
      </c>
      <c r="B164">
        <v>1</v>
      </c>
      <c r="C164">
        <v>8803</v>
      </c>
      <c r="D164">
        <v>607</v>
      </c>
      <c r="E164" t="s">
        <v>10</v>
      </c>
      <c r="F164">
        <v>3449904</v>
      </c>
      <c r="G164" s="1">
        <v>12</v>
      </c>
      <c r="H164" s="2">
        <v>703</v>
      </c>
      <c r="I164" t="str">
        <f>VLOOKUP(Tabela1[[#This Row],[CO_PAIS]],'[1]nome do paixs'!$A:$B,2,0)</f>
        <v>Portugal</v>
      </c>
      <c r="J164" t="s">
        <v>12</v>
      </c>
    </row>
    <row r="165" spans="1:10">
      <c r="A165">
        <v>2022</v>
      </c>
      <c r="B165">
        <v>1</v>
      </c>
      <c r="C165">
        <v>8803</v>
      </c>
      <c r="D165">
        <v>493</v>
      </c>
      <c r="E165" t="s">
        <v>10</v>
      </c>
      <c r="F165">
        <v>3454102</v>
      </c>
      <c r="G165" s="1">
        <v>785</v>
      </c>
      <c r="H165" s="2">
        <v>379536</v>
      </c>
      <c r="I165" t="str">
        <f>VLOOKUP(Tabela1[[#This Row],[CO_PAIS]],'[1]nome do paixs'!$A:$B,2,0)</f>
        <v>México</v>
      </c>
      <c r="J165" t="s">
        <v>11</v>
      </c>
    </row>
    <row r="166" spans="1:10">
      <c r="A166">
        <v>2022</v>
      </c>
      <c r="B166">
        <v>1</v>
      </c>
      <c r="C166">
        <v>8803</v>
      </c>
      <c r="D166">
        <v>23</v>
      </c>
      <c r="E166" t="s">
        <v>10</v>
      </c>
      <c r="F166">
        <v>3449904</v>
      </c>
      <c r="G166" s="1">
        <v>68</v>
      </c>
      <c r="H166" s="2">
        <v>84900</v>
      </c>
      <c r="I166" t="str">
        <f>VLOOKUP(Tabela1[[#This Row],[CO_PAIS]],'[1]nome do paixs'!$A:$B,2,0)</f>
        <v>Alemanha</v>
      </c>
      <c r="J166" t="s">
        <v>12</v>
      </c>
    </row>
    <row r="167" spans="1:10">
      <c r="A167">
        <v>2022</v>
      </c>
      <c r="B167">
        <v>1</v>
      </c>
      <c r="C167">
        <v>8803</v>
      </c>
      <c r="D167">
        <v>249</v>
      </c>
      <c r="E167" t="s">
        <v>10</v>
      </c>
      <c r="F167">
        <v>3424402</v>
      </c>
      <c r="G167" s="1">
        <v>3823</v>
      </c>
      <c r="H167" s="2">
        <v>636691</v>
      </c>
      <c r="I167" t="str">
        <f>VLOOKUP(Tabela1[[#This Row],[CO_PAIS]],'[1]nome do paixs'!$A:$B,2,0)</f>
        <v>Estados Unidos</v>
      </c>
      <c r="J167" t="s">
        <v>13</v>
      </c>
    </row>
    <row r="168" spans="1:10">
      <c r="A168">
        <v>2022</v>
      </c>
      <c r="B168">
        <v>1</v>
      </c>
      <c r="C168">
        <v>8803</v>
      </c>
      <c r="D168">
        <v>275</v>
      </c>
      <c r="E168" t="s">
        <v>10</v>
      </c>
      <c r="F168">
        <v>3454102</v>
      </c>
      <c r="G168" s="1">
        <v>425</v>
      </c>
      <c r="H168" s="2">
        <v>466097</v>
      </c>
      <c r="I168" t="str">
        <f>VLOOKUP(Tabela1[[#This Row],[CO_PAIS]],'[1]nome do paixs'!$A:$B,2,0)</f>
        <v>França</v>
      </c>
      <c r="J168" t="s">
        <v>11</v>
      </c>
    </row>
    <row r="169" spans="1:10">
      <c r="A169">
        <v>2022</v>
      </c>
      <c r="B169">
        <v>1</v>
      </c>
      <c r="C169">
        <v>8803</v>
      </c>
      <c r="D169">
        <v>741</v>
      </c>
      <c r="E169" t="s">
        <v>10</v>
      </c>
      <c r="F169">
        <v>3449904</v>
      </c>
      <c r="G169" s="1">
        <v>86</v>
      </c>
      <c r="H169" s="2">
        <v>79699</v>
      </c>
      <c r="I169" t="str">
        <f>VLOOKUP(Tabela1[[#This Row],[CO_PAIS]],'[1]nome do paixs'!$A:$B,2,0)</f>
        <v>Singapura</v>
      </c>
      <c r="J169" t="s">
        <v>12</v>
      </c>
    </row>
    <row r="170" spans="1:10">
      <c r="A170">
        <v>2022</v>
      </c>
      <c r="B170">
        <v>1</v>
      </c>
      <c r="C170">
        <v>8803</v>
      </c>
      <c r="D170">
        <v>245</v>
      </c>
      <c r="E170" t="s">
        <v>10</v>
      </c>
      <c r="F170">
        <v>3449904</v>
      </c>
      <c r="G170" s="1">
        <v>765</v>
      </c>
      <c r="H170" s="2">
        <v>198245</v>
      </c>
      <c r="I170" t="str">
        <f>VLOOKUP(Tabela1[[#This Row],[CO_PAIS]],'[1]nome do paixs'!$A:$B,2,0)</f>
        <v>Espanha</v>
      </c>
      <c r="J170" t="s">
        <v>12</v>
      </c>
    </row>
    <row r="171" spans="1:10">
      <c r="A171">
        <v>2022</v>
      </c>
      <c r="B171">
        <v>1</v>
      </c>
      <c r="C171">
        <v>8803</v>
      </c>
      <c r="D171">
        <v>275</v>
      </c>
      <c r="E171" t="s">
        <v>10</v>
      </c>
      <c r="F171">
        <v>3449904</v>
      </c>
      <c r="G171" s="1">
        <v>66</v>
      </c>
      <c r="H171" s="2">
        <v>106514</v>
      </c>
      <c r="I171" t="str">
        <f>VLOOKUP(Tabela1[[#This Row],[CO_PAIS]],'[1]nome do paixs'!$A:$B,2,0)</f>
        <v>França</v>
      </c>
      <c r="J171" t="s">
        <v>12</v>
      </c>
    </row>
    <row r="172" spans="1:10">
      <c r="A172">
        <v>2022</v>
      </c>
      <c r="B172">
        <v>1</v>
      </c>
      <c r="C172">
        <v>8803</v>
      </c>
      <c r="D172">
        <v>249</v>
      </c>
      <c r="E172" t="s">
        <v>10</v>
      </c>
      <c r="F172">
        <v>3454102</v>
      </c>
      <c r="G172" s="1">
        <v>15386</v>
      </c>
      <c r="H172" s="2">
        <v>2273955</v>
      </c>
      <c r="I172" t="str">
        <f>VLOOKUP(Tabela1[[#This Row],[CO_PAIS]],'[1]nome do paixs'!$A:$B,2,0)</f>
        <v>Estados Unidos</v>
      </c>
      <c r="J172" t="s">
        <v>11</v>
      </c>
    </row>
    <row r="173" spans="1:10">
      <c r="A173">
        <v>2021</v>
      </c>
      <c r="B173">
        <v>1</v>
      </c>
      <c r="C173">
        <v>8803</v>
      </c>
      <c r="D173">
        <v>603</v>
      </c>
      <c r="E173" t="s">
        <v>10</v>
      </c>
      <c r="F173">
        <v>3449904</v>
      </c>
      <c r="G173" s="1">
        <v>8</v>
      </c>
      <c r="H173" s="2">
        <v>3301</v>
      </c>
      <c r="I173" t="str">
        <f>VLOOKUP(Tabela1[[#This Row],[CO_PAIS]],'[1]nome do paixs'!$A:$B,2,0)</f>
        <v>Polônia</v>
      </c>
      <c r="J173" t="s">
        <v>12</v>
      </c>
    </row>
    <row r="174" spans="1:10">
      <c r="A174">
        <v>2021</v>
      </c>
      <c r="B174">
        <v>1</v>
      </c>
      <c r="C174">
        <v>8803</v>
      </c>
      <c r="D174">
        <v>249</v>
      </c>
      <c r="E174" t="s">
        <v>10</v>
      </c>
      <c r="F174">
        <v>3449904</v>
      </c>
      <c r="G174" s="1">
        <v>2552</v>
      </c>
      <c r="H174" s="2">
        <v>2222282</v>
      </c>
      <c r="I174" t="str">
        <f>VLOOKUP(Tabela1[[#This Row],[CO_PAIS]],'[1]nome do paixs'!$A:$B,2,0)</f>
        <v>Estados Unidos</v>
      </c>
      <c r="J174" t="s">
        <v>12</v>
      </c>
    </row>
    <row r="175" spans="1:10">
      <c r="A175">
        <v>2021</v>
      </c>
      <c r="B175">
        <v>1</v>
      </c>
      <c r="C175">
        <v>8803</v>
      </c>
      <c r="D175">
        <v>607</v>
      </c>
      <c r="E175" t="s">
        <v>10</v>
      </c>
      <c r="F175">
        <v>3454102</v>
      </c>
      <c r="G175" s="1">
        <v>4551</v>
      </c>
      <c r="H175" s="2">
        <v>1885866</v>
      </c>
      <c r="I175" t="str">
        <f>VLOOKUP(Tabela1[[#This Row],[CO_PAIS]],'[1]nome do paixs'!$A:$B,2,0)</f>
        <v>Portugal</v>
      </c>
      <c r="J175" t="s">
        <v>11</v>
      </c>
    </row>
    <row r="176" spans="1:10">
      <c r="A176">
        <v>2021</v>
      </c>
      <c r="B176">
        <v>1</v>
      </c>
      <c r="C176">
        <v>8803</v>
      </c>
      <c r="D176">
        <v>275</v>
      </c>
      <c r="E176" t="s">
        <v>10</v>
      </c>
      <c r="F176">
        <v>3424402</v>
      </c>
      <c r="G176" s="1">
        <v>127</v>
      </c>
      <c r="H176" s="2">
        <v>128325</v>
      </c>
      <c r="I176" t="str">
        <f>VLOOKUP(Tabela1[[#This Row],[CO_PAIS]],'[1]nome do paixs'!$A:$B,2,0)</f>
        <v>França</v>
      </c>
      <c r="J176" t="s">
        <v>13</v>
      </c>
    </row>
    <row r="177" spans="1:10">
      <c r="A177">
        <v>2021</v>
      </c>
      <c r="B177">
        <v>1</v>
      </c>
      <c r="C177">
        <v>8803</v>
      </c>
      <c r="D177">
        <v>190</v>
      </c>
      <c r="E177" t="s">
        <v>10</v>
      </c>
      <c r="F177">
        <v>3454102</v>
      </c>
      <c r="G177" s="1">
        <v>1</v>
      </c>
      <c r="H177" s="2">
        <v>1580</v>
      </c>
      <c r="I177" t="str">
        <f>VLOOKUP(Tabela1[[#This Row],[CO_PAIS]],'[1]nome do paixs'!$A:$B,2,0)</f>
        <v>Coreia do Sul</v>
      </c>
      <c r="J177" t="s">
        <v>11</v>
      </c>
    </row>
    <row r="178" spans="1:10">
      <c r="A178">
        <v>2021</v>
      </c>
      <c r="B178">
        <v>1</v>
      </c>
      <c r="C178">
        <v>8803</v>
      </c>
      <c r="D178">
        <v>741</v>
      </c>
      <c r="E178" t="s">
        <v>10</v>
      </c>
      <c r="F178">
        <v>3449904</v>
      </c>
      <c r="G178" s="1">
        <v>161</v>
      </c>
      <c r="H178" s="2">
        <v>149115</v>
      </c>
      <c r="I178" t="str">
        <f>VLOOKUP(Tabela1[[#This Row],[CO_PAIS]],'[1]nome do paixs'!$A:$B,2,0)</f>
        <v>Singapura</v>
      </c>
      <c r="J178" t="s">
        <v>12</v>
      </c>
    </row>
    <row r="179" spans="1:10">
      <c r="A179">
        <v>2021</v>
      </c>
      <c r="B179">
        <v>1</v>
      </c>
      <c r="C179">
        <v>8803</v>
      </c>
      <c r="D179">
        <v>399</v>
      </c>
      <c r="E179" t="s">
        <v>10</v>
      </c>
      <c r="F179">
        <v>3449904</v>
      </c>
      <c r="G179" s="1">
        <v>179</v>
      </c>
      <c r="H179" s="2">
        <v>111566</v>
      </c>
      <c r="I179" t="str">
        <f>VLOOKUP(Tabela1[[#This Row],[CO_PAIS]],'[1]nome do paixs'!$A:$B,2,0)</f>
        <v>Japão</v>
      </c>
      <c r="J179" t="s">
        <v>12</v>
      </c>
    </row>
    <row r="180" spans="1:10">
      <c r="A180">
        <v>2021</v>
      </c>
      <c r="B180">
        <v>1</v>
      </c>
      <c r="C180">
        <v>8803</v>
      </c>
      <c r="D180">
        <v>160</v>
      </c>
      <c r="E180" t="s">
        <v>10</v>
      </c>
      <c r="F180">
        <v>3449904</v>
      </c>
      <c r="G180" s="1">
        <v>9</v>
      </c>
      <c r="H180" s="2">
        <v>818</v>
      </c>
      <c r="I180" t="str">
        <f>VLOOKUP(Tabela1[[#This Row],[CO_PAIS]],'[1]nome do paixs'!$A:$B,2,0)</f>
        <v>China</v>
      </c>
      <c r="J180" t="s">
        <v>12</v>
      </c>
    </row>
    <row r="181" spans="1:10">
      <c r="A181">
        <v>2021</v>
      </c>
      <c r="B181">
        <v>1</v>
      </c>
      <c r="C181">
        <v>8803</v>
      </c>
      <c r="D181">
        <v>249</v>
      </c>
      <c r="E181" t="s">
        <v>10</v>
      </c>
      <c r="F181">
        <v>3424402</v>
      </c>
      <c r="G181" s="1">
        <v>1121</v>
      </c>
      <c r="H181" s="2">
        <v>186353</v>
      </c>
      <c r="I181" t="str">
        <f>VLOOKUP(Tabela1[[#This Row],[CO_PAIS]],'[1]nome do paixs'!$A:$B,2,0)</f>
        <v>Estados Unidos</v>
      </c>
      <c r="J181" t="s">
        <v>13</v>
      </c>
    </row>
    <row r="182" spans="1:10">
      <c r="A182">
        <v>2021</v>
      </c>
      <c r="B182">
        <v>1</v>
      </c>
      <c r="C182">
        <v>8803</v>
      </c>
      <c r="D182">
        <v>190</v>
      </c>
      <c r="E182" t="s">
        <v>10</v>
      </c>
      <c r="F182">
        <v>3424402</v>
      </c>
      <c r="G182" s="1">
        <v>954</v>
      </c>
      <c r="H182" s="2">
        <v>193259</v>
      </c>
      <c r="I182" t="str">
        <f>VLOOKUP(Tabela1[[#This Row],[CO_PAIS]],'[1]nome do paixs'!$A:$B,2,0)</f>
        <v>Coreia do Sul</v>
      </c>
      <c r="J182" t="s">
        <v>13</v>
      </c>
    </row>
    <row r="183" spans="1:10">
      <c r="A183">
        <v>2021</v>
      </c>
      <c r="B183">
        <v>1</v>
      </c>
      <c r="C183">
        <v>8803</v>
      </c>
      <c r="D183">
        <v>386</v>
      </c>
      <c r="E183" t="s">
        <v>10</v>
      </c>
      <c r="F183">
        <v>3449904</v>
      </c>
      <c r="G183" s="1">
        <v>1</v>
      </c>
      <c r="H183" s="2">
        <v>7389</v>
      </c>
      <c r="I183" t="str">
        <f>VLOOKUP(Tabela1[[#This Row],[CO_PAIS]],'[1]nome do paixs'!$A:$B,2,0)</f>
        <v>Itália</v>
      </c>
      <c r="J183" t="s">
        <v>12</v>
      </c>
    </row>
    <row r="184" spans="1:10">
      <c r="A184">
        <v>2021</v>
      </c>
      <c r="B184">
        <v>1</v>
      </c>
      <c r="C184">
        <v>8803</v>
      </c>
      <c r="D184">
        <v>72</v>
      </c>
      <c r="E184" t="s">
        <v>10</v>
      </c>
      <c r="F184">
        <v>3449904</v>
      </c>
      <c r="G184" s="1">
        <v>7</v>
      </c>
      <c r="H184" s="2">
        <v>4158</v>
      </c>
      <c r="I184" t="str">
        <f>VLOOKUP(Tabela1[[#This Row],[CO_PAIS]],'[1]nome do paixs'!$A:$B,2,0)</f>
        <v>Áustria</v>
      </c>
      <c r="J184" t="s">
        <v>12</v>
      </c>
    </row>
    <row r="185" spans="1:10">
      <c r="A185">
        <v>2021</v>
      </c>
      <c r="B185">
        <v>1</v>
      </c>
      <c r="C185">
        <v>8803</v>
      </c>
      <c r="D185">
        <v>245</v>
      </c>
      <c r="E185" t="s">
        <v>10</v>
      </c>
      <c r="F185">
        <v>3424402</v>
      </c>
      <c r="G185" s="1">
        <v>26</v>
      </c>
      <c r="H185" s="2">
        <v>10724</v>
      </c>
      <c r="I185" t="str">
        <f>VLOOKUP(Tabela1[[#This Row],[CO_PAIS]],'[1]nome do paixs'!$A:$B,2,0)</f>
        <v>Espanha</v>
      </c>
      <c r="J185" t="s">
        <v>13</v>
      </c>
    </row>
    <row r="186" spans="1:10">
      <c r="A186">
        <v>2021</v>
      </c>
      <c r="B186">
        <v>1</v>
      </c>
      <c r="C186">
        <v>8803</v>
      </c>
      <c r="D186">
        <v>386</v>
      </c>
      <c r="E186" t="s">
        <v>10</v>
      </c>
      <c r="F186">
        <v>3454102</v>
      </c>
      <c r="G186" s="1">
        <v>768</v>
      </c>
      <c r="H186" s="2">
        <v>1958501</v>
      </c>
      <c r="I186" t="str">
        <f>VLOOKUP(Tabela1[[#This Row],[CO_PAIS]],'[1]nome do paixs'!$A:$B,2,0)</f>
        <v>Itália</v>
      </c>
      <c r="J186" t="s">
        <v>11</v>
      </c>
    </row>
    <row r="187" spans="1:10">
      <c r="A187">
        <v>2021</v>
      </c>
      <c r="B187">
        <v>1</v>
      </c>
      <c r="C187">
        <v>8803</v>
      </c>
      <c r="D187">
        <v>190</v>
      </c>
      <c r="E187" t="s">
        <v>10</v>
      </c>
      <c r="F187">
        <v>3449904</v>
      </c>
      <c r="G187" s="1">
        <v>7</v>
      </c>
      <c r="H187" s="2">
        <v>4553</v>
      </c>
      <c r="I187" t="str">
        <f>VLOOKUP(Tabela1[[#This Row],[CO_PAIS]],'[1]nome do paixs'!$A:$B,2,0)</f>
        <v>Coreia do Sul</v>
      </c>
      <c r="J187" t="s">
        <v>12</v>
      </c>
    </row>
    <row r="188" spans="1:10">
      <c r="A188">
        <v>2021</v>
      </c>
      <c r="B188">
        <v>1</v>
      </c>
      <c r="C188">
        <v>8803</v>
      </c>
      <c r="D188">
        <v>149</v>
      </c>
      <c r="E188" t="s">
        <v>10</v>
      </c>
      <c r="F188">
        <v>3454102</v>
      </c>
      <c r="G188" s="1">
        <v>1733</v>
      </c>
      <c r="H188" s="2">
        <v>560180</v>
      </c>
      <c r="I188" t="str">
        <f>VLOOKUP(Tabela1[[#This Row],[CO_PAIS]],'[1]nome do paixs'!$A:$B,2,0)</f>
        <v>Canadá</v>
      </c>
      <c r="J188" t="s">
        <v>11</v>
      </c>
    </row>
    <row r="189" spans="1:10">
      <c r="A189">
        <v>2021</v>
      </c>
      <c r="B189">
        <v>1</v>
      </c>
      <c r="C189">
        <v>8803</v>
      </c>
      <c r="D189">
        <v>493</v>
      </c>
      <c r="E189" t="s">
        <v>10</v>
      </c>
      <c r="F189">
        <v>3449904</v>
      </c>
      <c r="G189" s="1">
        <v>338</v>
      </c>
      <c r="H189" s="2">
        <v>375236</v>
      </c>
      <c r="I189" t="str">
        <f>VLOOKUP(Tabela1[[#This Row],[CO_PAIS]],'[1]nome do paixs'!$A:$B,2,0)</f>
        <v>México</v>
      </c>
      <c r="J189" t="s">
        <v>12</v>
      </c>
    </row>
    <row r="190" spans="1:10">
      <c r="A190">
        <v>2021</v>
      </c>
      <c r="B190">
        <v>1</v>
      </c>
      <c r="C190">
        <v>8803</v>
      </c>
      <c r="D190">
        <v>149</v>
      </c>
      <c r="E190" t="s">
        <v>10</v>
      </c>
      <c r="F190">
        <v>3449904</v>
      </c>
      <c r="G190" s="1">
        <v>4</v>
      </c>
      <c r="H190" s="2">
        <v>27287</v>
      </c>
      <c r="I190" t="str">
        <f>VLOOKUP(Tabela1[[#This Row],[CO_PAIS]],'[1]nome do paixs'!$A:$B,2,0)</f>
        <v>Canadá</v>
      </c>
      <c r="J190" t="s">
        <v>12</v>
      </c>
    </row>
    <row r="191" spans="1:10">
      <c r="A191">
        <v>2021</v>
      </c>
      <c r="B191">
        <v>1</v>
      </c>
      <c r="C191">
        <v>8803</v>
      </c>
      <c r="D191">
        <v>245</v>
      </c>
      <c r="E191" t="s">
        <v>10</v>
      </c>
      <c r="F191">
        <v>3454102</v>
      </c>
      <c r="G191" s="1">
        <v>1215</v>
      </c>
      <c r="H191" s="2">
        <v>1173505</v>
      </c>
      <c r="I191" t="str">
        <f>VLOOKUP(Tabela1[[#This Row],[CO_PAIS]],'[1]nome do paixs'!$A:$B,2,0)</f>
        <v>Espanha</v>
      </c>
      <c r="J191" t="s">
        <v>11</v>
      </c>
    </row>
    <row r="192" spans="1:10">
      <c r="A192">
        <v>2021</v>
      </c>
      <c r="B192">
        <v>1</v>
      </c>
      <c r="C192">
        <v>8803</v>
      </c>
      <c r="D192">
        <v>105</v>
      </c>
      <c r="E192" t="s">
        <v>10</v>
      </c>
      <c r="F192">
        <v>3454102</v>
      </c>
      <c r="G192" s="1">
        <v>3577</v>
      </c>
      <c r="H192" s="2">
        <v>3434498</v>
      </c>
      <c r="I192" t="str">
        <f>VLOOKUP(Tabela1[[#This Row],[CO_PAIS]],'[1]nome do paixs'!$A:$B,2,0)</f>
        <v>Brasil</v>
      </c>
      <c r="J192" t="s">
        <v>11</v>
      </c>
    </row>
    <row r="193" spans="1:10">
      <c r="A193">
        <v>2021</v>
      </c>
      <c r="B193">
        <v>1</v>
      </c>
      <c r="C193">
        <v>8803</v>
      </c>
      <c r="D193">
        <v>105</v>
      </c>
      <c r="E193" t="s">
        <v>10</v>
      </c>
      <c r="F193">
        <v>3449904</v>
      </c>
      <c r="G193" s="1">
        <v>5160</v>
      </c>
      <c r="H193" s="2">
        <v>3056800</v>
      </c>
      <c r="I193" t="str">
        <f>VLOOKUP(Tabela1[[#This Row],[CO_PAIS]],'[1]nome do paixs'!$A:$B,2,0)</f>
        <v>Brasil</v>
      </c>
      <c r="J193" t="s">
        <v>12</v>
      </c>
    </row>
    <row r="194" spans="1:10">
      <c r="A194">
        <v>2021</v>
      </c>
      <c r="B194">
        <v>1</v>
      </c>
      <c r="C194">
        <v>8803</v>
      </c>
      <c r="D194">
        <v>791</v>
      </c>
      <c r="E194" t="s">
        <v>10</v>
      </c>
      <c r="F194">
        <v>3424402</v>
      </c>
      <c r="G194" s="1">
        <v>64</v>
      </c>
      <c r="H194" s="2">
        <v>33086</v>
      </c>
      <c r="I194" t="str">
        <f>VLOOKUP(Tabela1[[#This Row],[CO_PAIS]],'[1]nome do paixs'!$A:$B,2,0)</f>
        <v>Tcheca, República</v>
      </c>
      <c r="J194" t="s">
        <v>13</v>
      </c>
    </row>
    <row r="195" spans="1:10">
      <c r="A195">
        <v>2021</v>
      </c>
      <c r="B195">
        <v>1</v>
      </c>
      <c r="C195">
        <v>8803</v>
      </c>
      <c r="D195">
        <v>23</v>
      </c>
      <c r="E195" t="s">
        <v>10</v>
      </c>
      <c r="F195">
        <v>3454102</v>
      </c>
      <c r="G195" s="1">
        <v>9504</v>
      </c>
      <c r="H195" s="2">
        <v>751952</v>
      </c>
      <c r="I195" t="str">
        <f>VLOOKUP(Tabela1[[#This Row],[CO_PAIS]],'[1]nome do paixs'!$A:$B,2,0)</f>
        <v>Alemanha</v>
      </c>
      <c r="J195" t="s">
        <v>11</v>
      </c>
    </row>
    <row r="196" spans="1:10">
      <c r="A196">
        <v>2021</v>
      </c>
      <c r="B196">
        <v>1</v>
      </c>
      <c r="C196">
        <v>8803</v>
      </c>
      <c r="D196">
        <v>275</v>
      </c>
      <c r="E196" t="s">
        <v>10</v>
      </c>
      <c r="F196">
        <v>3449904</v>
      </c>
      <c r="G196" s="1">
        <v>247</v>
      </c>
      <c r="H196" s="2">
        <v>384740</v>
      </c>
      <c r="I196" t="str">
        <f>VLOOKUP(Tabela1[[#This Row],[CO_PAIS]],'[1]nome do paixs'!$A:$B,2,0)</f>
        <v>França</v>
      </c>
      <c r="J196" t="s">
        <v>12</v>
      </c>
    </row>
    <row r="197" spans="1:10">
      <c r="A197">
        <v>2021</v>
      </c>
      <c r="B197">
        <v>1</v>
      </c>
      <c r="C197">
        <v>8803</v>
      </c>
      <c r="D197">
        <v>493</v>
      </c>
      <c r="E197" t="s">
        <v>10</v>
      </c>
      <c r="F197">
        <v>3454102</v>
      </c>
      <c r="G197" s="1">
        <v>5389</v>
      </c>
      <c r="H197" s="2">
        <v>2549975</v>
      </c>
      <c r="I197" t="str">
        <f>VLOOKUP(Tabela1[[#This Row],[CO_PAIS]],'[1]nome do paixs'!$A:$B,2,0)</f>
        <v>México</v>
      </c>
      <c r="J197" t="s">
        <v>11</v>
      </c>
    </row>
    <row r="198" spans="1:10">
      <c r="A198">
        <v>2021</v>
      </c>
      <c r="B198">
        <v>1</v>
      </c>
      <c r="C198">
        <v>8803</v>
      </c>
      <c r="D198">
        <v>72</v>
      </c>
      <c r="E198" t="s">
        <v>10</v>
      </c>
      <c r="F198">
        <v>3454102</v>
      </c>
      <c r="G198" s="1">
        <v>40</v>
      </c>
      <c r="H198" s="2">
        <v>78844</v>
      </c>
      <c r="I198" t="str">
        <f>VLOOKUP(Tabela1[[#This Row],[CO_PAIS]],'[1]nome do paixs'!$A:$B,2,0)</f>
        <v>Áustria</v>
      </c>
      <c r="J198" t="s">
        <v>11</v>
      </c>
    </row>
    <row r="199" spans="1:10">
      <c r="A199">
        <v>2021</v>
      </c>
      <c r="B199">
        <v>1</v>
      </c>
      <c r="C199">
        <v>8803</v>
      </c>
      <c r="D199">
        <v>23</v>
      </c>
      <c r="E199" t="s">
        <v>10</v>
      </c>
      <c r="F199">
        <v>3449904</v>
      </c>
      <c r="G199" s="1">
        <v>75</v>
      </c>
      <c r="H199" s="2">
        <v>158371</v>
      </c>
      <c r="I199" t="str">
        <f>VLOOKUP(Tabela1[[#This Row],[CO_PAIS]],'[1]nome do paixs'!$A:$B,2,0)</f>
        <v>Alemanha</v>
      </c>
      <c r="J199" t="s">
        <v>12</v>
      </c>
    </row>
    <row r="200" spans="1:10">
      <c r="A200">
        <v>2021</v>
      </c>
      <c r="B200">
        <v>1</v>
      </c>
      <c r="C200">
        <v>8803</v>
      </c>
      <c r="D200">
        <v>23</v>
      </c>
      <c r="E200" t="s">
        <v>10</v>
      </c>
      <c r="F200">
        <v>3424402</v>
      </c>
      <c r="G200" s="1">
        <v>4</v>
      </c>
      <c r="H200" s="2">
        <v>6132</v>
      </c>
      <c r="I200" t="str">
        <f>VLOOKUP(Tabela1[[#This Row],[CO_PAIS]],'[1]nome do paixs'!$A:$B,2,0)</f>
        <v>Alemanha</v>
      </c>
      <c r="J200" t="s">
        <v>13</v>
      </c>
    </row>
    <row r="201" spans="1:10">
      <c r="A201">
        <v>2021</v>
      </c>
      <c r="B201">
        <v>1</v>
      </c>
      <c r="C201">
        <v>8803</v>
      </c>
      <c r="D201">
        <v>399</v>
      </c>
      <c r="E201" t="s">
        <v>10</v>
      </c>
      <c r="F201">
        <v>3454102</v>
      </c>
      <c r="G201" s="1">
        <v>688</v>
      </c>
      <c r="H201" s="2">
        <v>731837</v>
      </c>
      <c r="I201" t="str">
        <f>VLOOKUP(Tabela1[[#This Row],[CO_PAIS]],'[1]nome do paixs'!$A:$B,2,0)</f>
        <v>Japão</v>
      </c>
      <c r="J201" t="s">
        <v>11</v>
      </c>
    </row>
    <row r="202" spans="1:10">
      <c r="A202">
        <v>2021</v>
      </c>
      <c r="B202">
        <v>1</v>
      </c>
      <c r="C202">
        <v>8803</v>
      </c>
      <c r="D202">
        <v>375</v>
      </c>
      <c r="E202" t="s">
        <v>10</v>
      </c>
      <c r="F202">
        <v>3449904</v>
      </c>
      <c r="G202" s="1">
        <v>45</v>
      </c>
      <c r="H202" s="2">
        <v>18247</v>
      </c>
      <c r="I202" t="str">
        <f>VLOOKUP(Tabela1[[#This Row],[CO_PAIS]],'[1]nome do paixs'!$A:$B,2,0)</f>
        <v>Irlanda</v>
      </c>
      <c r="J202" t="s">
        <v>12</v>
      </c>
    </row>
    <row r="203" spans="1:10">
      <c r="A203">
        <v>2021</v>
      </c>
      <c r="B203">
        <v>1</v>
      </c>
      <c r="C203">
        <v>8803</v>
      </c>
      <c r="D203">
        <v>474</v>
      </c>
      <c r="E203" t="s">
        <v>10</v>
      </c>
      <c r="F203">
        <v>3454102</v>
      </c>
      <c r="G203" s="1">
        <v>92</v>
      </c>
      <c r="H203" s="2">
        <v>161381</v>
      </c>
      <c r="I203" t="str">
        <f>VLOOKUP(Tabela1[[#This Row],[CO_PAIS]],'[1]nome do paixs'!$A:$B,2,0)</f>
        <v>Marrocos</v>
      </c>
      <c r="J203" t="s">
        <v>11</v>
      </c>
    </row>
    <row r="204" spans="1:10">
      <c r="A204">
        <v>2021</v>
      </c>
      <c r="B204">
        <v>1</v>
      </c>
      <c r="C204">
        <v>8803</v>
      </c>
      <c r="D204">
        <v>275</v>
      </c>
      <c r="E204" t="s">
        <v>10</v>
      </c>
      <c r="F204">
        <v>3454102</v>
      </c>
      <c r="G204" s="1">
        <v>2205</v>
      </c>
      <c r="H204" s="2">
        <v>3325195</v>
      </c>
      <c r="I204" t="str">
        <f>VLOOKUP(Tabela1[[#This Row],[CO_PAIS]],'[1]nome do paixs'!$A:$B,2,0)</f>
        <v>França</v>
      </c>
      <c r="J204" t="s">
        <v>11</v>
      </c>
    </row>
    <row r="205" spans="1:10">
      <c r="A205">
        <v>2021</v>
      </c>
      <c r="B205">
        <v>1</v>
      </c>
      <c r="C205">
        <v>8803</v>
      </c>
      <c r="D205">
        <v>628</v>
      </c>
      <c r="E205" t="s">
        <v>10</v>
      </c>
      <c r="F205">
        <v>3449904</v>
      </c>
      <c r="G205" s="1">
        <v>250</v>
      </c>
      <c r="H205" s="2">
        <v>173218</v>
      </c>
      <c r="I205" t="str">
        <f>VLOOKUP(Tabela1[[#This Row],[CO_PAIS]],'[1]nome do paixs'!$A:$B,2,0)</f>
        <v>Reino Unido</v>
      </c>
      <c r="J205" t="s">
        <v>12</v>
      </c>
    </row>
    <row r="206" spans="1:10">
      <c r="A206">
        <v>2021</v>
      </c>
      <c r="B206">
        <v>1</v>
      </c>
      <c r="C206">
        <v>8803</v>
      </c>
      <c r="D206">
        <v>245</v>
      </c>
      <c r="E206" t="s">
        <v>10</v>
      </c>
      <c r="F206">
        <v>3449904</v>
      </c>
      <c r="G206" s="1">
        <v>168</v>
      </c>
      <c r="H206" s="2">
        <v>204529</v>
      </c>
      <c r="I206" t="str">
        <f>VLOOKUP(Tabela1[[#This Row],[CO_PAIS]],'[1]nome do paixs'!$A:$B,2,0)</f>
        <v>Espanha</v>
      </c>
      <c r="J206" t="s">
        <v>12</v>
      </c>
    </row>
    <row r="207" spans="1:10">
      <c r="A207">
        <v>2021</v>
      </c>
      <c r="B207">
        <v>1</v>
      </c>
      <c r="C207">
        <v>8803</v>
      </c>
      <c r="D207">
        <v>87</v>
      </c>
      <c r="E207" t="s">
        <v>10</v>
      </c>
      <c r="F207">
        <v>3449904</v>
      </c>
      <c r="G207" s="1">
        <v>273</v>
      </c>
      <c r="H207" s="2">
        <v>113775</v>
      </c>
      <c r="I207" t="str">
        <f>VLOOKUP(Tabela1[[#This Row],[CO_PAIS]],'[1]nome do paixs'!$A:$B,2,0)</f>
        <v>Bélgica</v>
      </c>
      <c r="J207" t="s">
        <v>12</v>
      </c>
    </row>
    <row r="208" spans="1:10">
      <c r="A208">
        <v>2021</v>
      </c>
      <c r="B208">
        <v>1</v>
      </c>
      <c r="C208">
        <v>8803</v>
      </c>
      <c r="D208">
        <v>87</v>
      </c>
      <c r="E208" t="s">
        <v>10</v>
      </c>
      <c r="F208">
        <v>3454102</v>
      </c>
      <c r="G208" s="1">
        <v>120</v>
      </c>
      <c r="H208" s="2">
        <v>95092</v>
      </c>
      <c r="I208" t="str">
        <f>VLOOKUP(Tabela1[[#This Row],[CO_PAIS]],'[1]nome do paixs'!$A:$B,2,0)</f>
        <v>Bélgica</v>
      </c>
      <c r="J208" t="s">
        <v>11</v>
      </c>
    </row>
    <row r="209" spans="1:10">
      <c r="A209">
        <v>2021</v>
      </c>
      <c r="B209">
        <v>1</v>
      </c>
      <c r="C209">
        <v>8803</v>
      </c>
      <c r="D209">
        <v>361</v>
      </c>
      <c r="E209" t="s">
        <v>10</v>
      </c>
      <c r="F209">
        <v>3449904</v>
      </c>
      <c r="G209" s="1">
        <v>499</v>
      </c>
      <c r="H209" s="2">
        <v>224925</v>
      </c>
      <c r="I209" t="str">
        <f>VLOOKUP(Tabela1[[#This Row],[CO_PAIS]],'[1]nome do paixs'!$A:$B,2,0)</f>
        <v>Índia</v>
      </c>
      <c r="J209" t="s">
        <v>12</v>
      </c>
    </row>
    <row r="210" spans="1:10">
      <c r="A210">
        <v>2021</v>
      </c>
      <c r="B210">
        <v>1</v>
      </c>
      <c r="C210">
        <v>8803</v>
      </c>
      <c r="D210">
        <v>607</v>
      </c>
      <c r="E210" t="s">
        <v>10</v>
      </c>
      <c r="F210">
        <v>3449904</v>
      </c>
      <c r="G210" s="1">
        <v>8</v>
      </c>
      <c r="H210" s="2">
        <v>23334</v>
      </c>
      <c r="I210" t="str">
        <f>VLOOKUP(Tabela1[[#This Row],[CO_PAIS]],'[1]nome do paixs'!$A:$B,2,0)</f>
        <v>Portugal</v>
      </c>
      <c r="J210" t="s">
        <v>12</v>
      </c>
    </row>
    <row r="211" spans="1:10">
      <c r="A211">
        <v>2021</v>
      </c>
      <c r="B211">
        <v>1</v>
      </c>
      <c r="C211">
        <v>8803</v>
      </c>
      <c r="D211">
        <v>375</v>
      </c>
      <c r="E211" t="s">
        <v>10</v>
      </c>
      <c r="F211">
        <v>3454102</v>
      </c>
      <c r="G211" s="1">
        <v>38</v>
      </c>
      <c r="H211" s="2">
        <v>13832</v>
      </c>
      <c r="I211" t="str">
        <f>VLOOKUP(Tabela1[[#This Row],[CO_PAIS]],'[1]nome do paixs'!$A:$B,2,0)</f>
        <v>Irlanda</v>
      </c>
      <c r="J211" t="s">
        <v>11</v>
      </c>
    </row>
    <row r="212" spans="1:10">
      <c r="A212">
        <v>2021</v>
      </c>
      <c r="B212">
        <v>1</v>
      </c>
      <c r="C212">
        <v>8803</v>
      </c>
      <c r="D212">
        <v>249</v>
      </c>
      <c r="E212" t="s">
        <v>10</v>
      </c>
      <c r="F212">
        <v>3454102</v>
      </c>
      <c r="G212" s="1">
        <v>13381</v>
      </c>
      <c r="H212" s="2">
        <v>11497435</v>
      </c>
      <c r="I212" t="str">
        <f>VLOOKUP(Tabela1[[#This Row],[CO_PAIS]],'[1]nome do paixs'!$A:$B,2,0)</f>
        <v>Estados Unidos</v>
      </c>
      <c r="J212" t="s">
        <v>11</v>
      </c>
    </row>
    <row r="213" spans="1:10">
      <c r="A213">
        <v>2021</v>
      </c>
      <c r="B213">
        <v>1</v>
      </c>
      <c r="C213">
        <v>8803</v>
      </c>
      <c r="D213">
        <v>791</v>
      </c>
      <c r="E213" t="s">
        <v>10</v>
      </c>
      <c r="F213">
        <v>3449904</v>
      </c>
      <c r="G213" s="1">
        <v>1</v>
      </c>
      <c r="H213" s="2">
        <v>7138</v>
      </c>
      <c r="I213" t="str">
        <f>VLOOKUP(Tabela1[[#This Row],[CO_PAIS]],'[1]nome do paixs'!$A:$B,2,0)</f>
        <v>Tcheca, República</v>
      </c>
      <c r="J213" t="s">
        <v>12</v>
      </c>
    </row>
    <row r="214" spans="1:10">
      <c r="A214">
        <v>2021</v>
      </c>
      <c r="B214">
        <v>1</v>
      </c>
      <c r="C214">
        <v>8803</v>
      </c>
      <c r="D214">
        <v>791</v>
      </c>
      <c r="E214" t="s">
        <v>10</v>
      </c>
      <c r="F214">
        <v>3454102</v>
      </c>
      <c r="G214" s="1">
        <v>3</v>
      </c>
      <c r="H214" s="2">
        <v>7888</v>
      </c>
      <c r="I214" t="str">
        <f>VLOOKUP(Tabela1[[#This Row],[CO_PAIS]],'[1]nome do paixs'!$A:$B,2,0)</f>
        <v>Tcheca, República</v>
      </c>
      <c r="J214" t="s">
        <v>11</v>
      </c>
    </row>
    <row r="215" spans="1:10">
      <c r="A215">
        <v>2025</v>
      </c>
      <c r="B215">
        <v>2</v>
      </c>
      <c r="C215">
        <v>8807</v>
      </c>
      <c r="D215">
        <v>72</v>
      </c>
      <c r="E215" t="s">
        <v>10</v>
      </c>
      <c r="F215">
        <v>3454102</v>
      </c>
      <c r="G215" s="1">
        <v>3945</v>
      </c>
      <c r="H215" s="2">
        <v>2211668</v>
      </c>
      <c r="I215" t="str">
        <f>VLOOKUP(Tabela1[[#This Row],[CO_PAIS]],'[1]nome do paixs'!$A:$B,2,0)</f>
        <v>Áustria</v>
      </c>
      <c r="J215" t="s">
        <v>11</v>
      </c>
    </row>
    <row r="216" spans="1:10">
      <c r="A216">
        <v>2025</v>
      </c>
      <c r="B216">
        <v>2</v>
      </c>
      <c r="C216">
        <v>8807</v>
      </c>
      <c r="D216">
        <v>23</v>
      </c>
      <c r="E216" t="s">
        <v>10</v>
      </c>
      <c r="F216">
        <v>3449904</v>
      </c>
      <c r="G216" s="1">
        <v>284</v>
      </c>
      <c r="H216" s="2">
        <v>452962</v>
      </c>
      <c r="I216" t="str">
        <f>VLOOKUP(Tabela1[[#This Row],[CO_PAIS]],'[1]nome do paixs'!$A:$B,2,0)</f>
        <v>Alemanha</v>
      </c>
      <c r="J216" t="s">
        <v>12</v>
      </c>
    </row>
    <row r="217" spans="1:10">
      <c r="A217">
        <v>2025</v>
      </c>
      <c r="B217">
        <v>2</v>
      </c>
      <c r="C217">
        <v>8807</v>
      </c>
      <c r="D217">
        <v>493</v>
      </c>
      <c r="E217" t="s">
        <v>10</v>
      </c>
      <c r="F217">
        <v>3449904</v>
      </c>
      <c r="G217" s="1">
        <v>1925</v>
      </c>
      <c r="H217" s="2">
        <v>1754989</v>
      </c>
      <c r="I217" t="str">
        <f>VLOOKUP(Tabela1[[#This Row],[CO_PAIS]],'[1]nome do paixs'!$A:$B,2,0)</f>
        <v>México</v>
      </c>
      <c r="J217" t="s">
        <v>12</v>
      </c>
    </row>
    <row r="218" spans="1:10">
      <c r="A218">
        <v>2025</v>
      </c>
      <c r="B218">
        <v>2</v>
      </c>
      <c r="C218">
        <v>8807</v>
      </c>
      <c r="D218">
        <v>493</v>
      </c>
      <c r="E218" t="s">
        <v>10</v>
      </c>
      <c r="F218">
        <v>3424402</v>
      </c>
      <c r="G218" s="1">
        <v>43</v>
      </c>
      <c r="H218" s="2">
        <v>62495</v>
      </c>
      <c r="I218" t="str">
        <f>VLOOKUP(Tabela1[[#This Row],[CO_PAIS]],'[1]nome do paixs'!$A:$B,2,0)</f>
        <v>México</v>
      </c>
      <c r="J218" t="s">
        <v>13</v>
      </c>
    </row>
    <row r="219" spans="1:10">
      <c r="A219">
        <v>2025</v>
      </c>
      <c r="B219">
        <v>2</v>
      </c>
      <c r="C219">
        <v>8807</v>
      </c>
      <c r="D219">
        <v>249</v>
      </c>
      <c r="E219" t="s">
        <v>10</v>
      </c>
      <c r="F219">
        <v>3449904</v>
      </c>
      <c r="G219" s="1">
        <v>5192</v>
      </c>
      <c r="H219" s="2">
        <v>4399821</v>
      </c>
      <c r="I219" t="str">
        <f>VLOOKUP(Tabela1[[#This Row],[CO_PAIS]],'[1]nome do paixs'!$A:$B,2,0)</f>
        <v>Estados Unidos</v>
      </c>
      <c r="J219" t="s">
        <v>12</v>
      </c>
    </row>
    <row r="220" spans="1:10">
      <c r="A220">
        <v>2025</v>
      </c>
      <c r="B220">
        <v>2</v>
      </c>
      <c r="C220">
        <v>8807</v>
      </c>
      <c r="D220">
        <v>190</v>
      </c>
      <c r="E220" t="s">
        <v>10</v>
      </c>
      <c r="F220">
        <v>3449904</v>
      </c>
      <c r="G220" s="1">
        <v>130</v>
      </c>
      <c r="H220" s="2">
        <v>191087</v>
      </c>
      <c r="I220" t="str">
        <f>VLOOKUP(Tabela1[[#This Row],[CO_PAIS]],'[1]nome do paixs'!$A:$B,2,0)</f>
        <v>Coreia do Sul</v>
      </c>
      <c r="J220" t="s">
        <v>12</v>
      </c>
    </row>
    <row r="221" spans="1:10">
      <c r="A221">
        <v>2025</v>
      </c>
      <c r="B221">
        <v>2</v>
      </c>
      <c r="C221">
        <v>8807</v>
      </c>
      <c r="D221">
        <v>249</v>
      </c>
      <c r="E221" t="s">
        <v>10</v>
      </c>
      <c r="F221">
        <v>3454102</v>
      </c>
      <c r="G221" s="1">
        <v>33778</v>
      </c>
      <c r="H221" s="2">
        <v>12920377</v>
      </c>
      <c r="I221" t="str">
        <f>VLOOKUP(Tabela1[[#This Row],[CO_PAIS]],'[1]nome do paixs'!$A:$B,2,0)</f>
        <v>Estados Unidos</v>
      </c>
      <c r="J221" t="s">
        <v>11</v>
      </c>
    </row>
    <row r="222" spans="1:10">
      <c r="A222">
        <v>2025</v>
      </c>
      <c r="B222">
        <v>2</v>
      </c>
      <c r="C222">
        <v>8807</v>
      </c>
      <c r="D222">
        <v>361</v>
      </c>
      <c r="E222" t="s">
        <v>10</v>
      </c>
      <c r="F222">
        <v>3449904</v>
      </c>
      <c r="G222" s="1">
        <v>1036</v>
      </c>
      <c r="H222" s="2">
        <v>609321</v>
      </c>
      <c r="I222" t="str">
        <f>VLOOKUP(Tabela1[[#This Row],[CO_PAIS]],'[1]nome do paixs'!$A:$B,2,0)</f>
        <v>Índia</v>
      </c>
      <c r="J222" t="s">
        <v>12</v>
      </c>
    </row>
    <row r="223" spans="1:10">
      <c r="A223">
        <v>2025</v>
      </c>
      <c r="B223">
        <v>2</v>
      </c>
      <c r="C223">
        <v>8807</v>
      </c>
      <c r="D223">
        <v>791</v>
      </c>
      <c r="E223" t="s">
        <v>10</v>
      </c>
      <c r="F223">
        <v>3454102</v>
      </c>
      <c r="G223" s="1">
        <v>3</v>
      </c>
      <c r="H223" s="2">
        <v>9658</v>
      </c>
      <c r="I223" t="str">
        <f>VLOOKUP(Tabela1[[#This Row],[CO_PAIS]],'[1]nome do paixs'!$A:$B,2,0)</f>
        <v>Tcheca, República</v>
      </c>
      <c r="J223" t="s">
        <v>11</v>
      </c>
    </row>
    <row r="224" spans="1:10">
      <c r="A224">
        <v>2025</v>
      </c>
      <c r="B224">
        <v>2</v>
      </c>
      <c r="C224">
        <v>8807</v>
      </c>
      <c r="D224">
        <v>493</v>
      </c>
      <c r="E224" t="s">
        <v>10</v>
      </c>
      <c r="F224">
        <v>3454102</v>
      </c>
      <c r="G224" s="1">
        <v>6882</v>
      </c>
      <c r="H224" s="2">
        <v>4351121</v>
      </c>
      <c r="I224" t="str">
        <f>VLOOKUP(Tabela1[[#This Row],[CO_PAIS]],'[1]nome do paixs'!$A:$B,2,0)</f>
        <v>México</v>
      </c>
      <c r="J224" t="s">
        <v>11</v>
      </c>
    </row>
    <row r="225" spans="1:10">
      <c r="A225">
        <v>2025</v>
      </c>
      <c r="B225">
        <v>2</v>
      </c>
      <c r="C225">
        <v>8807</v>
      </c>
      <c r="D225">
        <v>741</v>
      </c>
      <c r="E225" t="s">
        <v>10</v>
      </c>
      <c r="F225">
        <v>3449904</v>
      </c>
      <c r="G225" s="1">
        <v>268</v>
      </c>
      <c r="H225" s="2">
        <v>229540</v>
      </c>
      <c r="I225" t="str">
        <f>VLOOKUP(Tabela1[[#This Row],[CO_PAIS]],'[1]nome do paixs'!$A:$B,2,0)</f>
        <v>Singapura</v>
      </c>
      <c r="J225" t="s">
        <v>12</v>
      </c>
    </row>
    <row r="226" spans="1:10">
      <c r="A226">
        <v>2025</v>
      </c>
      <c r="B226">
        <v>2</v>
      </c>
      <c r="C226">
        <v>8807</v>
      </c>
      <c r="D226">
        <v>791</v>
      </c>
      <c r="E226" t="s">
        <v>10</v>
      </c>
      <c r="F226">
        <v>3449904</v>
      </c>
      <c r="G226" s="1">
        <v>7</v>
      </c>
      <c r="H226" s="2">
        <v>8738</v>
      </c>
      <c r="I226" t="str">
        <f>VLOOKUP(Tabela1[[#This Row],[CO_PAIS]],'[1]nome do paixs'!$A:$B,2,0)</f>
        <v>Tcheca, República</v>
      </c>
      <c r="J226" t="s">
        <v>12</v>
      </c>
    </row>
    <row r="227" spans="1:10">
      <c r="A227">
        <v>2025</v>
      </c>
      <c r="B227">
        <v>2</v>
      </c>
      <c r="C227">
        <v>8807</v>
      </c>
      <c r="D227">
        <v>791</v>
      </c>
      <c r="E227" t="s">
        <v>10</v>
      </c>
      <c r="F227">
        <v>3424402</v>
      </c>
      <c r="G227" s="1">
        <v>369</v>
      </c>
      <c r="H227" s="2">
        <v>307659</v>
      </c>
      <c r="I227" t="str">
        <f>VLOOKUP(Tabela1[[#This Row],[CO_PAIS]],'[1]nome do paixs'!$A:$B,2,0)</f>
        <v>Tcheca, República</v>
      </c>
      <c r="J227" t="s">
        <v>13</v>
      </c>
    </row>
    <row r="228" spans="1:10">
      <c r="A228">
        <v>2025</v>
      </c>
      <c r="B228">
        <v>2</v>
      </c>
      <c r="C228">
        <v>8807</v>
      </c>
      <c r="D228">
        <v>474</v>
      </c>
      <c r="E228" t="s">
        <v>10</v>
      </c>
      <c r="F228">
        <v>3454102</v>
      </c>
      <c r="G228" s="1">
        <v>138</v>
      </c>
      <c r="H228" s="2">
        <v>363536</v>
      </c>
      <c r="I228" t="str">
        <f>VLOOKUP(Tabela1[[#This Row],[CO_PAIS]],'[1]nome do paixs'!$A:$B,2,0)</f>
        <v>Marrocos</v>
      </c>
      <c r="J228" t="s">
        <v>11</v>
      </c>
    </row>
    <row r="229" spans="1:10">
      <c r="A229">
        <v>2025</v>
      </c>
      <c r="B229">
        <v>2</v>
      </c>
      <c r="C229">
        <v>8807</v>
      </c>
      <c r="D229">
        <v>399</v>
      </c>
      <c r="E229" t="s">
        <v>10</v>
      </c>
      <c r="F229">
        <v>3454102</v>
      </c>
      <c r="G229" s="1">
        <v>3269</v>
      </c>
      <c r="H229" s="2">
        <v>2072019</v>
      </c>
      <c r="I229" t="str">
        <f>VLOOKUP(Tabela1[[#This Row],[CO_PAIS]],'[1]nome do paixs'!$A:$B,2,0)</f>
        <v>Japão</v>
      </c>
      <c r="J229" t="s">
        <v>11</v>
      </c>
    </row>
    <row r="230" spans="1:10">
      <c r="A230">
        <v>2025</v>
      </c>
      <c r="B230">
        <v>2</v>
      </c>
      <c r="C230">
        <v>8807</v>
      </c>
      <c r="D230">
        <v>628</v>
      </c>
      <c r="E230" t="s">
        <v>10</v>
      </c>
      <c r="F230">
        <v>3454102</v>
      </c>
      <c r="G230" s="1">
        <v>159</v>
      </c>
      <c r="H230" s="2">
        <v>139364</v>
      </c>
      <c r="I230" t="str">
        <f>VLOOKUP(Tabela1[[#This Row],[CO_PAIS]],'[1]nome do paixs'!$A:$B,2,0)</f>
        <v>Reino Unido</v>
      </c>
      <c r="J230" t="s">
        <v>11</v>
      </c>
    </row>
    <row r="231" spans="1:10">
      <c r="A231">
        <v>2025</v>
      </c>
      <c r="B231">
        <v>2</v>
      </c>
      <c r="C231">
        <v>8807</v>
      </c>
      <c r="D231">
        <v>676</v>
      </c>
      <c r="E231" t="s">
        <v>10</v>
      </c>
      <c r="F231">
        <v>3449904</v>
      </c>
      <c r="G231" s="1">
        <v>0</v>
      </c>
      <c r="H231" s="2">
        <v>164</v>
      </c>
      <c r="I231" t="str">
        <f>VLOOKUP(Tabela1[[#This Row],[CO_PAIS]],'[1]nome do paixs'!$A:$B,2,0)</f>
        <v>Rússia</v>
      </c>
      <c r="J231" t="s">
        <v>12</v>
      </c>
    </row>
    <row r="232" spans="1:10">
      <c r="A232">
        <v>2025</v>
      </c>
      <c r="B232">
        <v>2</v>
      </c>
      <c r="C232">
        <v>8807</v>
      </c>
      <c r="D232">
        <v>105</v>
      </c>
      <c r="E232" t="s">
        <v>10</v>
      </c>
      <c r="F232">
        <v>3454102</v>
      </c>
      <c r="G232" s="1">
        <v>5326</v>
      </c>
      <c r="H232" s="2">
        <v>5198042</v>
      </c>
      <c r="I232" t="str">
        <f>VLOOKUP(Tabela1[[#This Row],[CO_PAIS]],'[1]nome do paixs'!$A:$B,2,0)</f>
        <v>Brasil</v>
      </c>
      <c r="J232" t="s">
        <v>11</v>
      </c>
    </row>
    <row r="233" spans="1:10">
      <c r="A233">
        <v>2025</v>
      </c>
      <c r="B233">
        <v>2</v>
      </c>
      <c r="C233">
        <v>8807</v>
      </c>
      <c r="D233">
        <v>87</v>
      </c>
      <c r="E233" t="s">
        <v>10</v>
      </c>
      <c r="F233">
        <v>3454102</v>
      </c>
      <c r="G233" s="1">
        <v>1458</v>
      </c>
      <c r="H233" s="2">
        <v>1284113</v>
      </c>
      <c r="I233" t="str">
        <f>VLOOKUP(Tabela1[[#This Row],[CO_PAIS]],'[1]nome do paixs'!$A:$B,2,0)</f>
        <v>Bélgica</v>
      </c>
      <c r="J233" t="s">
        <v>11</v>
      </c>
    </row>
    <row r="234" spans="1:10">
      <c r="A234">
        <v>2025</v>
      </c>
      <c r="B234">
        <v>2</v>
      </c>
      <c r="C234">
        <v>8807</v>
      </c>
      <c r="D234">
        <v>399</v>
      </c>
      <c r="E234" t="s">
        <v>10</v>
      </c>
      <c r="F234">
        <v>3449904</v>
      </c>
      <c r="G234" s="1">
        <v>678</v>
      </c>
      <c r="H234" s="2">
        <v>632403</v>
      </c>
      <c r="I234" t="str">
        <f>VLOOKUP(Tabela1[[#This Row],[CO_PAIS]],'[1]nome do paixs'!$A:$B,2,0)</f>
        <v>Japão</v>
      </c>
      <c r="J234" t="s">
        <v>12</v>
      </c>
    </row>
    <row r="235" spans="1:10">
      <c r="A235">
        <v>2025</v>
      </c>
      <c r="B235">
        <v>2</v>
      </c>
      <c r="C235">
        <v>8807</v>
      </c>
      <c r="D235">
        <v>245</v>
      </c>
      <c r="E235" t="s">
        <v>10</v>
      </c>
      <c r="F235">
        <v>3424402</v>
      </c>
      <c r="G235" s="1">
        <v>285</v>
      </c>
      <c r="H235" s="2">
        <v>65652</v>
      </c>
      <c r="I235" t="str">
        <f>VLOOKUP(Tabela1[[#This Row],[CO_PAIS]],'[1]nome do paixs'!$A:$B,2,0)</f>
        <v>Espanha</v>
      </c>
      <c r="J235" t="s">
        <v>13</v>
      </c>
    </row>
    <row r="236" spans="1:10">
      <c r="A236">
        <v>2025</v>
      </c>
      <c r="B236">
        <v>2</v>
      </c>
      <c r="C236">
        <v>8807</v>
      </c>
      <c r="D236">
        <v>149</v>
      </c>
      <c r="E236" t="s">
        <v>10</v>
      </c>
      <c r="F236">
        <v>3449904</v>
      </c>
      <c r="G236" s="1">
        <v>237</v>
      </c>
      <c r="H236" s="2">
        <v>244593</v>
      </c>
      <c r="I236" t="str">
        <f>VLOOKUP(Tabela1[[#This Row],[CO_PAIS]],'[1]nome do paixs'!$A:$B,2,0)</f>
        <v>Canadá</v>
      </c>
      <c r="J236" t="s">
        <v>12</v>
      </c>
    </row>
    <row r="237" spans="1:10">
      <c r="A237">
        <v>2025</v>
      </c>
      <c r="B237">
        <v>2</v>
      </c>
      <c r="C237">
        <v>8807</v>
      </c>
      <c r="D237">
        <v>23</v>
      </c>
      <c r="E237" t="s">
        <v>10</v>
      </c>
      <c r="F237">
        <v>3424402</v>
      </c>
      <c r="G237" s="1">
        <v>20</v>
      </c>
      <c r="H237" s="2">
        <v>20770</v>
      </c>
      <c r="I237" t="str">
        <f>VLOOKUP(Tabela1[[#This Row],[CO_PAIS]],'[1]nome do paixs'!$A:$B,2,0)</f>
        <v>Alemanha</v>
      </c>
      <c r="J237" t="s">
        <v>13</v>
      </c>
    </row>
    <row r="238" spans="1:10">
      <c r="A238">
        <v>2025</v>
      </c>
      <c r="B238">
        <v>2</v>
      </c>
      <c r="C238">
        <v>8807</v>
      </c>
      <c r="D238">
        <v>23</v>
      </c>
      <c r="E238" t="s">
        <v>10</v>
      </c>
      <c r="F238">
        <v>3454102</v>
      </c>
      <c r="G238" s="1">
        <v>38369</v>
      </c>
      <c r="H238" s="2">
        <v>3181905</v>
      </c>
      <c r="I238" t="str">
        <f>VLOOKUP(Tabela1[[#This Row],[CO_PAIS]],'[1]nome do paixs'!$A:$B,2,0)</f>
        <v>Alemanha</v>
      </c>
      <c r="J238" t="s">
        <v>11</v>
      </c>
    </row>
    <row r="239" spans="1:10">
      <c r="A239">
        <v>2025</v>
      </c>
      <c r="B239">
        <v>2</v>
      </c>
      <c r="C239">
        <v>8807</v>
      </c>
      <c r="D239">
        <v>249</v>
      </c>
      <c r="E239" t="s">
        <v>10</v>
      </c>
      <c r="F239">
        <v>3424402</v>
      </c>
      <c r="G239" s="1">
        <v>1171</v>
      </c>
      <c r="H239" s="2">
        <v>244099</v>
      </c>
      <c r="I239" t="str">
        <f>VLOOKUP(Tabela1[[#This Row],[CO_PAIS]],'[1]nome do paixs'!$A:$B,2,0)</f>
        <v>Estados Unidos</v>
      </c>
      <c r="J239" t="s">
        <v>13</v>
      </c>
    </row>
    <row r="240" spans="1:10">
      <c r="A240">
        <v>2025</v>
      </c>
      <c r="B240">
        <v>2</v>
      </c>
      <c r="C240">
        <v>8807</v>
      </c>
      <c r="D240">
        <v>190</v>
      </c>
      <c r="E240" t="s">
        <v>10</v>
      </c>
      <c r="F240">
        <v>3454102</v>
      </c>
      <c r="G240" s="1">
        <v>4574</v>
      </c>
      <c r="H240" s="2">
        <v>3558316</v>
      </c>
      <c r="I240" t="str">
        <f>VLOOKUP(Tabela1[[#This Row],[CO_PAIS]],'[1]nome do paixs'!$A:$B,2,0)</f>
        <v>Coreia do Sul</v>
      </c>
      <c r="J240" t="s">
        <v>11</v>
      </c>
    </row>
    <row r="241" spans="1:10">
      <c r="A241">
        <v>2025</v>
      </c>
      <c r="B241">
        <v>2</v>
      </c>
      <c r="C241">
        <v>8807</v>
      </c>
      <c r="D241">
        <v>827</v>
      </c>
      <c r="E241" t="s">
        <v>10</v>
      </c>
      <c r="F241">
        <v>3449904</v>
      </c>
      <c r="G241" s="1">
        <v>1</v>
      </c>
      <c r="H241" s="2">
        <v>1729</v>
      </c>
      <c r="I241" t="str">
        <f>VLOOKUP(Tabela1[[#This Row],[CO_PAIS]],'[1]nome do paixs'!$A:$B,2,0)</f>
        <v>Turquia</v>
      </c>
      <c r="J241" t="s">
        <v>12</v>
      </c>
    </row>
    <row r="242" spans="1:10">
      <c r="A242">
        <v>2025</v>
      </c>
      <c r="B242">
        <v>2</v>
      </c>
      <c r="C242">
        <v>8807</v>
      </c>
      <c r="D242">
        <v>245</v>
      </c>
      <c r="E242" t="s">
        <v>10</v>
      </c>
      <c r="F242">
        <v>3454102</v>
      </c>
      <c r="G242" s="1">
        <v>865</v>
      </c>
      <c r="H242" s="2">
        <v>869316</v>
      </c>
      <c r="I242" t="str">
        <f>VLOOKUP(Tabela1[[#This Row],[CO_PAIS]],'[1]nome do paixs'!$A:$B,2,0)</f>
        <v>Espanha</v>
      </c>
      <c r="J242" t="s">
        <v>11</v>
      </c>
    </row>
    <row r="243" spans="1:10">
      <c r="A243">
        <v>2025</v>
      </c>
      <c r="B243">
        <v>2</v>
      </c>
      <c r="C243">
        <v>8807</v>
      </c>
      <c r="D243">
        <v>607</v>
      </c>
      <c r="E243" t="s">
        <v>10</v>
      </c>
      <c r="F243">
        <v>3449904</v>
      </c>
      <c r="G243" s="1">
        <v>5</v>
      </c>
      <c r="H243" s="2">
        <v>16201</v>
      </c>
      <c r="I243" t="str">
        <f>VLOOKUP(Tabela1[[#This Row],[CO_PAIS]],'[1]nome do paixs'!$A:$B,2,0)</f>
        <v>Portugal</v>
      </c>
      <c r="J243" t="s">
        <v>12</v>
      </c>
    </row>
    <row r="244" spans="1:10">
      <c r="A244">
        <v>2025</v>
      </c>
      <c r="B244">
        <v>2</v>
      </c>
      <c r="C244">
        <v>8807</v>
      </c>
      <c r="D244">
        <v>275</v>
      </c>
      <c r="E244" t="s">
        <v>10</v>
      </c>
      <c r="F244">
        <v>3454102</v>
      </c>
      <c r="G244" s="1">
        <v>1570</v>
      </c>
      <c r="H244" s="2">
        <v>2024025</v>
      </c>
      <c r="I244" t="str">
        <f>VLOOKUP(Tabela1[[#This Row],[CO_PAIS]],'[1]nome do paixs'!$A:$B,2,0)</f>
        <v>França</v>
      </c>
      <c r="J244" t="s">
        <v>11</v>
      </c>
    </row>
    <row r="245" spans="1:10">
      <c r="A245">
        <v>2025</v>
      </c>
      <c r="B245">
        <v>2</v>
      </c>
      <c r="C245">
        <v>8807</v>
      </c>
      <c r="D245">
        <v>386</v>
      </c>
      <c r="E245" t="s">
        <v>10</v>
      </c>
      <c r="F245">
        <v>3454102</v>
      </c>
      <c r="G245" s="1">
        <v>768</v>
      </c>
      <c r="H245" s="2">
        <v>2134567</v>
      </c>
      <c r="I245" t="str">
        <f>VLOOKUP(Tabela1[[#This Row],[CO_PAIS]],'[1]nome do paixs'!$A:$B,2,0)</f>
        <v>Itália</v>
      </c>
      <c r="J245" t="s">
        <v>11</v>
      </c>
    </row>
    <row r="246" spans="1:10">
      <c r="A246">
        <v>2025</v>
      </c>
      <c r="B246">
        <v>2</v>
      </c>
      <c r="C246">
        <v>8807</v>
      </c>
      <c r="D246">
        <v>275</v>
      </c>
      <c r="E246" t="s">
        <v>10</v>
      </c>
      <c r="F246">
        <v>3424402</v>
      </c>
      <c r="G246" s="1">
        <v>249</v>
      </c>
      <c r="H246" s="2">
        <v>430500</v>
      </c>
      <c r="I246" t="str">
        <f>VLOOKUP(Tabela1[[#This Row],[CO_PAIS]],'[1]nome do paixs'!$A:$B,2,0)</f>
        <v>França</v>
      </c>
      <c r="J246" t="s">
        <v>13</v>
      </c>
    </row>
    <row r="247" spans="1:10">
      <c r="A247">
        <v>2025</v>
      </c>
      <c r="B247">
        <v>2</v>
      </c>
      <c r="C247">
        <v>8807</v>
      </c>
      <c r="D247">
        <v>190</v>
      </c>
      <c r="E247" t="s">
        <v>10</v>
      </c>
      <c r="F247">
        <v>3424402</v>
      </c>
      <c r="G247" s="1">
        <v>16</v>
      </c>
      <c r="H247" s="2">
        <v>4605</v>
      </c>
      <c r="I247" t="str">
        <f>VLOOKUP(Tabela1[[#This Row],[CO_PAIS]],'[1]nome do paixs'!$A:$B,2,0)</f>
        <v>Coreia do Sul</v>
      </c>
      <c r="J247" t="s">
        <v>13</v>
      </c>
    </row>
    <row r="248" spans="1:10">
      <c r="A248">
        <v>2025</v>
      </c>
      <c r="B248">
        <v>2</v>
      </c>
      <c r="C248">
        <v>8807</v>
      </c>
      <c r="D248">
        <v>375</v>
      </c>
      <c r="E248" t="s">
        <v>10</v>
      </c>
      <c r="F248">
        <v>3454102</v>
      </c>
      <c r="G248" s="1">
        <v>21</v>
      </c>
      <c r="H248" s="2">
        <v>8087</v>
      </c>
      <c r="I248" t="str">
        <f>VLOOKUP(Tabela1[[#This Row],[CO_PAIS]],'[1]nome do paixs'!$A:$B,2,0)</f>
        <v>Irlanda</v>
      </c>
      <c r="J248" t="s">
        <v>11</v>
      </c>
    </row>
    <row r="249" spans="1:10">
      <c r="A249">
        <v>2025</v>
      </c>
      <c r="B249">
        <v>2</v>
      </c>
      <c r="C249">
        <v>8807</v>
      </c>
      <c r="D249">
        <v>628</v>
      </c>
      <c r="E249" t="s">
        <v>10</v>
      </c>
      <c r="F249">
        <v>3449904</v>
      </c>
      <c r="G249" s="1">
        <v>682</v>
      </c>
      <c r="H249" s="2">
        <v>845997</v>
      </c>
      <c r="I249" t="str">
        <f>VLOOKUP(Tabela1[[#This Row],[CO_PAIS]],'[1]nome do paixs'!$A:$B,2,0)</f>
        <v>Reino Unido</v>
      </c>
      <c r="J249" t="s">
        <v>12</v>
      </c>
    </row>
    <row r="250" spans="1:10">
      <c r="A250">
        <v>2025</v>
      </c>
      <c r="B250">
        <v>2</v>
      </c>
      <c r="C250">
        <v>8807</v>
      </c>
      <c r="D250">
        <v>87</v>
      </c>
      <c r="E250" t="s">
        <v>10</v>
      </c>
      <c r="F250">
        <v>3424402</v>
      </c>
      <c r="G250" s="1">
        <v>25</v>
      </c>
      <c r="H250" s="2">
        <v>57729</v>
      </c>
      <c r="I250" t="str">
        <f>VLOOKUP(Tabela1[[#This Row],[CO_PAIS]],'[1]nome do paixs'!$A:$B,2,0)</f>
        <v>Bélgica</v>
      </c>
      <c r="J250" t="s">
        <v>13</v>
      </c>
    </row>
    <row r="251" spans="1:10">
      <c r="A251">
        <v>2025</v>
      </c>
      <c r="B251">
        <v>2</v>
      </c>
      <c r="C251">
        <v>8807</v>
      </c>
      <c r="D251">
        <v>87</v>
      </c>
      <c r="E251" t="s">
        <v>10</v>
      </c>
      <c r="F251">
        <v>3449904</v>
      </c>
      <c r="G251" s="1">
        <v>3495</v>
      </c>
      <c r="H251" s="2">
        <v>2107116</v>
      </c>
      <c r="I251" t="str">
        <f>VLOOKUP(Tabela1[[#This Row],[CO_PAIS]],'[1]nome do paixs'!$A:$B,2,0)</f>
        <v>Bélgica</v>
      </c>
      <c r="J251" t="s">
        <v>12</v>
      </c>
    </row>
    <row r="252" spans="1:10">
      <c r="A252">
        <v>2025</v>
      </c>
      <c r="B252">
        <v>2</v>
      </c>
      <c r="C252">
        <v>8807</v>
      </c>
      <c r="D252">
        <v>105</v>
      </c>
      <c r="E252" t="s">
        <v>10</v>
      </c>
      <c r="F252">
        <v>3449904</v>
      </c>
      <c r="G252" s="1">
        <v>12429</v>
      </c>
      <c r="H252" s="2">
        <v>8395942</v>
      </c>
      <c r="I252" t="str">
        <f>VLOOKUP(Tabela1[[#This Row],[CO_PAIS]],'[1]nome do paixs'!$A:$B,2,0)</f>
        <v>Brasil</v>
      </c>
      <c r="J252" t="s">
        <v>12</v>
      </c>
    </row>
    <row r="253" spans="1:10">
      <c r="A253">
        <v>2025</v>
      </c>
      <c r="B253">
        <v>2</v>
      </c>
      <c r="C253">
        <v>8807</v>
      </c>
      <c r="D253">
        <v>245</v>
      </c>
      <c r="E253" t="s">
        <v>10</v>
      </c>
      <c r="F253">
        <v>3449904</v>
      </c>
      <c r="G253" s="1">
        <v>4875</v>
      </c>
      <c r="H253" s="2">
        <v>2359249</v>
      </c>
      <c r="I253" t="str">
        <f>VLOOKUP(Tabela1[[#This Row],[CO_PAIS]],'[1]nome do paixs'!$A:$B,2,0)</f>
        <v>Espanha</v>
      </c>
      <c r="J253" t="s">
        <v>12</v>
      </c>
    </row>
    <row r="254" spans="1:10">
      <c r="A254">
        <v>2025</v>
      </c>
      <c r="B254">
        <v>2</v>
      </c>
      <c r="C254">
        <v>8807</v>
      </c>
      <c r="D254">
        <v>63</v>
      </c>
      <c r="E254" t="s">
        <v>10</v>
      </c>
      <c r="F254">
        <v>3449904</v>
      </c>
      <c r="G254" s="1">
        <v>17</v>
      </c>
      <c r="H254" s="2">
        <v>18973</v>
      </c>
      <c r="I254" t="str">
        <f>VLOOKUP(Tabela1[[#This Row],[CO_PAIS]],'[1]nome do paixs'!$A:$B,2,0)</f>
        <v>Argentina</v>
      </c>
      <c r="J254" t="s">
        <v>12</v>
      </c>
    </row>
    <row r="255" spans="1:10">
      <c r="A255">
        <v>2025</v>
      </c>
      <c r="B255">
        <v>2</v>
      </c>
      <c r="C255">
        <v>8807</v>
      </c>
      <c r="D255">
        <v>383</v>
      </c>
      <c r="E255" t="s">
        <v>10</v>
      </c>
      <c r="F255">
        <v>3449904</v>
      </c>
      <c r="G255" s="1">
        <v>1</v>
      </c>
      <c r="H255" s="2">
        <v>4733</v>
      </c>
      <c r="I255" t="str">
        <f>VLOOKUP(Tabela1[[#This Row],[CO_PAIS]],'[1]nome do paixs'!$A:$B,2,0)</f>
        <v>Israel</v>
      </c>
      <c r="J255" t="s">
        <v>12</v>
      </c>
    </row>
    <row r="256" spans="1:10">
      <c r="A256">
        <v>2025</v>
      </c>
      <c r="B256">
        <v>2</v>
      </c>
      <c r="C256">
        <v>8807</v>
      </c>
      <c r="D256">
        <v>72</v>
      </c>
      <c r="E256" t="s">
        <v>10</v>
      </c>
      <c r="F256">
        <v>3449904</v>
      </c>
      <c r="G256" s="1">
        <v>12</v>
      </c>
      <c r="H256" s="2">
        <v>8859</v>
      </c>
      <c r="I256" t="str">
        <f>VLOOKUP(Tabela1[[#This Row],[CO_PAIS]],'[1]nome do paixs'!$A:$B,2,0)</f>
        <v>Áustria</v>
      </c>
      <c r="J256" t="s">
        <v>12</v>
      </c>
    </row>
    <row r="257" spans="1:10">
      <c r="A257">
        <v>2025</v>
      </c>
      <c r="B257">
        <v>2</v>
      </c>
      <c r="C257">
        <v>8807</v>
      </c>
      <c r="D257">
        <v>386</v>
      </c>
      <c r="E257" t="s">
        <v>10</v>
      </c>
      <c r="F257">
        <v>3449904</v>
      </c>
      <c r="G257" s="1">
        <v>597</v>
      </c>
      <c r="H257" s="2">
        <v>104969</v>
      </c>
      <c r="I257" t="str">
        <f>VLOOKUP(Tabela1[[#This Row],[CO_PAIS]],'[1]nome do paixs'!$A:$B,2,0)</f>
        <v>Itália</v>
      </c>
      <c r="J257" t="s">
        <v>12</v>
      </c>
    </row>
    <row r="258" spans="1:10">
      <c r="A258">
        <v>2025</v>
      </c>
      <c r="B258">
        <v>2</v>
      </c>
      <c r="C258">
        <v>8807</v>
      </c>
      <c r="D258">
        <v>375</v>
      </c>
      <c r="E258" t="s">
        <v>10</v>
      </c>
      <c r="F258">
        <v>3449904</v>
      </c>
      <c r="G258" s="1">
        <v>40</v>
      </c>
      <c r="H258" s="2">
        <v>42620</v>
      </c>
      <c r="I258" t="str">
        <f>VLOOKUP(Tabela1[[#This Row],[CO_PAIS]],'[1]nome do paixs'!$A:$B,2,0)</f>
        <v>Irlanda</v>
      </c>
      <c r="J258" t="s">
        <v>12</v>
      </c>
    </row>
    <row r="259" spans="1:10">
      <c r="A259">
        <v>2025</v>
      </c>
      <c r="B259">
        <v>2</v>
      </c>
      <c r="C259">
        <v>8807</v>
      </c>
      <c r="D259">
        <v>607</v>
      </c>
      <c r="E259" t="s">
        <v>10</v>
      </c>
      <c r="F259">
        <v>3454102</v>
      </c>
      <c r="G259" s="1">
        <v>21819</v>
      </c>
      <c r="H259" s="2">
        <v>7417762</v>
      </c>
      <c r="I259" t="str">
        <f>VLOOKUP(Tabela1[[#This Row],[CO_PAIS]],'[1]nome do paixs'!$A:$B,2,0)</f>
        <v>Portugal</v>
      </c>
      <c r="J259" t="s">
        <v>11</v>
      </c>
    </row>
    <row r="260" spans="1:10">
      <c r="A260">
        <v>2025</v>
      </c>
      <c r="B260">
        <v>2</v>
      </c>
      <c r="C260">
        <v>8807</v>
      </c>
      <c r="D260">
        <v>275</v>
      </c>
      <c r="E260" t="s">
        <v>10</v>
      </c>
      <c r="F260">
        <v>3449904</v>
      </c>
      <c r="G260" s="1">
        <v>442</v>
      </c>
      <c r="H260" s="2">
        <v>790620</v>
      </c>
      <c r="I260" t="str">
        <f>VLOOKUP(Tabela1[[#This Row],[CO_PAIS]],'[1]nome do paixs'!$A:$B,2,0)</f>
        <v>França</v>
      </c>
      <c r="J260" t="s">
        <v>12</v>
      </c>
    </row>
    <row r="261" spans="1:10">
      <c r="A261">
        <v>2024</v>
      </c>
      <c r="B261">
        <v>2</v>
      </c>
      <c r="C261">
        <v>8807</v>
      </c>
      <c r="D261">
        <v>607</v>
      </c>
      <c r="E261" t="s">
        <v>10</v>
      </c>
      <c r="F261">
        <v>3454102</v>
      </c>
      <c r="G261" s="1">
        <v>11905</v>
      </c>
      <c r="H261" s="2">
        <v>3507308</v>
      </c>
      <c r="I261" t="str">
        <f>VLOOKUP(Tabela1[[#This Row],[CO_PAIS]],'[1]nome do paixs'!$A:$B,2,0)</f>
        <v>Portugal</v>
      </c>
      <c r="J261" t="s">
        <v>11</v>
      </c>
    </row>
    <row r="262" spans="1:10">
      <c r="A262">
        <v>2024</v>
      </c>
      <c r="B262">
        <v>2</v>
      </c>
      <c r="C262">
        <v>8807</v>
      </c>
      <c r="D262">
        <v>72</v>
      </c>
      <c r="E262" t="s">
        <v>10</v>
      </c>
      <c r="F262">
        <v>3454102</v>
      </c>
      <c r="G262" s="1">
        <v>3448</v>
      </c>
      <c r="H262" s="2">
        <v>1286186</v>
      </c>
      <c r="I262" t="str">
        <f>VLOOKUP(Tabela1[[#This Row],[CO_PAIS]],'[1]nome do paixs'!$A:$B,2,0)</f>
        <v>Áustria</v>
      </c>
      <c r="J262" t="s">
        <v>11</v>
      </c>
    </row>
    <row r="263" spans="1:10">
      <c r="A263">
        <v>2024</v>
      </c>
      <c r="B263">
        <v>2</v>
      </c>
      <c r="C263">
        <v>8807</v>
      </c>
      <c r="D263">
        <v>375</v>
      </c>
      <c r="E263" t="s">
        <v>10</v>
      </c>
      <c r="F263">
        <v>3449904</v>
      </c>
      <c r="G263" s="1">
        <v>0</v>
      </c>
      <c r="H263" s="2">
        <v>28</v>
      </c>
      <c r="I263" t="str">
        <f>VLOOKUP(Tabela1[[#This Row],[CO_PAIS]],'[1]nome do paixs'!$A:$B,2,0)</f>
        <v>Irlanda</v>
      </c>
      <c r="J263" t="s">
        <v>12</v>
      </c>
    </row>
    <row r="264" spans="1:10">
      <c r="A264">
        <v>2024</v>
      </c>
      <c r="B264">
        <v>2</v>
      </c>
      <c r="C264">
        <v>8807</v>
      </c>
      <c r="D264">
        <v>160</v>
      </c>
      <c r="E264" t="s">
        <v>10</v>
      </c>
      <c r="F264">
        <v>3424402</v>
      </c>
      <c r="G264" s="1">
        <v>704</v>
      </c>
      <c r="H264" s="2">
        <v>18891</v>
      </c>
      <c r="I264" t="str">
        <f>VLOOKUP(Tabela1[[#This Row],[CO_PAIS]],'[1]nome do paixs'!$A:$B,2,0)</f>
        <v>China</v>
      </c>
      <c r="J264" t="s">
        <v>13</v>
      </c>
    </row>
    <row r="265" spans="1:10">
      <c r="A265">
        <v>2024</v>
      </c>
      <c r="B265">
        <v>2</v>
      </c>
      <c r="C265">
        <v>8807</v>
      </c>
      <c r="D265">
        <v>461</v>
      </c>
      <c r="E265" t="s">
        <v>10</v>
      </c>
      <c r="F265">
        <v>3449904</v>
      </c>
      <c r="G265" s="1">
        <v>1</v>
      </c>
      <c r="H265" s="2">
        <v>7882</v>
      </c>
      <c r="I265" t="str">
        <f>VLOOKUP(Tabela1[[#This Row],[CO_PAIS]],'[1]nome do paixs'!$A:$B,2,0)</f>
        <v>Maldivas</v>
      </c>
      <c r="J265" t="s">
        <v>12</v>
      </c>
    </row>
    <row r="266" spans="1:10">
      <c r="A266">
        <v>2024</v>
      </c>
      <c r="B266">
        <v>2</v>
      </c>
      <c r="C266">
        <v>8807</v>
      </c>
      <c r="D266">
        <v>361</v>
      </c>
      <c r="E266" t="s">
        <v>10</v>
      </c>
      <c r="F266">
        <v>3449904</v>
      </c>
      <c r="G266" s="1">
        <v>1540</v>
      </c>
      <c r="H266" s="2">
        <v>920980</v>
      </c>
      <c r="I266" t="str">
        <f>VLOOKUP(Tabela1[[#This Row],[CO_PAIS]],'[1]nome do paixs'!$A:$B,2,0)</f>
        <v>Índia</v>
      </c>
      <c r="J266" t="s">
        <v>12</v>
      </c>
    </row>
    <row r="267" spans="1:10">
      <c r="A267">
        <v>2024</v>
      </c>
      <c r="B267">
        <v>2</v>
      </c>
      <c r="C267">
        <v>8807</v>
      </c>
      <c r="D267">
        <v>399</v>
      </c>
      <c r="E267" t="s">
        <v>10</v>
      </c>
      <c r="F267">
        <v>3454102</v>
      </c>
      <c r="G267" s="1">
        <v>753</v>
      </c>
      <c r="H267" s="2">
        <v>738905</v>
      </c>
      <c r="I267" t="str">
        <f>VLOOKUP(Tabela1[[#This Row],[CO_PAIS]],'[1]nome do paixs'!$A:$B,2,0)</f>
        <v>Japão</v>
      </c>
      <c r="J267" t="s">
        <v>11</v>
      </c>
    </row>
    <row r="268" spans="1:10">
      <c r="A268">
        <v>2024</v>
      </c>
      <c r="B268">
        <v>2</v>
      </c>
      <c r="C268">
        <v>8807</v>
      </c>
      <c r="D268">
        <v>249</v>
      </c>
      <c r="E268" t="s">
        <v>10</v>
      </c>
      <c r="F268">
        <v>3424402</v>
      </c>
      <c r="G268" s="1">
        <v>9</v>
      </c>
      <c r="H268" s="2">
        <v>17694</v>
      </c>
      <c r="I268" t="str">
        <f>VLOOKUP(Tabela1[[#This Row],[CO_PAIS]],'[1]nome do paixs'!$A:$B,2,0)</f>
        <v>Estados Unidos</v>
      </c>
      <c r="J268" t="s">
        <v>13</v>
      </c>
    </row>
    <row r="269" spans="1:10">
      <c r="A269">
        <v>2024</v>
      </c>
      <c r="B269">
        <v>2</v>
      </c>
      <c r="C269">
        <v>8807</v>
      </c>
      <c r="D269">
        <v>628</v>
      </c>
      <c r="E269" t="s">
        <v>10</v>
      </c>
      <c r="F269">
        <v>3449904</v>
      </c>
      <c r="G269" s="1">
        <v>574</v>
      </c>
      <c r="H269" s="2">
        <v>775912</v>
      </c>
      <c r="I269" t="str">
        <f>VLOOKUP(Tabela1[[#This Row],[CO_PAIS]],'[1]nome do paixs'!$A:$B,2,0)</f>
        <v>Reino Unido</v>
      </c>
      <c r="J269" t="s">
        <v>12</v>
      </c>
    </row>
    <row r="270" spans="1:10">
      <c r="A270">
        <v>2024</v>
      </c>
      <c r="B270">
        <v>2</v>
      </c>
      <c r="C270">
        <v>8807</v>
      </c>
      <c r="D270">
        <v>493</v>
      </c>
      <c r="E270" t="s">
        <v>10</v>
      </c>
      <c r="F270">
        <v>3449904</v>
      </c>
      <c r="G270" s="1">
        <v>3669</v>
      </c>
      <c r="H270" s="2">
        <v>2455291</v>
      </c>
      <c r="I270" t="str">
        <f>VLOOKUP(Tabela1[[#This Row],[CO_PAIS]],'[1]nome do paixs'!$A:$B,2,0)</f>
        <v>México</v>
      </c>
      <c r="J270" t="s">
        <v>12</v>
      </c>
    </row>
    <row r="271" spans="1:10">
      <c r="A271">
        <v>2024</v>
      </c>
      <c r="B271">
        <v>2</v>
      </c>
      <c r="C271">
        <v>8807</v>
      </c>
      <c r="D271">
        <v>767</v>
      </c>
      <c r="E271" t="s">
        <v>10</v>
      </c>
      <c r="F271">
        <v>3449904</v>
      </c>
      <c r="G271" s="1">
        <v>13</v>
      </c>
      <c r="H271" s="2">
        <v>32732</v>
      </c>
      <c r="I271" t="str">
        <f>VLOOKUP(Tabela1[[#This Row],[CO_PAIS]],'[1]nome do paixs'!$A:$B,2,0)</f>
        <v>Suíça</v>
      </c>
      <c r="J271" t="s">
        <v>12</v>
      </c>
    </row>
    <row r="272" spans="1:10">
      <c r="A272">
        <v>2024</v>
      </c>
      <c r="B272">
        <v>2</v>
      </c>
      <c r="C272">
        <v>8807</v>
      </c>
      <c r="D272">
        <v>275</v>
      </c>
      <c r="E272" t="s">
        <v>10</v>
      </c>
      <c r="F272">
        <v>3449904</v>
      </c>
      <c r="G272" s="1">
        <v>283</v>
      </c>
      <c r="H272" s="2">
        <v>190211</v>
      </c>
      <c r="I272" t="str">
        <f>VLOOKUP(Tabela1[[#This Row],[CO_PAIS]],'[1]nome do paixs'!$A:$B,2,0)</f>
        <v>França</v>
      </c>
      <c r="J272" t="s">
        <v>12</v>
      </c>
    </row>
    <row r="273" spans="1:10">
      <c r="A273">
        <v>2024</v>
      </c>
      <c r="B273">
        <v>2</v>
      </c>
      <c r="C273">
        <v>8807</v>
      </c>
      <c r="D273">
        <v>791</v>
      </c>
      <c r="E273" t="s">
        <v>10</v>
      </c>
      <c r="F273">
        <v>3449904</v>
      </c>
      <c r="G273" s="1">
        <v>12</v>
      </c>
      <c r="H273" s="2">
        <v>17428</v>
      </c>
      <c r="I273" t="str">
        <f>VLOOKUP(Tabela1[[#This Row],[CO_PAIS]],'[1]nome do paixs'!$A:$B,2,0)</f>
        <v>Tcheca, República</v>
      </c>
      <c r="J273" t="s">
        <v>12</v>
      </c>
    </row>
    <row r="274" spans="1:10">
      <c r="A274">
        <v>2024</v>
      </c>
      <c r="B274">
        <v>2</v>
      </c>
      <c r="C274">
        <v>8807</v>
      </c>
      <c r="D274">
        <v>23</v>
      </c>
      <c r="E274" t="s">
        <v>10</v>
      </c>
      <c r="F274">
        <v>3449904</v>
      </c>
      <c r="G274" s="1">
        <v>529</v>
      </c>
      <c r="H274" s="2">
        <v>487916</v>
      </c>
      <c r="I274" t="str">
        <f>VLOOKUP(Tabela1[[#This Row],[CO_PAIS]],'[1]nome do paixs'!$A:$B,2,0)</f>
        <v>Alemanha</v>
      </c>
      <c r="J274" t="s">
        <v>12</v>
      </c>
    </row>
    <row r="275" spans="1:10">
      <c r="A275">
        <v>2024</v>
      </c>
      <c r="B275">
        <v>2</v>
      </c>
      <c r="C275">
        <v>8807</v>
      </c>
      <c r="D275">
        <v>493</v>
      </c>
      <c r="E275" t="s">
        <v>10</v>
      </c>
      <c r="F275">
        <v>3454102</v>
      </c>
      <c r="G275" s="1">
        <v>13984</v>
      </c>
      <c r="H275" s="2">
        <v>6101548</v>
      </c>
      <c r="I275" t="str">
        <f>VLOOKUP(Tabela1[[#This Row],[CO_PAIS]],'[1]nome do paixs'!$A:$B,2,0)</f>
        <v>México</v>
      </c>
      <c r="J275" t="s">
        <v>11</v>
      </c>
    </row>
    <row r="276" spans="1:10">
      <c r="A276">
        <v>2024</v>
      </c>
      <c r="B276">
        <v>2</v>
      </c>
      <c r="C276">
        <v>8807</v>
      </c>
      <c r="D276">
        <v>245</v>
      </c>
      <c r="E276" t="s">
        <v>10</v>
      </c>
      <c r="F276">
        <v>3454102</v>
      </c>
      <c r="G276" s="1">
        <v>766</v>
      </c>
      <c r="H276" s="2">
        <v>722968</v>
      </c>
      <c r="I276" t="str">
        <f>VLOOKUP(Tabela1[[#This Row],[CO_PAIS]],'[1]nome do paixs'!$A:$B,2,0)</f>
        <v>Espanha</v>
      </c>
      <c r="J276" t="s">
        <v>11</v>
      </c>
    </row>
    <row r="277" spans="1:10">
      <c r="A277">
        <v>2024</v>
      </c>
      <c r="B277">
        <v>2</v>
      </c>
      <c r="C277">
        <v>8807</v>
      </c>
      <c r="D277">
        <v>190</v>
      </c>
      <c r="E277" t="s">
        <v>10</v>
      </c>
      <c r="F277">
        <v>3454102</v>
      </c>
      <c r="G277" s="1">
        <v>4567</v>
      </c>
      <c r="H277" s="2">
        <v>4446801</v>
      </c>
      <c r="I277" t="str">
        <f>VLOOKUP(Tabela1[[#This Row],[CO_PAIS]],'[1]nome do paixs'!$A:$B,2,0)</f>
        <v>Coreia do Sul</v>
      </c>
      <c r="J277" t="s">
        <v>11</v>
      </c>
    </row>
    <row r="278" spans="1:10">
      <c r="A278">
        <v>2024</v>
      </c>
      <c r="B278">
        <v>2</v>
      </c>
      <c r="C278">
        <v>8807</v>
      </c>
      <c r="D278">
        <v>741</v>
      </c>
      <c r="E278" t="s">
        <v>10</v>
      </c>
      <c r="F278">
        <v>3449904</v>
      </c>
      <c r="G278" s="1">
        <v>6</v>
      </c>
      <c r="H278" s="2">
        <v>12054</v>
      </c>
      <c r="I278" t="str">
        <f>VLOOKUP(Tabela1[[#This Row],[CO_PAIS]],'[1]nome do paixs'!$A:$B,2,0)</f>
        <v>Singapura</v>
      </c>
      <c r="J278" t="s">
        <v>12</v>
      </c>
    </row>
    <row r="279" spans="1:10">
      <c r="A279">
        <v>2024</v>
      </c>
      <c r="B279">
        <v>2</v>
      </c>
      <c r="C279">
        <v>8807</v>
      </c>
      <c r="D279">
        <v>245</v>
      </c>
      <c r="E279" t="s">
        <v>10</v>
      </c>
      <c r="F279">
        <v>3449904</v>
      </c>
      <c r="G279" s="1">
        <v>6097</v>
      </c>
      <c r="H279" s="2">
        <v>1667549</v>
      </c>
      <c r="I279" t="str">
        <f>VLOOKUP(Tabela1[[#This Row],[CO_PAIS]],'[1]nome do paixs'!$A:$B,2,0)</f>
        <v>Espanha</v>
      </c>
      <c r="J279" t="s">
        <v>12</v>
      </c>
    </row>
    <row r="280" spans="1:10">
      <c r="A280">
        <v>2024</v>
      </c>
      <c r="B280">
        <v>2</v>
      </c>
      <c r="C280">
        <v>8807</v>
      </c>
      <c r="D280">
        <v>791</v>
      </c>
      <c r="E280" t="s">
        <v>10</v>
      </c>
      <c r="F280">
        <v>3424402</v>
      </c>
      <c r="G280" s="1">
        <v>323</v>
      </c>
      <c r="H280" s="2">
        <v>232297</v>
      </c>
      <c r="I280" t="str">
        <f>VLOOKUP(Tabela1[[#This Row],[CO_PAIS]],'[1]nome do paixs'!$A:$B,2,0)</f>
        <v>Tcheca, República</v>
      </c>
      <c r="J280" t="s">
        <v>13</v>
      </c>
    </row>
    <row r="281" spans="1:10">
      <c r="A281">
        <v>2024</v>
      </c>
      <c r="B281">
        <v>2</v>
      </c>
      <c r="C281">
        <v>8807</v>
      </c>
      <c r="D281">
        <v>275</v>
      </c>
      <c r="E281" t="s">
        <v>10</v>
      </c>
      <c r="F281">
        <v>3454102</v>
      </c>
      <c r="G281" s="1">
        <v>1108</v>
      </c>
      <c r="H281" s="2">
        <v>1191659</v>
      </c>
      <c r="I281" t="str">
        <f>VLOOKUP(Tabela1[[#This Row],[CO_PAIS]],'[1]nome do paixs'!$A:$B,2,0)</f>
        <v>França</v>
      </c>
      <c r="J281" t="s">
        <v>11</v>
      </c>
    </row>
    <row r="282" spans="1:10">
      <c r="A282">
        <v>2024</v>
      </c>
      <c r="B282">
        <v>2</v>
      </c>
      <c r="C282">
        <v>8807</v>
      </c>
      <c r="D282">
        <v>474</v>
      </c>
      <c r="E282" t="s">
        <v>10</v>
      </c>
      <c r="F282">
        <v>3454102</v>
      </c>
      <c r="G282" s="1">
        <v>46</v>
      </c>
      <c r="H282" s="2">
        <v>117597</v>
      </c>
      <c r="I282" t="str">
        <f>VLOOKUP(Tabela1[[#This Row],[CO_PAIS]],'[1]nome do paixs'!$A:$B,2,0)</f>
        <v>Marrocos</v>
      </c>
      <c r="J282" t="s">
        <v>11</v>
      </c>
    </row>
    <row r="283" spans="1:10">
      <c r="A283">
        <v>2024</v>
      </c>
      <c r="B283">
        <v>2</v>
      </c>
      <c r="C283">
        <v>8807</v>
      </c>
      <c r="D283">
        <v>23</v>
      </c>
      <c r="E283" t="s">
        <v>10</v>
      </c>
      <c r="F283">
        <v>3424402</v>
      </c>
      <c r="G283" s="1">
        <v>10</v>
      </c>
      <c r="H283" s="2">
        <v>17463</v>
      </c>
      <c r="I283" t="str">
        <f>VLOOKUP(Tabela1[[#This Row],[CO_PAIS]],'[1]nome do paixs'!$A:$B,2,0)</f>
        <v>Alemanha</v>
      </c>
      <c r="J283" t="s">
        <v>13</v>
      </c>
    </row>
    <row r="284" spans="1:10">
      <c r="A284">
        <v>2024</v>
      </c>
      <c r="B284">
        <v>2</v>
      </c>
      <c r="C284">
        <v>8807</v>
      </c>
      <c r="D284">
        <v>249</v>
      </c>
      <c r="E284" t="s">
        <v>10</v>
      </c>
      <c r="F284">
        <v>3449904</v>
      </c>
      <c r="G284" s="1">
        <v>5633</v>
      </c>
      <c r="H284" s="2">
        <v>4234180</v>
      </c>
      <c r="I284" t="str">
        <f>VLOOKUP(Tabela1[[#This Row],[CO_PAIS]],'[1]nome do paixs'!$A:$B,2,0)</f>
        <v>Estados Unidos</v>
      </c>
      <c r="J284" t="s">
        <v>12</v>
      </c>
    </row>
    <row r="285" spans="1:10">
      <c r="A285">
        <v>2024</v>
      </c>
      <c r="B285">
        <v>2</v>
      </c>
      <c r="C285">
        <v>8807</v>
      </c>
      <c r="D285">
        <v>23</v>
      </c>
      <c r="E285" t="s">
        <v>10</v>
      </c>
      <c r="F285">
        <v>3454102</v>
      </c>
      <c r="G285" s="1">
        <v>12917</v>
      </c>
      <c r="H285" s="2">
        <v>831036</v>
      </c>
      <c r="I285" t="str">
        <f>VLOOKUP(Tabela1[[#This Row],[CO_PAIS]],'[1]nome do paixs'!$A:$B,2,0)</f>
        <v>Alemanha</v>
      </c>
      <c r="J285" t="s">
        <v>11</v>
      </c>
    </row>
    <row r="286" spans="1:10">
      <c r="A286">
        <v>2024</v>
      </c>
      <c r="B286">
        <v>2</v>
      </c>
      <c r="C286">
        <v>8807</v>
      </c>
      <c r="D286">
        <v>386</v>
      </c>
      <c r="E286" t="s">
        <v>10</v>
      </c>
      <c r="F286">
        <v>3449904</v>
      </c>
      <c r="G286" s="1">
        <v>184</v>
      </c>
      <c r="H286" s="2">
        <v>28214</v>
      </c>
      <c r="I286" t="str">
        <f>VLOOKUP(Tabela1[[#This Row],[CO_PAIS]],'[1]nome do paixs'!$A:$B,2,0)</f>
        <v>Itália</v>
      </c>
      <c r="J286" t="s">
        <v>12</v>
      </c>
    </row>
    <row r="287" spans="1:10">
      <c r="A287">
        <v>2024</v>
      </c>
      <c r="B287">
        <v>2</v>
      </c>
      <c r="C287">
        <v>8807</v>
      </c>
      <c r="D287">
        <v>375</v>
      </c>
      <c r="E287" t="s">
        <v>10</v>
      </c>
      <c r="F287">
        <v>3454102</v>
      </c>
      <c r="G287" s="1">
        <v>137</v>
      </c>
      <c r="H287" s="2">
        <v>43899</v>
      </c>
      <c r="I287" t="str">
        <f>VLOOKUP(Tabela1[[#This Row],[CO_PAIS]],'[1]nome do paixs'!$A:$B,2,0)</f>
        <v>Irlanda</v>
      </c>
      <c r="J287" t="s">
        <v>11</v>
      </c>
    </row>
    <row r="288" spans="1:10">
      <c r="A288">
        <v>2024</v>
      </c>
      <c r="B288">
        <v>2</v>
      </c>
      <c r="C288">
        <v>8807</v>
      </c>
      <c r="D288">
        <v>249</v>
      </c>
      <c r="E288" t="s">
        <v>10</v>
      </c>
      <c r="F288">
        <v>3454102</v>
      </c>
      <c r="G288" s="1">
        <v>13963</v>
      </c>
      <c r="H288" s="2">
        <v>5959187</v>
      </c>
      <c r="I288" t="str">
        <f>VLOOKUP(Tabela1[[#This Row],[CO_PAIS]],'[1]nome do paixs'!$A:$B,2,0)</f>
        <v>Estados Unidos</v>
      </c>
      <c r="J288" t="s">
        <v>11</v>
      </c>
    </row>
    <row r="289" spans="1:10">
      <c r="A289">
        <v>2024</v>
      </c>
      <c r="B289">
        <v>2</v>
      </c>
      <c r="C289">
        <v>8807</v>
      </c>
      <c r="D289">
        <v>87</v>
      </c>
      <c r="E289" t="s">
        <v>10</v>
      </c>
      <c r="F289">
        <v>3449904</v>
      </c>
      <c r="G289" s="1">
        <v>1448</v>
      </c>
      <c r="H289" s="2">
        <v>1679527</v>
      </c>
      <c r="I289" t="str">
        <f>VLOOKUP(Tabela1[[#This Row],[CO_PAIS]],'[1]nome do paixs'!$A:$B,2,0)</f>
        <v>Bélgica</v>
      </c>
      <c r="J289" t="s">
        <v>12</v>
      </c>
    </row>
    <row r="290" spans="1:10">
      <c r="A290">
        <v>2024</v>
      </c>
      <c r="B290">
        <v>2</v>
      </c>
      <c r="C290">
        <v>8807</v>
      </c>
      <c r="D290">
        <v>399</v>
      </c>
      <c r="E290" t="s">
        <v>10</v>
      </c>
      <c r="F290">
        <v>3449904</v>
      </c>
      <c r="G290" s="1">
        <v>116</v>
      </c>
      <c r="H290" s="2">
        <v>92424</v>
      </c>
      <c r="I290" t="str">
        <f>VLOOKUP(Tabela1[[#This Row],[CO_PAIS]],'[1]nome do paixs'!$A:$B,2,0)</f>
        <v>Japão</v>
      </c>
      <c r="J290" t="s">
        <v>12</v>
      </c>
    </row>
    <row r="291" spans="1:10">
      <c r="A291">
        <v>2024</v>
      </c>
      <c r="B291">
        <v>2</v>
      </c>
      <c r="C291">
        <v>8807</v>
      </c>
      <c r="D291">
        <v>628</v>
      </c>
      <c r="E291" t="s">
        <v>10</v>
      </c>
      <c r="F291">
        <v>3454102</v>
      </c>
      <c r="G291" s="1">
        <v>139</v>
      </c>
      <c r="H291" s="2">
        <v>172454</v>
      </c>
      <c r="I291" t="str">
        <f>VLOOKUP(Tabela1[[#This Row],[CO_PAIS]],'[1]nome do paixs'!$A:$B,2,0)</f>
        <v>Reino Unido</v>
      </c>
      <c r="J291" t="s">
        <v>11</v>
      </c>
    </row>
    <row r="292" spans="1:10">
      <c r="A292">
        <v>2024</v>
      </c>
      <c r="B292">
        <v>2</v>
      </c>
      <c r="C292">
        <v>8807</v>
      </c>
      <c r="D292">
        <v>245</v>
      </c>
      <c r="E292" t="s">
        <v>10</v>
      </c>
      <c r="F292">
        <v>3424402</v>
      </c>
      <c r="G292" s="1">
        <v>307</v>
      </c>
      <c r="H292" s="2">
        <v>77465</v>
      </c>
      <c r="I292" t="str">
        <f>VLOOKUP(Tabela1[[#This Row],[CO_PAIS]],'[1]nome do paixs'!$A:$B,2,0)</f>
        <v>Espanha</v>
      </c>
      <c r="J292" t="s">
        <v>13</v>
      </c>
    </row>
    <row r="293" spans="1:10">
      <c r="A293">
        <v>2024</v>
      </c>
      <c r="B293">
        <v>2</v>
      </c>
      <c r="C293">
        <v>8807</v>
      </c>
      <c r="D293">
        <v>827</v>
      </c>
      <c r="E293" t="s">
        <v>10</v>
      </c>
      <c r="F293">
        <v>3449904</v>
      </c>
      <c r="G293" s="1">
        <v>3</v>
      </c>
      <c r="H293" s="2">
        <v>6682</v>
      </c>
      <c r="I293" t="str">
        <f>VLOOKUP(Tabela1[[#This Row],[CO_PAIS]],'[1]nome do paixs'!$A:$B,2,0)</f>
        <v>Turquia</v>
      </c>
      <c r="J293" t="s">
        <v>12</v>
      </c>
    </row>
    <row r="294" spans="1:10">
      <c r="A294">
        <v>2024</v>
      </c>
      <c r="B294">
        <v>2</v>
      </c>
      <c r="C294">
        <v>8807</v>
      </c>
      <c r="D294">
        <v>676</v>
      </c>
      <c r="E294" t="s">
        <v>10</v>
      </c>
      <c r="F294">
        <v>3454102</v>
      </c>
      <c r="G294" s="1">
        <v>4504</v>
      </c>
      <c r="H294" s="2">
        <v>413190</v>
      </c>
      <c r="I294" t="str">
        <f>VLOOKUP(Tabela1[[#This Row],[CO_PAIS]],'[1]nome do paixs'!$A:$B,2,0)</f>
        <v>Rússia</v>
      </c>
      <c r="J294" t="s">
        <v>11</v>
      </c>
    </row>
    <row r="295" spans="1:10">
      <c r="A295">
        <v>2024</v>
      </c>
      <c r="B295">
        <v>2</v>
      </c>
      <c r="C295">
        <v>8807</v>
      </c>
      <c r="D295">
        <v>607</v>
      </c>
      <c r="E295" t="s">
        <v>10</v>
      </c>
      <c r="F295">
        <v>3449904</v>
      </c>
      <c r="G295" s="1">
        <v>34</v>
      </c>
      <c r="H295" s="2">
        <v>48301</v>
      </c>
      <c r="I295" t="str">
        <f>VLOOKUP(Tabela1[[#This Row],[CO_PAIS]],'[1]nome do paixs'!$A:$B,2,0)</f>
        <v>Portugal</v>
      </c>
      <c r="J295" t="s">
        <v>12</v>
      </c>
    </row>
    <row r="296" spans="1:10">
      <c r="A296">
        <v>2024</v>
      </c>
      <c r="B296">
        <v>2</v>
      </c>
      <c r="C296">
        <v>8807</v>
      </c>
      <c r="D296">
        <v>386</v>
      </c>
      <c r="E296" t="s">
        <v>10</v>
      </c>
      <c r="F296">
        <v>3454102</v>
      </c>
      <c r="G296" s="1">
        <v>192</v>
      </c>
      <c r="H296" s="2">
        <v>522794</v>
      </c>
      <c r="I296" t="str">
        <f>VLOOKUP(Tabela1[[#This Row],[CO_PAIS]],'[1]nome do paixs'!$A:$B,2,0)</f>
        <v>Itália</v>
      </c>
      <c r="J296" t="s">
        <v>11</v>
      </c>
    </row>
    <row r="297" spans="1:10">
      <c r="A297">
        <v>2024</v>
      </c>
      <c r="B297">
        <v>2</v>
      </c>
      <c r="C297">
        <v>8807</v>
      </c>
      <c r="D297">
        <v>105</v>
      </c>
      <c r="E297" t="s">
        <v>10</v>
      </c>
      <c r="F297">
        <v>3454102</v>
      </c>
      <c r="G297" s="1">
        <v>3655</v>
      </c>
      <c r="H297" s="2">
        <v>3463101</v>
      </c>
      <c r="I297" t="str">
        <f>VLOOKUP(Tabela1[[#This Row],[CO_PAIS]],'[1]nome do paixs'!$A:$B,2,0)</f>
        <v>Brasil</v>
      </c>
      <c r="J297" t="s">
        <v>11</v>
      </c>
    </row>
    <row r="298" spans="1:10">
      <c r="A298">
        <v>2024</v>
      </c>
      <c r="B298">
        <v>2</v>
      </c>
      <c r="C298">
        <v>8807</v>
      </c>
      <c r="D298">
        <v>87</v>
      </c>
      <c r="E298" t="s">
        <v>10</v>
      </c>
      <c r="F298">
        <v>3454102</v>
      </c>
      <c r="G298" s="1">
        <v>1475</v>
      </c>
      <c r="H298" s="2">
        <v>1250595</v>
      </c>
      <c r="I298" t="str">
        <f>VLOOKUP(Tabela1[[#This Row],[CO_PAIS]],'[1]nome do paixs'!$A:$B,2,0)</f>
        <v>Bélgica</v>
      </c>
      <c r="J298" t="s">
        <v>11</v>
      </c>
    </row>
    <row r="299" spans="1:10">
      <c r="A299">
        <v>2024</v>
      </c>
      <c r="B299">
        <v>2</v>
      </c>
      <c r="C299">
        <v>8807</v>
      </c>
      <c r="D299">
        <v>72</v>
      </c>
      <c r="E299" t="s">
        <v>10</v>
      </c>
      <c r="F299">
        <v>3449904</v>
      </c>
      <c r="G299" s="1">
        <v>485</v>
      </c>
      <c r="H299" s="2">
        <v>111048</v>
      </c>
      <c r="I299" t="str">
        <f>VLOOKUP(Tabela1[[#This Row],[CO_PAIS]],'[1]nome do paixs'!$A:$B,2,0)</f>
        <v>Áustria</v>
      </c>
      <c r="J299" t="s">
        <v>12</v>
      </c>
    </row>
    <row r="300" spans="1:10">
      <c r="A300">
        <v>2024</v>
      </c>
      <c r="B300">
        <v>2</v>
      </c>
      <c r="C300">
        <v>8807</v>
      </c>
      <c r="D300">
        <v>275</v>
      </c>
      <c r="E300" t="s">
        <v>10</v>
      </c>
      <c r="F300">
        <v>3424402</v>
      </c>
      <c r="G300" s="1">
        <v>304</v>
      </c>
      <c r="H300" s="2">
        <v>361873</v>
      </c>
      <c r="I300" t="str">
        <f>VLOOKUP(Tabela1[[#This Row],[CO_PAIS]],'[1]nome do paixs'!$A:$B,2,0)</f>
        <v>França</v>
      </c>
      <c r="J300" t="s">
        <v>13</v>
      </c>
    </row>
    <row r="301" spans="1:10">
      <c r="A301">
        <v>2024</v>
      </c>
      <c r="B301">
        <v>2</v>
      </c>
      <c r="C301">
        <v>8807</v>
      </c>
      <c r="D301">
        <v>149</v>
      </c>
      <c r="E301" t="s">
        <v>10</v>
      </c>
      <c r="F301">
        <v>3449904</v>
      </c>
      <c r="G301" s="1">
        <v>16</v>
      </c>
      <c r="H301" s="2">
        <v>23706</v>
      </c>
      <c r="I301" t="str">
        <f>VLOOKUP(Tabela1[[#This Row],[CO_PAIS]],'[1]nome do paixs'!$A:$B,2,0)</f>
        <v>Canadá</v>
      </c>
      <c r="J301" t="s">
        <v>12</v>
      </c>
    </row>
    <row r="302" spans="1:10">
      <c r="A302">
        <v>2024</v>
      </c>
      <c r="B302">
        <v>2</v>
      </c>
      <c r="C302">
        <v>8807</v>
      </c>
      <c r="D302">
        <v>149</v>
      </c>
      <c r="E302" t="s">
        <v>10</v>
      </c>
      <c r="F302">
        <v>3424402</v>
      </c>
      <c r="G302" s="1">
        <v>2</v>
      </c>
      <c r="H302" s="2">
        <v>500</v>
      </c>
      <c r="I302" t="str">
        <f>VLOOKUP(Tabela1[[#This Row],[CO_PAIS]],'[1]nome do paixs'!$A:$B,2,0)</f>
        <v>Canadá</v>
      </c>
      <c r="J302" t="s">
        <v>13</v>
      </c>
    </row>
    <row r="303" spans="1:10">
      <c r="A303">
        <v>2024</v>
      </c>
      <c r="B303">
        <v>2</v>
      </c>
      <c r="C303">
        <v>8807</v>
      </c>
      <c r="D303">
        <v>190</v>
      </c>
      <c r="E303" t="s">
        <v>10</v>
      </c>
      <c r="F303">
        <v>3424402</v>
      </c>
      <c r="G303" s="1">
        <v>2</v>
      </c>
      <c r="H303" s="2">
        <v>1177</v>
      </c>
      <c r="I303" t="str">
        <f>VLOOKUP(Tabela1[[#This Row],[CO_PAIS]],'[1]nome do paixs'!$A:$B,2,0)</f>
        <v>Coreia do Sul</v>
      </c>
      <c r="J303" t="s">
        <v>13</v>
      </c>
    </row>
    <row r="304" spans="1:10">
      <c r="A304">
        <v>2024</v>
      </c>
      <c r="B304">
        <v>2</v>
      </c>
      <c r="C304">
        <v>8807</v>
      </c>
      <c r="D304">
        <v>158</v>
      </c>
      <c r="E304" t="s">
        <v>10</v>
      </c>
      <c r="F304">
        <v>3449904</v>
      </c>
      <c r="G304" s="1">
        <v>195</v>
      </c>
      <c r="H304" s="2">
        <v>607147</v>
      </c>
      <c r="I304" t="str">
        <f>VLOOKUP(Tabela1[[#This Row],[CO_PAIS]],'[1]nome do paixs'!$A:$B,2,0)</f>
        <v>Chile</v>
      </c>
      <c r="J304" t="s">
        <v>12</v>
      </c>
    </row>
    <row r="305" spans="1:10">
      <c r="A305">
        <v>2024</v>
      </c>
      <c r="B305">
        <v>2</v>
      </c>
      <c r="C305">
        <v>8807</v>
      </c>
      <c r="D305">
        <v>87</v>
      </c>
      <c r="E305" t="s">
        <v>10</v>
      </c>
      <c r="F305">
        <v>3424402</v>
      </c>
      <c r="G305" s="1">
        <v>2</v>
      </c>
      <c r="H305" s="2">
        <v>3004</v>
      </c>
      <c r="I305" t="str">
        <f>VLOOKUP(Tabela1[[#This Row],[CO_PAIS]],'[1]nome do paixs'!$A:$B,2,0)</f>
        <v>Bélgica</v>
      </c>
      <c r="J305" t="s">
        <v>13</v>
      </c>
    </row>
    <row r="306" spans="1:10">
      <c r="A306">
        <v>2024</v>
      </c>
      <c r="B306">
        <v>2</v>
      </c>
      <c r="C306">
        <v>8807</v>
      </c>
      <c r="D306">
        <v>105</v>
      </c>
      <c r="E306" t="s">
        <v>10</v>
      </c>
      <c r="F306">
        <v>3449904</v>
      </c>
      <c r="G306" s="1">
        <v>4985</v>
      </c>
      <c r="H306" s="2">
        <v>3682852</v>
      </c>
      <c r="I306" t="str">
        <f>VLOOKUP(Tabela1[[#This Row],[CO_PAIS]],'[1]nome do paixs'!$A:$B,2,0)</f>
        <v>Brasil</v>
      </c>
      <c r="J306" t="s">
        <v>12</v>
      </c>
    </row>
    <row r="307" spans="1:10">
      <c r="A307">
        <v>2024</v>
      </c>
      <c r="B307">
        <v>2</v>
      </c>
      <c r="C307">
        <v>8807</v>
      </c>
      <c r="D307">
        <v>190</v>
      </c>
      <c r="E307" t="s">
        <v>10</v>
      </c>
      <c r="F307">
        <v>3449904</v>
      </c>
      <c r="G307" s="1">
        <v>16</v>
      </c>
      <c r="H307" s="2">
        <v>52131</v>
      </c>
      <c r="I307" t="str">
        <f>VLOOKUP(Tabela1[[#This Row],[CO_PAIS]],'[1]nome do paixs'!$A:$B,2,0)</f>
        <v>Coreia do Sul</v>
      </c>
      <c r="J307" t="s">
        <v>12</v>
      </c>
    </row>
    <row r="308" spans="1:10">
      <c r="A308">
        <v>2024</v>
      </c>
      <c r="B308">
        <v>2</v>
      </c>
      <c r="C308">
        <v>8807</v>
      </c>
      <c r="D308">
        <v>603</v>
      </c>
      <c r="E308" t="s">
        <v>10</v>
      </c>
      <c r="F308">
        <v>3449904</v>
      </c>
      <c r="G308" s="1">
        <v>191</v>
      </c>
      <c r="H308" s="2">
        <v>10244</v>
      </c>
      <c r="I308" t="str">
        <f>VLOOKUP(Tabela1[[#This Row],[CO_PAIS]],'[1]nome do paixs'!$A:$B,2,0)</f>
        <v>Polônia</v>
      </c>
      <c r="J308" t="s">
        <v>12</v>
      </c>
    </row>
    <row r="309" spans="1:10">
      <c r="A309">
        <v>2024</v>
      </c>
      <c r="B309">
        <v>2</v>
      </c>
      <c r="C309">
        <v>8807</v>
      </c>
      <c r="D309">
        <v>455</v>
      </c>
      <c r="E309" t="s">
        <v>10</v>
      </c>
      <c r="F309">
        <v>3454102</v>
      </c>
      <c r="G309" s="1">
        <v>650</v>
      </c>
      <c r="H309" s="2">
        <v>154543</v>
      </c>
      <c r="I309" t="str">
        <f>VLOOKUP(Tabela1[[#This Row],[CO_PAIS]],'[1]nome do paixs'!$A:$B,2,0)</f>
        <v>Malásia</v>
      </c>
      <c r="J309" t="s">
        <v>11</v>
      </c>
    </row>
    <row r="310" spans="1:10">
      <c r="A310">
        <v>2023</v>
      </c>
      <c r="B310">
        <v>2</v>
      </c>
      <c r="C310">
        <v>8807</v>
      </c>
      <c r="D310">
        <v>245</v>
      </c>
      <c r="E310" t="s">
        <v>10</v>
      </c>
      <c r="F310">
        <v>3454102</v>
      </c>
      <c r="G310" s="1">
        <v>1504</v>
      </c>
      <c r="H310" s="2">
        <v>1350471</v>
      </c>
      <c r="I310" t="str">
        <f>VLOOKUP(Tabela1[[#This Row],[CO_PAIS]],'[1]nome do paixs'!$A:$B,2,0)</f>
        <v>Espanha</v>
      </c>
      <c r="J310" t="s">
        <v>11</v>
      </c>
    </row>
    <row r="311" spans="1:10">
      <c r="A311">
        <v>2023</v>
      </c>
      <c r="B311">
        <v>2</v>
      </c>
      <c r="C311">
        <v>8807</v>
      </c>
      <c r="D311">
        <v>603</v>
      </c>
      <c r="E311" t="s">
        <v>10</v>
      </c>
      <c r="F311">
        <v>3449904</v>
      </c>
      <c r="G311" s="1">
        <v>8</v>
      </c>
      <c r="H311" s="2">
        <v>3415</v>
      </c>
      <c r="I311" t="str">
        <f>VLOOKUP(Tabela1[[#This Row],[CO_PAIS]],'[1]nome do paixs'!$A:$B,2,0)</f>
        <v>Polônia</v>
      </c>
      <c r="J311" t="s">
        <v>12</v>
      </c>
    </row>
    <row r="312" spans="1:10">
      <c r="A312">
        <v>2023</v>
      </c>
      <c r="B312">
        <v>2</v>
      </c>
      <c r="C312">
        <v>8807</v>
      </c>
      <c r="D312">
        <v>607</v>
      </c>
      <c r="E312" t="s">
        <v>10</v>
      </c>
      <c r="F312">
        <v>3454102</v>
      </c>
      <c r="G312" s="1">
        <v>13796</v>
      </c>
      <c r="H312" s="2">
        <v>4394498</v>
      </c>
      <c r="I312" t="str">
        <f>VLOOKUP(Tabela1[[#This Row],[CO_PAIS]],'[1]nome do paixs'!$A:$B,2,0)</f>
        <v>Portugal</v>
      </c>
      <c r="J312" t="s">
        <v>11</v>
      </c>
    </row>
    <row r="313" spans="1:10">
      <c r="A313">
        <v>2023</v>
      </c>
      <c r="B313">
        <v>2</v>
      </c>
      <c r="C313">
        <v>8807</v>
      </c>
      <c r="D313">
        <v>105</v>
      </c>
      <c r="E313" t="s">
        <v>10</v>
      </c>
      <c r="F313">
        <v>3449904</v>
      </c>
      <c r="G313" s="1">
        <v>7880</v>
      </c>
      <c r="H313" s="2">
        <v>4997276</v>
      </c>
      <c r="I313" t="str">
        <f>VLOOKUP(Tabela1[[#This Row],[CO_PAIS]],'[1]nome do paixs'!$A:$B,2,0)</f>
        <v>Brasil</v>
      </c>
      <c r="J313" t="s">
        <v>12</v>
      </c>
    </row>
    <row r="314" spans="1:10">
      <c r="A314">
        <v>2023</v>
      </c>
      <c r="B314">
        <v>2</v>
      </c>
      <c r="C314">
        <v>8807</v>
      </c>
      <c r="D314">
        <v>474</v>
      </c>
      <c r="E314" t="s">
        <v>10</v>
      </c>
      <c r="F314">
        <v>3454102</v>
      </c>
      <c r="G314" s="1">
        <v>138</v>
      </c>
      <c r="H314" s="2">
        <v>258099</v>
      </c>
      <c r="I314" t="str">
        <f>VLOOKUP(Tabela1[[#This Row],[CO_PAIS]],'[1]nome do paixs'!$A:$B,2,0)</f>
        <v>Marrocos</v>
      </c>
      <c r="J314" t="s">
        <v>11</v>
      </c>
    </row>
    <row r="315" spans="1:10">
      <c r="A315">
        <v>2023</v>
      </c>
      <c r="B315">
        <v>2</v>
      </c>
      <c r="C315">
        <v>8807</v>
      </c>
      <c r="D315">
        <v>399</v>
      </c>
      <c r="E315" t="s">
        <v>10</v>
      </c>
      <c r="F315">
        <v>3454102</v>
      </c>
      <c r="G315" s="1">
        <v>2470</v>
      </c>
      <c r="H315" s="2">
        <v>1735679</v>
      </c>
      <c r="I315" t="str">
        <f>VLOOKUP(Tabela1[[#This Row],[CO_PAIS]],'[1]nome do paixs'!$A:$B,2,0)</f>
        <v>Japão</v>
      </c>
      <c r="J315" t="s">
        <v>11</v>
      </c>
    </row>
    <row r="316" spans="1:10">
      <c r="A316">
        <v>2023</v>
      </c>
      <c r="B316">
        <v>2</v>
      </c>
      <c r="C316">
        <v>8807</v>
      </c>
      <c r="D316">
        <v>474</v>
      </c>
      <c r="E316" t="s">
        <v>10</v>
      </c>
      <c r="F316">
        <v>3449904</v>
      </c>
      <c r="G316" s="1">
        <v>4</v>
      </c>
      <c r="H316" s="2">
        <v>12066</v>
      </c>
      <c r="I316" t="str">
        <f>VLOOKUP(Tabela1[[#This Row],[CO_PAIS]],'[1]nome do paixs'!$A:$B,2,0)</f>
        <v>Marrocos</v>
      </c>
      <c r="J316" t="s">
        <v>12</v>
      </c>
    </row>
    <row r="317" spans="1:10">
      <c r="A317">
        <v>2023</v>
      </c>
      <c r="B317">
        <v>2</v>
      </c>
      <c r="C317">
        <v>8807</v>
      </c>
      <c r="D317">
        <v>23</v>
      </c>
      <c r="E317" t="s">
        <v>10</v>
      </c>
      <c r="F317">
        <v>3449904</v>
      </c>
      <c r="G317" s="1">
        <v>134</v>
      </c>
      <c r="H317" s="2">
        <v>255860</v>
      </c>
      <c r="I317" t="str">
        <f>VLOOKUP(Tabela1[[#This Row],[CO_PAIS]],'[1]nome do paixs'!$A:$B,2,0)</f>
        <v>Alemanha</v>
      </c>
      <c r="J317" t="s">
        <v>12</v>
      </c>
    </row>
    <row r="318" spans="1:10">
      <c r="A318">
        <v>2023</v>
      </c>
      <c r="B318">
        <v>2</v>
      </c>
      <c r="C318">
        <v>8807</v>
      </c>
      <c r="D318">
        <v>190</v>
      </c>
      <c r="E318" t="s">
        <v>10</v>
      </c>
      <c r="F318">
        <v>3424402</v>
      </c>
      <c r="G318" s="1">
        <v>11</v>
      </c>
      <c r="H318" s="2">
        <v>3502</v>
      </c>
      <c r="I318" t="str">
        <f>VLOOKUP(Tabela1[[#This Row],[CO_PAIS]],'[1]nome do paixs'!$A:$B,2,0)</f>
        <v>Coreia do Sul</v>
      </c>
      <c r="J318" t="s">
        <v>13</v>
      </c>
    </row>
    <row r="319" spans="1:10">
      <c r="A319">
        <v>2023</v>
      </c>
      <c r="B319">
        <v>2</v>
      </c>
      <c r="C319">
        <v>8807</v>
      </c>
      <c r="D319">
        <v>249</v>
      </c>
      <c r="E319" t="s">
        <v>10</v>
      </c>
      <c r="F319">
        <v>3454102</v>
      </c>
      <c r="G319" s="1">
        <v>21759</v>
      </c>
      <c r="H319" s="2">
        <v>5433234</v>
      </c>
      <c r="I319" t="str">
        <f>VLOOKUP(Tabela1[[#This Row],[CO_PAIS]],'[1]nome do paixs'!$A:$B,2,0)</f>
        <v>Estados Unidos</v>
      </c>
      <c r="J319" t="s">
        <v>11</v>
      </c>
    </row>
    <row r="320" spans="1:10">
      <c r="A320">
        <v>2023</v>
      </c>
      <c r="B320">
        <v>2</v>
      </c>
      <c r="C320">
        <v>8807</v>
      </c>
      <c r="D320">
        <v>105</v>
      </c>
      <c r="E320" t="s">
        <v>10</v>
      </c>
      <c r="F320">
        <v>3454102</v>
      </c>
      <c r="G320" s="1">
        <v>5706</v>
      </c>
      <c r="H320" s="2">
        <v>4863002</v>
      </c>
      <c r="I320" t="str">
        <f>VLOOKUP(Tabela1[[#This Row],[CO_PAIS]],'[1]nome do paixs'!$A:$B,2,0)</f>
        <v>Brasil</v>
      </c>
      <c r="J320" t="s">
        <v>11</v>
      </c>
    </row>
    <row r="321" spans="1:10">
      <c r="A321">
        <v>2023</v>
      </c>
      <c r="B321">
        <v>2</v>
      </c>
      <c r="C321">
        <v>8807</v>
      </c>
      <c r="D321">
        <v>361</v>
      </c>
      <c r="E321" t="s">
        <v>10</v>
      </c>
      <c r="F321">
        <v>3449904</v>
      </c>
      <c r="G321" s="1">
        <v>1673</v>
      </c>
      <c r="H321" s="2">
        <v>762093</v>
      </c>
      <c r="I321" t="str">
        <f>VLOOKUP(Tabela1[[#This Row],[CO_PAIS]],'[1]nome do paixs'!$A:$B,2,0)</f>
        <v>Índia</v>
      </c>
      <c r="J321" t="s">
        <v>12</v>
      </c>
    </row>
    <row r="322" spans="1:10">
      <c r="A322">
        <v>2023</v>
      </c>
      <c r="B322">
        <v>2</v>
      </c>
      <c r="C322">
        <v>8807</v>
      </c>
      <c r="D322">
        <v>87</v>
      </c>
      <c r="E322" t="s">
        <v>10</v>
      </c>
      <c r="F322">
        <v>3449904</v>
      </c>
      <c r="G322" s="1">
        <v>1127</v>
      </c>
      <c r="H322" s="2">
        <v>1131305</v>
      </c>
      <c r="I322" t="str">
        <f>VLOOKUP(Tabela1[[#This Row],[CO_PAIS]],'[1]nome do paixs'!$A:$B,2,0)</f>
        <v>Bélgica</v>
      </c>
      <c r="J322" t="s">
        <v>12</v>
      </c>
    </row>
    <row r="323" spans="1:10">
      <c r="A323">
        <v>2023</v>
      </c>
      <c r="B323">
        <v>2</v>
      </c>
      <c r="C323">
        <v>8807</v>
      </c>
      <c r="D323">
        <v>375</v>
      </c>
      <c r="E323" t="s">
        <v>10</v>
      </c>
      <c r="F323">
        <v>3454102</v>
      </c>
      <c r="G323" s="1">
        <v>5</v>
      </c>
      <c r="H323" s="2">
        <v>2690</v>
      </c>
      <c r="I323" t="str">
        <f>VLOOKUP(Tabela1[[#This Row],[CO_PAIS]],'[1]nome do paixs'!$A:$B,2,0)</f>
        <v>Irlanda</v>
      </c>
      <c r="J323" t="s">
        <v>11</v>
      </c>
    </row>
    <row r="324" spans="1:10">
      <c r="A324">
        <v>2023</v>
      </c>
      <c r="B324">
        <v>2</v>
      </c>
      <c r="C324">
        <v>8807</v>
      </c>
      <c r="D324">
        <v>791</v>
      </c>
      <c r="E324" t="s">
        <v>10</v>
      </c>
      <c r="F324">
        <v>3449904</v>
      </c>
      <c r="G324" s="1">
        <v>26</v>
      </c>
      <c r="H324" s="2">
        <v>39989</v>
      </c>
      <c r="I324" t="str">
        <f>VLOOKUP(Tabela1[[#This Row],[CO_PAIS]],'[1]nome do paixs'!$A:$B,2,0)</f>
        <v>Tcheca, República</v>
      </c>
      <c r="J324" t="s">
        <v>12</v>
      </c>
    </row>
    <row r="325" spans="1:10">
      <c r="A325">
        <v>2023</v>
      </c>
      <c r="B325">
        <v>2</v>
      </c>
      <c r="C325">
        <v>8807</v>
      </c>
      <c r="D325">
        <v>791</v>
      </c>
      <c r="E325" t="s">
        <v>10</v>
      </c>
      <c r="F325">
        <v>3424402</v>
      </c>
      <c r="G325" s="1">
        <v>310</v>
      </c>
      <c r="H325" s="2">
        <v>234539</v>
      </c>
      <c r="I325" t="str">
        <f>VLOOKUP(Tabela1[[#This Row],[CO_PAIS]],'[1]nome do paixs'!$A:$B,2,0)</f>
        <v>Tcheca, República</v>
      </c>
      <c r="J325" t="s">
        <v>13</v>
      </c>
    </row>
    <row r="326" spans="1:10">
      <c r="A326">
        <v>2023</v>
      </c>
      <c r="B326">
        <v>2</v>
      </c>
      <c r="C326">
        <v>8807</v>
      </c>
      <c r="D326">
        <v>149</v>
      </c>
      <c r="E326" t="s">
        <v>10</v>
      </c>
      <c r="F326">
        <v>3454102</v>
      </c>
      <c r="G326" s="1">
        <v>1169</v>
      </c>
      <c r="H326" s="2">
        <v>910019</v>
      </c>
      <c r="I326" t="str">
        <f>VLOOKUP(Tabela1[[#This Row],[CO_PAIS]],'[1]nome do paixs'!$A:$B,2,0)</f>
        <v>Canadá</v>
      </c>
      <c r="J326" t="s">
        <v>11</v>
      </c>
    </row>
    <row r="327" spans="1:10">
      <c r="A327">
        <v>2023</v>
      </c>
      <c r="B327">
        <v>2</v>
      </c>
      <c r="C327">
        <v>8807</v>
      </c>
      <c r="D327">
        <v>87</v>
      </c>
      <c r="E327" t="s">
        <v>10</v>
      </c>
      <c r="F327">
        <v>3424402</v>
      </c>
      <c r="G327" s="1">
        <v>1</v>
      </c>
      <c r="H327" s="2">
        <v>3391</v>
      </c>
      <c r="I327" t="str">
        <f>VLOOKUP(Tabela1[[#This Row],[CO_PAIS]],'[1]nome do paixs'!$A:$B,2,0)</f>
        <v>Bélgica</v>
      </c>
      <c r="J327" t="s">
        <v>13</v>
      </c>
    </row>
    <row r="328" spans="1:10">
      <c r="A328">
        <v>2023</v>
      </c>
      <c r="B328">
        <v>2</v>
      </c>
      <c r="C328">
        <v>8807</v>
      </c>
      <c r="D328">
        <v>245</v>
      </c>
      <c r="E328" t="s">
        <v>10</v>
      </c>
      <c r="F328">
        <v>3449904</v>
      </c>
      <c r="G328" s="1">
        <v>2245</v>
      </c>
      <c r="H328" s="2">
        <v>1104585</v>
      </c>
      <c r="I328" t="str">
        <f>VLOOKUP(Tabela1[[#This Row],[CO_PAIS]],'[1]nome do paixs'!$A:$B,2,0)</f>
        <v>Espanha</v>
      </c>
      <c r="J328" t="s">
        <v>12</v>
      </c>
    </row>
    <row r="329" spans="1:10">
      <c r="A329">
        <v>2023</v>
      </c>
      <c r="B329">
        <v>2</v>
      </c>
      <c r="C329">
        <v>8807</v>
      </c>
      <c r="D329">
        <v>275</v>
      </c>
      <c r="E329" t="s">
        <v>10</v>
      </c>
      <c r="F329">
        <v>3449904</v>
      </c>
      <c r="G329" s="1">
        <v>191</v>
      </c>
      <c r="H329" s="2">
        <v>266970</v>
      </c>
      <c r="I329" t="str">
        <f>VLOOKUP(Tabela1[[#This Row],[CO_PAIS]],'[1]nome do paixs'!$A:$B,2,0)</f>
        <v>França</v>
      </c>
      <c r="J329" t="s">
        <v>12</v>
      </c>
    </row>
    <row r="330" spans="1:10">
      <c r="A330">
        <v>2023</v>
      </c>
      <c r="B330">
        <v>2</v>
      </c>
      <c r="C330">
        <v>8807</v>
      </c>
      <c r="D330">
        <v>245</v>
      </c>
      <c r="E330" t="s">
        <v>10</v>
      </c>
      <c r="F330">
        <v>3424402</v>
      </c>
      <c r="G330" s="1">
        <v>279</v>
      </c>
      <c r="H330" s="2">
        <v>57963</v>
      </c>
      <c r="I330" t="str">
        <f>VLOOKUP(Tabela1[[#This Row],[CO_PAIS]],'[1]nome do paixs'!$A:$B,2,0)</f>
        <v>Espanha</v>
      </c>
      <c r="J330" t="s">
        <v>13</v>
      </c>
    </row>
    <row r="331" spans="1:10">
      <c r="A331">
        <v>2023</v>
      </c>
      <c r="B331">
        <v>2</v>
      </c>
      <c r="C331">
        <v>8807</v>
      </c>
      <c r="D331">
        <v>386</v>
      </c>
      <c r="E331" t="s">
        <v>10</v>
      </c>
      <c r="F331">
        <v>3454102</v>
      </c>
      <c r="G331" s="1">
        <v>441</v>
      </c>
      <c r="H331" s="2">
        <v>1487796</v>
      </c>
      <c r="I331" t="str">
        <f>VLOOKUP(Tabela1[[#This Row],[CO_PAIS]],'[1]nome do paixs'!$A:$B,2,0)</f>
        <v>Itália</v>
      </c>
      <c r="J331" t="s">
        <v>11</v>
      </c>
    </row>
    <row r="332" spans="1:10">
      <c r="A332">
        <v>2023</v>
      </c>
      <c r="B332">
        <v>2</v>
      </c>
      <c r="C332">
        <v>8807</v>
      </c>
      <c r="D332">
        <v>23</v>
      </c>
      <c r="E332" t="s">
        <v>10</v>
      </c>
      <c r="F332">
        <v>3424402</v>
      </c>
      <c r="G332" s="1">
        <v>0</v>
      </c>
      <c r="H332" s="2">
        <v>2181</v>
      </c>
      <c r="I332" t="str">
        <f>VLOOKUP(Tabela1[[#This Row],[CO_PAIS]],'[1]nome do paixs'!$A:$B,2,0)</f>
        <v>Alemanha</v>
      </c>
      <c r="J332" t="s">
        <v>13</v>
      </c>
    </row>
    <row r="333" spans="1:10">
      <c r="A333">
        <v>2023</v>
      </c>
      <c r="B333">
        <v>2</v>
      </c>
      <c r="C333">
        <v>8807</v>
      </c>
      <c r="D333">
        <v>249</v>
      </c>
      <c r="E333" t="s">
        <v>10</v>
      </c>
      <c r="F333">
        <v>3449904</v>
      </c>
      <c r="G333" s="1">
        <v>3454</v>
      </c>
      <c r="H333" s="2">
        <v>2958776</v>
      </c>
      <c r="I333" t="str">
        <f>VLOOKUP(Tabela1[[#This Row],[CO_PAIS]],'[1]nome do paixs'!$A:$B,2,0)</f>
        <v>Estados Unidos</v>
      </c>
      <c r="J333" t="s">
        <v>12</v>
      </c>
    </row>
    <row r="334" spans="1:10">
      <c r="A334">
        <v>2023</v>
      </c>
      <c r="B334">
        <v>2</v>
      </c>
      <c r="C334">
        <v>8807</v>
      </c>
      <c r="D334">
        <v>386</v>
      </c>
      <c r="E334" t="s">
        <v>10</v>
      </c>
      <c r="F334">
        <v>3449904</v>
      </c>
      <c r="G334" s="1">
        <v>12</v>
      </c>
      <c r="H334" s="2">
        <v>12173</v>
      </c>
      <c r="I334" t="str">
        <f>VLOOKUP(Tabela1[[#This Row],[CO_PAIS]],'[1]nome do paixs'!$A:$B,2,0)</f>
        <v>Itália</v>
      </c>
      <c r="J334" t="s">
        <v>12</v>
      </c>
    </row>
    <row r="335" spans="1:10">
      <c r="A335">
        <v>2023</v>
      </c>
      <c r="B335">
        <v>2</v>
      </c>
      <c r="C335">
        <v>8807</v>
      </c>
      <c r="D335">
        <v>23</v>
      </c>
      <c r="E335" t="s">
        <v>10</v>
      </c>
      <c r="F335">
        <v>3454102</v>
      </c>
      <c r="G335" s="1">
        <v>4384</v>
      </c>
      <c r="H335" s="2">
        <v>513597</v>
      </c>
      <c r="I335" t="str">
        <f>VLOOKUP(Tabela1[[#This Row],[CO_PAIS]],'[1]nome do paixs'!$A:$B,2,0)</f>
        <v>Alemanha</v>
      </c>
      <c r="J335" t="s">
        <v>11</v>
      </c>
    </row>
    <row r="336" spans="1:10">
      <c r="A336">
        <v>2023</v>
      </c>
      <c r="B336">
        <v>2</v>
      </c>
      <c r="C336">
        <v>8807</v>
      </c>
      <c r="D336">
        <v>190</v>
      </c>
      <c r="E336" t="s">
        <v>10</v>
      </c>
      <c r="F336">
        <v>3454102</v>
      </c>
      <c r="G336" s="1">
        <v>2407</v>
      </c>
      <c r="H336" s="2">
        <v>2355084</v>
      </c>
      <c r="I336" t="str">
        <f>VLOOKUP(Tabela1[[#This Row],[CO_PAIS]],'[1]nome do paixs'!$A:$B,2,0)</f>
        <v>Coreia do Sul</v>
      </c>
      <c r="J336" t="s">
        <v>11</v>
      </c>
    </row>
    <row r="337" spans="1:10">
      <c r="A337">
        <v>2023</v>
      </c>
      <c r="B337">
        <v>2</v>
      </c>
      <c r="C337">
        <v>8807</v>
      </c>
      <c r="D337">
        <v>72</v>
      </c>
      <c r="E337" t="s">
        <v>10</v>
      </c>
      <c r="F337">
        <v>3449904</v>
      </c>
      <c r="G337" s="1">
        <v>235</v>
      </c>
      <c r="H337" s="2">
        <v>15549</v>
      </c>
      <c r="I337" t="str">
        <f>VLOOKUP(Tabela1[[#This Row],[CO_PAIS]],'[1]nome do paixs'!$A:$B,2,0)</f>
        <v>Áustria</v>
      </c>
      <c r="J337" t="s">
        <v>12</v>
      </c>
    </row>
    <row r="338" spans="1:10">
      <c r="A338">
        <v>2023</v>
      </c>
      <c r="B338">
        <v>2</v>
      </c>
      <c r="C338">
        <v>8807</v>
      </c>
      <c r="D338">
        <v>249</v>
      </c>
      <c r="E338" t="s">
        <v>10</v>
      </c>
      <c r="F338">
        <v>3424402</v>
      </c>
      <c r="G338" s="1">
        <v>905</v>
      </c>
      <c r="H338" s="2">
        <v>234272</v>
      </c>
      <c r="I338" t="str">
        <f>VLOOKUP(Tabela1[[#This Row],[CO_PAIS]],'[1]nome do paixs'!$A:$B,2,0)</f>
        <v>Estados Unidos</v>
      </c>
      <c r="J338" t="s">
        <v>13</v>
      </c>
    </row>
    <row r="339" spans="1:10">
      <c r="A339">
        <v>2023</v>
      </c>
      <c r="B339">
        <v>2</v>
      </c>
      <c r="C339">
        <v>8807</v>
      </c>
      <c r="D339">
        <v>628</v>
      </c>
      <c r="E339" t="s">
        <v>10</v>
      </c>
      <c r="F339">
        <v>3449904</v>
      </c>
      <c r="G339" s="1">
        <v>474</v>
      </c>
      <c r="H339" s="2">
        <v>336984</v>
      </c>
      <c r="I339" t="str">
        <f>VLOOKUP(Tabela1[[#This Row],[CO_PAIS]],'[1]nome do paixs'!$A:$B,2,0)</f>
        <v>Reino Unido</v>
      </c>
      <c r="J339" t="s">
        <v>12</v>
      </c>
    </row>
    <row r="340" spans="1:10">
      <c r="A340">
        <v>2023</v>
      </c>
      <c r="B340">
        <v>2</v>
      </c>
      <c r="C340">
        <v>8807</v>
      </c>
      <c r="D340">
        <v>72</v>
      </c>
      <c r="E340" t="s">
        <v>10</v>
      </c>
      <c r="F340">
        <v>3454102</v>
      </c>
      <c r="G340" s="1">
        <v>4010</v>
      </c>
      <c r="H340" s="2">
        <v>663888</v>
      </c>
      <c r="I340" t="str">
        <f>VLOOKUP(Tabela1[[#This Row],[CO_PAIS]],'[1]nome do paixs'!$A:$B,2,0)</f>
        <v>Áustria</v>
      </c>
      <c r="J340" t="s">
        <v>11</v>
      </c>
    </row>
    <row r="341" spans="1:10">
      <c r="A341">
        <v>2023</v>
      </c>
      <c r="B341">
        <v>2</v>
      </c>
      <c r="C341">
        <v>8807</v>
      </c>
      <c r="D341">
        <v>190</v>
      </c>
      <c r="E341" t="s">
        <v>10</v>
      </c>
      <c r="F341">
        <v>3449904</v>
      </c>
      <c r="G341" s="1">
        <v>53</v>
      </c>
      <c r="H341" s="2">
        <v>60404</v>
      </c>
      <c r="I341" t="str">
        <f>VLOOKUP(Tabela1[[#This Row],[CO_PAIS]],'[1]nome do paixs'!$A:$B,2,0)</f>
        <v>Coreia do Sul</v>
      </c>
      <c r="J341" t="s">
        <v>12</v>
      </c>
    </row>
    <row r="342" spans="1:10">
      <c r="A342">
        <v>2023</v>
      </c>
      <c r="B342">
        <v>2</v>
      </c>
      <c r="C342">
        <v>8807</v>
      </c>
      <c r="D342">
        <v>399</v>
      </c>
      <c r="E342" t="s">
        <v>10</v>
      </c>
      <c r="F342">
        <v>3449904</v>
      </c>
      <c r="G342" s="1">
        <v>490</v>
      </c>
      <c r="H342" s="2">
        <v>444172</v>
      </c>
      <c r="I342" t="str">
        <f>VLOOKUP(Tabela1[[#This Row],[CO_PAIS]],'[1]nome do paixs'!$A:$B,2,0)</f>
        <v>Japão</v>
      </c>
      <c r="J342" t="s">
        <v>12</v>
      </c>
    </row>
    <row r="343" spans="1:10">
      <c r="A343">
        <v>2023</v>
      </c>
      <c r="B343">
        <v>2</v>
      </c>
      <c r="C343">
        <v>8807</v>
      </c>
      <c r="D343">
        <v>455</v>
      </c>
      <c r="E343" t="s">
        <v>10</v>
      </c>
      <c r="F343">
        <v>3454102</v>
      </c>
      <c r="G343" s="1">
        <v>5142</v>
      </c>
      <c r="H343" s="2">
        <v>616901</v>
      </c>
      <c r="I343" t="str">
        <f>VLOOKUP(Tabela1[[#This Row],[CO_PAIS]],'[1]nome do paixs'!$A:$B,2,0)</f>
        <v>Malásia</v>
      </c>
      <c r="J343" t="s">
        <v>11</v>
      </c>
    </row>
    <row r="344" spans="1:10">
      <c r="A344">
        <v>2023</v>
      </c>
      <c r="B344">
        <v>2</v>
      </c>
      <c r="C344">
        <v>8807</v>
      </c>
      <c r="D344">
        <v>741</v>
      </c>
      <c r="E344" t="s">
        <v>10</v>
      </c>
      <c r="F344">
        <v>3449904</v>
      </c>
      <c r="G344" s="1">
        <v>237</v>
      </c>
      <c r="H344" s="2">
        <v>280359</v>
      </c>
      <c r="I344" t="str">
        <f>VLOOKUP(Tabela1[[#This Row],[CO_PAIS]],'[1]nome do paixs'!$A:$B,2,0)</f>
        <v>Singapura</v>
      </c>
      <c r="J344" t="s">
        <v>12</v>
      </c>
    </row>
    <row r="345" spans="1:10">
      <c r="A345">
        <v>2023</v>
      </c>
      <c r="B345">
        <v>2</v>
      </c>
      <c r="C345">
        <v>8807</v>
      </c>
      <c r="D345">
        <v>628</v>
      </c>
      <c r="E345" t="s">
        <v>10</v>
      </c>
      <c r="F345">
        <v>3454102</v>
      </c>
      <c r="G345" s="1">
        <v>178</v>
      </c>
      <c r="H345" s="2">
        <v>284441</v>
      </c>
      <c r="I345" t="str">
        <f>VLOOKUP(Tabela1[[#This Row],[CO_PAIS]],'[1]nome do paixs'!$A:$B,2,0)</f>
        <v>Reino Unido</v>
      </c>
      <c r="J345" t="s">
        <v>11</v>
      </c>
    </row>
    <row r="346" spans="1:10">
      <c r="A346">
        <v>2023</v>
      </c>
      <c r="B346">
        <v>2</v>
      </c>
      <c r="C346">
        <v>8807</v>
      </c>
      <c r="D346">
        <v>87</v>
      </c>
      <c r="E346" t="s">
        <v>10</v>
      </c>
      <c r="F346">
        <v>3454102</v>
      </c>
      <c r="G346" s="1">
        <v>2103</v>
      </c>
      <c r="H346" s="2">
        <v>2106567</v>
      </c>
      <c r="I346" t="str">
        <f>VLOOKUP(Tabela1[[#This Row],[CO_PAIS]],'[1]nome do paixs'!$A:$B,2,0)</f>
        <v>Bélgica</v>
      </c>
      <c r="J346" t="s">
        <v>11</v>
      </c>
    </row>
    <row r="347" spans="1:10">
      <c r="A347">
        <v>2023</v>
      </c>
      <c r="B347">
        <v>2</v>
      </c>
      <c r="C347">
        <v>8807</v>
      </c>
      <c r="D347">
        <v>493</v>
      </c>
      <c r="E347" t="s">
        <v>10</v>
      </c>
      <c r="F347">
        <v>3449904</v>
      </c>
      <c r="G347" s="1">
        <v>1143</v>
      </c>
      <c r="H347" s="2">
        <v>1003338</v>
      </c>
      <c r="I347" t="str">
        <f>VLOOKUP(Tabela1[[#This Row],[CO_PAIS]],'[1]nome do paixs'!$A:$B,2,0)</f>
        <v>México</v>
      </c>
      <c r="J347" t="s">
        <v>12</v>
      </c>
    </row>
    <row r="348" spans="1:10">
      <c r="A348">
        <v>2023</v>
      </c>
      <c r="B348">
        <v>2</v>
      </c>
      <c r="C348">
        <v>8807</v>
      </c>
      <c r="D348">
        <v>827</v>
      </c>
      <c r="E348" t="s">
        <v>10</v>
      </c>
      <c r="F348">
        <v>3449904</v>
      </c>
      <c r="G348" s="1">
        <v>0</v>
      </c>
      <c r="H348" s="2">
        <v>125</v>
      </c>
      <c r="I348" t="str">
        <f>VLOOKUP(Tabela1[[#This Row],[CO_PAIS]],'[1]nome do paixs'!$A:$B,2,0)</f>
        <v>Turquia</v>
      </c>
      <c r="J348" t="s">
        <v>12</v>
      </c>
    </row>
    <row r="349" spans="1:10">
      <c r="A349">
        <v>2023</v>
      </c>
      <c r="B349">
        <v>2</v>
      </c>
      <c r="C349">
        <v>8807</v>
      </c>
      <c r="D349">
        <v>607</v>
      </c>
      <c r="E349" t="s">
        <v>10</v>
      </c>
      <c r="F349">
        <v>3449904</v>
      </c>
      <c r="G349" s="1">
        <v>3</v>
      </c>
      <c r="H349" s="2">
        <v>11656</v>
      </c>
      <c r="I349" t="str">
        <f>VLOOKUP(Tabela1[[#This Row],[CO_PAIS]],'[1]nome do paixs'!$A:$B,2,0)</f>
        <v>Portugal</v>
      </c>
      <c r="J349" t="s">
        <v>12</v>
      </c>
    </row>
    <row r="350" spans="1:10">
      <c r="A350">
        <v>2023</v>
      </c>
      <c r="B350">
        <v>2</v>
      </c>
      <c r="C350">
        <v>8807</v>
      </c>
      <c r="D350">
        <v>493</v>
      </c>
      <c r="E350" t="s">
        <v>10</v>
      </c>
      <c r="F350">
        <v>3454102</v>
      </c>
      <c r="G350" s="1">
        <v>9712</v>
      </c>
      <c r="H350" s="2">
        <v>4029521</v>
      </c>
      <c r="I350" t="str">
        <f>VLOOKUP(Tabela1[[#This Row],[CO_PAIS]],'[1]nome do paixs'!$A:$B,2,0)</f>
        <v>México</v>
      </c>
      <c r="J350" t="s">
        <v>11</v>
      </c>
    </row>
    <row r="351" spans="1:10">
      <c r="A351">
        <v>2023</v>
      </c>
      <c r="B351">
        <v>2</v>
      </c>
      <c r="C351">
        <v>8807</v>
      </c>
      <c r="D351">
        <v>767</v>
      </c>
      <c r="E351" t="s">
        <v>10</v>
      </c>
      <c r="F351">
        <v>3449904</v>
      </c>
      <c r="G351" s="1">
        <v>11</v>
      </c>
      <c r="H351" s="2">
        <v>9562</v>
      </c>
      <c r="I351" t="str">
        <f>VLOOKUP(Tabela1[[#This Row],[CO_PAIS]],'[1]nome do paixs'!$A:$B,2,0)</f>
        <v>Suíça</v>
      </c>
      <c r="J351" t="s">
        <v>12</v>
      </c>
    </row>
    <row r="352" spans="1:10">
      <c r="A352">
        <v>2023</v>
      </c>
      <c r="B352">
        <v>2</v>
      </c>
      <c r="C352">
        <v>8807</v>
      </c>
      <c r="D352">
        <v>676</v>
      </c>
      <c r="E352" t="s">
        <v>10</v>
      </c>
      <c r="F352">
        <v>3449904</v>
      </c>
      <c r="G352" s="1">
        <v>63</v>
      </c>
      <c r="H352" s="2">
        <v>65137</v>
      </c>
      <c r="I352" t="str">
        <f>VLOOKUP(Tabela1[[#This Row],[CO_PAIS]],'[1]nome do paixs'!$A:$B,2,0)</f>
        <v>Rússia</v>
      </c>
      <c r="J352" t="s">
        <v>12</v>
      </c>
    </row>
    <row r="353" spans="1:10">
      <c r="A353">
        <v>2023</v>
      </c>
      <c r="B353">
        <v>2</v>
      </c>
      <c r="C353">
        <v>8807</v>
      </c>
      <c r="D353">
        <v>375</v>
      </c>
      <c r="E353" t="s">
        <v>10</v>
      </c>
      <c r="F353">
        <v>3449904</v>
      </c>
      <c r="G353" s="1">
        <v>0</v>
      </c>
      <c r="H353" s="2">
        <v>90</v>
      </c>
      <c r="I353" t="str">
        <f>VLOOKUP(Tabela1[[#This Row],[CO_PAIS]],'[1]nome do paixs'!$A:$B,2,0)</f>
        <v>Irlanda</v>
      </c>
      <c r="J353" t="s">
        <v>12</v>
      </c>
    </row>
    <row r="354" spans="1:10">
      <c r="A354">
        <v>2023</v>
      </c>
      <c r="B354">
        <v>2</v>
      </c>
      <c r="C354">
        <v>8807</v>
      </c>
      <c r="D354">
        <v>275</v>
      </c>
      <c r="E354" t="s">
        <v>10</v>
      </c>
      <c r="F354">
        <v>3424402</v>
      </c>
      <c r="G354" s="1">
        <v>414</v>
      </c>
      <c r="H354" s="2">
        <v>400990</v>
      </c>
      <c r="I354" t="str">
        <f>VLOOKUP(Tabela1[[#This Row],[CO_PAIS]],'[1]nome do paixs'!$A:$B,2,0)</f>
        <v>França</v>
      </c>
      <c r="J354" t="s">
        <v>13</v>
      </c>
    </row>
    <row r="355" spans="1:10">
      <c r="A355">
        <v>2023</v>
      </c>
      <c r="B355">
        <v>2</v>
      </c>
      <c r="C355">
        <v>8807</v>
      </c>
      <c r="D355">
        <v>275</v>
      </c>
      <c r="E355" t="s">
        <v>10</v>
      </c>
      <c r="F355">
        <v>3454102</v>
      </c>
      <c r="G355" s="1">
        <v>2213</v>
      </c>
      <c r="H355" s="2">
        <v>3426469</v>
      </c>
      <c r="I355" t="str">
        <f>VLOOKUP(Tabela1[[#This Row],[CO_PAIS]],'[1]nome do paixs'!$A:$B,2,0)</f>
        <v>França</v>
      </c>
      <c r="J355" t="s">
        <v>11</v>
      </c>
    </row>
    <row r="356" spans="1:10">
      <c r="A356">
        <v>2023</v>
      </c>
      <c r="B356">
        <v>2</v>
      </c>
      <c r="C356">
        <v>8807</v>
      </c>
      <c r="D356">
        <v>791</v>
      </c>
      <c r="E356" t="s">
        <v>10</v>
      </c>
      <c r="F356">
        <v>3454102</v>
      </c>
      <c r="G356" s="1">
        <v>2</v>
      </c>
      <c r="H356" s="2">
        <v>5986</v>
      </c>
      <c r="I356" t="str">
        <f>VLOOKUP(Tabela1[[#This Row],[CO_PAIS]],'[1]nome do paixs'!$A:$B,2,0)</f>
        <v>Tcheca, República</v>
      </c>
      <c r="J356" t="s">
        <v>11</v>
      </c>
    </row>
    <row r="357" spans="1:10">
      <c r="A357">
        <v>2023</v>
      </c>
      <c r="B357">
        <v>2</v>
      </c>
      <c r="C357">
        <v>8807</v>
      </c>
      <c r="D357">
        <v>149</v>
      </c>
      <c r="E357" t="s">
        <v>10</v>
      </c>
      <c r="F357">
        <v>3449904</v>
      </c>
      <c r="G357" s="1">
        <v>34</v>
      </c>
      <c r="H357" s="2">
        <v>33379</v>
      </c>
      <c r="I357" t="str">
        <f>VLOOKUP(Tabela1[[#This Row],[CO_PAIS]],'[1]nome do paixs'!$A:$B,2,0)</f>
        <v>Canadá</v>
      </c>
      <c r="J357" t="s">
        <v>12</v>
      </c>
    </row>
    <row r="358" spans="1:10">
      <c r="A358">
        <v>2022</v>
      </c>
      <c r="B358">
        <v>2</v>
      </c>
      <c r="C358">
        <v>8803</v>
      </c>
      <c r="D358">
        <v>628</v>
      </c>
      <c r="E358" t="s">
        <v>10</v>
      </c>
      <c r="F358">
        <v>3449904</v>
      </c>
      <c r="G358" s="1">
        <v>919</v>
      </c>
      <c r="H358" s="2">
        <v>559578</v>
      </c>
      <c r="I358" t="str">
        <f>VLOOKUP(Tabela1[[#This Row],[CO_PAIS]],'[1]nome do paixs'!$A:$B,2,0)</f>
        <v>Reino Unido</v>
      </c>
      <c r="J358" t="s">
        <v>12</v>
      </c>
    </row>
    <row r="359" spans="1:10">
      <c r="A359">
        <v>2022</v>
      </c>
      <c r="B359">
        <v>2</v>
      </c>
      <c r="C359">
        <v>8803</v>
      </c>
      <c r="D359">
        <v>275</v>
      </c>
      <c r="E359" t="s">
        <v>10</v>
      </c>
      <c r="F359">
        <v>3449904</v>
      </c>
      <c r="G359" s="1">
        <v>481</v>
      </c>
      <c r="H359" s="2">
        <v>289484</v>
      </c>
      <c r="I359" t="str">
        <f>VLOOKUP(Tabela1[[#This Row],[CO_PAIS]],'[1]nome do paixs'!$A:$B,2,0)</f>
        <v>França</v>
      </c>
      <c r="J359" t="s">
        <v>12</v>
      </c>
    </row>
    <row r="360" spans="1:10">
      <c r="A360">
        <v>2022</v>
      </c>
      <c r="B360">
        <v>2</v>
      </c>
      <c r="C360">
        <v>8803</v>
      </c>
      <c r="D360">
        <v>275</v>
      </c>
      <c r="E360" t="s">
        <v>10</v>
      </c>
      <c r="F360">
        <v>3454102</v>
      </c>
      <c r="G360" s="1">
        <v>1909</v>
      </c>
      <c r="H360" s="2">
        <v>2942026</v>
      </c>
      <c r="I360" t="str">
        <f>VLOOKUP(Tabela1[[#This Row],[CO_PAIS]],'[1]nome do paixs'!$A:$B,2,0)</f>
        <v>França</v>
      </c>
      <c r="J360" t="s">
        <v>11</v>
      </c>
    </row>
    <row r="361" spans="1:10">
      <c r="A361">
        <v>2022</v>
      </c>
      <c r="B361">
        <v>2</v>
      </c>
      <c r="C361">
        <v>8803</v>
      </c>
      <c r="D361">
        <v>607</v>
      </c>
      <c r="E361" t="s">
        <v>10</v>
      </c>
      <c r="F361">
        <v>3449904</v>
      </c>
      <c r="G361" s="1">
        <v>2</v>
      </c>
      <c r="H361" s="2">
        <v>8832</v>
      </c>
      <c r="I361" t="str">
        <f>VLOOKUP(Tabela1[[#This Row],[CO_PAIS]],'[1]nome do paixs'!$A:$B,2,0)</f>
        <v>Portugal</v>
      </c>
      <c r="J361" t="s">
        <v>12</v>
      </c>
    </row>
    <row r="362" spans="1:10">
      <c r="A362">
        <v>2022</v>
      </c>
      <c r="B362">
        <v>2</v>
      </c>
      <c r="C362">
        <v>8803</v>
      </c>
      <c r="D362">
        <v>249</v>
      </c>
      <c r="E362" t="s">
        <v>10</v>
      </c>
      <c r="F362">
        <v>3424402</v>
      </c>
      <c r="G362" s="1">
        <v>10</v>
      </c>
      <c r="H362" s="2">
        <v>1319</v>
      </c>
      <c r="I362" t="str">
        <f>VLOOKUP(Tabela1[[#This Row],[CO_PAIS]],'[1]nome do paixs'!$A:$B,2,0)</f>
        <v>Estados Unidos</v>
      </c>
      <c r="J362" t="s">
        <v>13</v>
      </c>
    </row>
    <row r="363" spans="1:10">
      <c r="A363">
        <v>2022</v>
      </c>
      <c r="B363">
        <v>2</v>
      </c>
      <c r="C363">
        <v>8803</v>
      </c>
      <c r="D363">
        <v>72</v>
      </c>
      <c r="E363" t="s">
        <v>10</v>
      </c>
      <c r="F363">
        <v>3454102</v>
      </c>
      <c r="G363" s="1">
        <v>1798</v>
      </c>
      <c r="H363" s="2">
        <v>424116</v>
      </c>
      <c r="I363" t="str">
        <f>VLOOKUP(Tabela1[[#This Row],[CO_PAIS]],'[1]nome do paixs'!$A:$B,2,0)</f>
        <v>Áustria</v>
      </c>
      <c r="J363" t="s">
        <v>11</v>
      </c>
    </row>
    <row r="364" spans="1:10">
      <c r="A364">
        <v>2022</v>
      </c>
      <c r="B364">
        <v>2</v>
      </c>
      <c r="C364">
        <v>8803</v>
      </c>
      <c r="D364">
        <v>361</v>
      </c>
      <c r="E364" t="s">
        <v>10</v>
      </c>
      <c r="F364">
        <v>3449904</v>
      </c>
      <c r="G364" s="1">
        <v>478</v>
      </c>
      <c r="H364" s="2">
        <v>211817</v>
      </c>
      <c r="I364" t="str">
        <f>VLOOKUP(Tabela1[[#This Row],[CO_PAIS]],'[1]nome do paixs'!$A:$B,2,0)</f>
        <v>Índia</v>
      </c>
      <c r="J364" t="s">
        <v>12</v>
      </c>
    </row>
    <row r="365" spans="1:10">
      <c r="A365">
        <v>2022</v>
      </c>
      <c r="B365">
        <v>2</v>
      </c>
      <c r="C365">
        <v>8803</v>
      </c>
      <c r="D365">
        <v>87</v>
      </c>
      <c r="E365" t="s">
        <v>10</v>
      </c>
      <c r="F365">
        <v>3454102</v>
      </c>
      <c r="G365" s="1">
        <v>1262</v>
      </c>
      <c r="H365" s="2">
        <v>1050115</v>
      </c>
      <c r="I365" t="str">
        <f>VLOOKUP(Tabela1[[#This Row],[CO_PAIS]],'[1]nome do paixs'!$A:$B,2,0)</f>
        <v>Bélgica</v>
      </c>
      <c r="J365" t="s">
        <v>11</v>
      </c>
    </row>
    <row r="366" spans="1:10">
      <c r="A366">
        <v>2022</v>
      </c>
      <c r="B366">
        <v>2</v>
      </c>
      <c r="C366">
        <v>8803</v>
      </c>
      <c r="D366">
        <v>603</v>
      </c>
      <c r="E366" t="s">
        <v>10</v>
      </c>
      <c r="F366">
        <v>3449904</v>
      </c>
      <c r="G366" s="1">
        <v>1</v>
      </c>
      <c r="H366" s="2">
        <v>6659</v>
      </c>
      <c r="I366" t="str">
        <f>VLOOKUP(Tabela1[[#This Row],[CO_PAIS]],'[1]nome do paixs'!$A:$B,2,0)</f>
        <v>Polônia</v>
      </c>
      <c r="J366" t="s">
        <v>12</v>
      </c>
    </row>
    <row r="367" spans="1:10">
      <c r="A367">
        <v>2022</v>
      </c>
      <c r="B367">
        <v>2</v>
      </c>
      <c r="C367">
        <v>8803</v>
      </c>
      <c r="D367">
        <v>245</v>
      </c>
      <c r="E367" t="s">
        <v>10</v>
      </c>
      <c r="F367">
        <v>3424402</v>
      </c>
      <c r="G367" s="1">
        <v>65</v>
      </c>
      <c r="H367" s="2">
        <v>41857</v>
      </c>
      <c r="I367" t="str">
        <f>VLOOKUP(Tabela1[[#This Row],[CO_PAIS]],'[1]nome do paixs'!$A:$B,2,0)</f>
        <v>Espanha</v>
      </c>
      <c r="J367" t="s">
        <v>13</v>
      </c>
    </row>
    <row r="368" spans="1:10">
      <c r="A368">
        <v>2022</v>
      </c>
      <c r="B368">
        <v>2</v>
      </c>
      <c r="C368">
        <v>8803</v>
      </c>
      <c r="D368">
        <v>399</v>
      </c>
      <c r="E368" t="s">
        <v>10</v>
      </c>
      <c r="F368">
        <v>3454102</v>
      </c>
      <c r="G368" s="1">
        <v>5314</v>
      </c>
      <c r="H368" s="2">
        <v>4029104</v>
      </c>
      <c r="I368" t="str">
        <f>VLOOKUP(Tabela1[[#This Row],[CO_PAIS]],'[1]nome do paixs'!$A:$B,2,0)</f>
        <v>Japão</v>
      </c>
      <c r="J368" t="s">
        <v>11</v>
      </c>
    </row>
    <row r="369" spans="1:10">
      <c r="A369">
        <v>2022</v>
      </c>
      <c r="B369">
        <v>2</v>
      </c>
      <c r="C369">
        <v>8803</v>
      </c>
      <c r="D369">
        <v>23</v>
      </c>
      <c r="E369" t="s">
        <v>10</v>
      </c>
      <c r="F369">
        <v>3454102</v>
      </c>
      <c r="G369" s="1">
        <v>0</v>
      </c>
      <c r="H369" s="2">
        <v>74</v>
      </c>
      <c r="I369" t="str">
        <f>VLOOKUP(Tabela1[[#This Row],[CO_PAIS]],'[1]nome do paixs'!$A:$B,2,0)</f>
        <v>Alemanha</v>
      </c>
      <c r="J369" t="s">
        <v>11</v>
      </c>
    </row>
    <row r="370" spans="1:10">
      <c r="A370">
        <v>2022</v>
      </c>
      <c r="B370">
        <v>2</v>
      </c>
      <c r="C370">
        <v>8803</v>
      </c>
      <c r="D370">
        <v>72</v>
      </c>
      <c r="E370" t="s">
        <v>10</v>
      </c>
      <c r="F370">
        <v>3449904</v>
      </c>
      <c r="G370" s="1">
        <v>10</v>
      </c>
      <c r="H370" s="2">
        <v>13894</v>
      </c>
      <c r="I370" t="str">
        <f>VLOOKUP(Tabela1[[#This Row],[CO_PAIS]],'[1]nome do paixs'!$A:$B,2,0)</f>
        <v>Áustria</v>
      </c>
      <c r="J370" t="s">
        <v>12</v>
      </c>
    </row>
    <row r="371" spans="1:10">
      <c r="A371">
        <v>2022</v>
      </c>
      <c r="B371">
        <v>2</v>
      </c>
      <c r="C371">
        <v>8803</v>
      </c>
      <c r="D371">
        <v>87</v>
      </c>
      <c r="E371" t="s">
        <v>10</v>
      </c>
      <c r="F371">
        <v>3449904</v>
      </c>
      <c r="G371" s="1">
        <v>720</v>
      </c>
      <c r="H371" s="2">
        <v>646561</v>
      </c>
      <c r="I371" t="str">
        <f>VLOOKUP(Tabela1[[#This Row],[CO_PAIS]],'[1]nome do paixs'!$A:$B,2,0)</f>
        <v>Bélgica</v>
      </c>
      <c r="J371" t="s">
        <v>12</v>
      </c>
    </row>
    <row r="372" spans="1:10">
      <c r="A372">
        <v>2022</v>
      </c>
      <c r="B372">
        <v>2</v>
      </c>
      <c r="C372">
        <v>8803</v>
      </c>
      <c r="D372">
        <v>190</v>
      </c>
      <c r="E372" t="s">
        <v>10</v>
      </c>
      <c r="F372">
        <v>3454102</v>
      </c>
      <c r="G372" s="1">
        <v>1233</v>
      </c>
      <c r="H372" s="2">
        <v>1226191</v>
      </c>
      <c r="I372" t="str">
        <f>VLOOKUP(Tabela1[[#This Row],[CO_PAIS]],'[1]nome do paixs'!$A:$B,2,0)</f>
        <v>Coreia do Sul</v>
      </c>
      <c r="J372" t="s">
        <v>11</v>
      </c>
    </row>
    <row r="373" spans="1:10">
      <c r="A373">
        <v>2022</v>
      </c>
      <c r="B373">
        <v>2</v>
      </c>
      <c r="C373">
        <v>8803</v>
      </c>
      <c r="D373">
        <v>386</v>
      </c>
      <c r="E373" t="s">
        <v>10</v>
      </c>
      <c r="F373">
        <v>3449904</v>
      </c>
      <c r="G373" s="1">
        <v>0</v>
      </c>
      <c r="H373" s="2">
        <v>1075</v>
      </c>
      <c r="I373" t="str">
        <f>VLOOKUP(Tabela1[[#This Row],[CO_PAIS]],'[1]nome do paixs'!$A:$B,2,0)</f>
        <v>Itália</v>
      </c>
      <c r="J373" t="s">
        <v>12</v>
      </c>
    </row>
    <row r="374" spans="1:10">
      <c r="A374">
        <v>2022</v>
      </c>
      <c r="B374">
        <v>2</v>
      </c>
      <c r="C374">
        <v>8803</v>
      </c>
      <c r="D374">
        <v>375</v>
      </c>
      <c r="E374" t="s">
        <v>10</v>
      </c>
      <c r="F374">
        <v>3449904</v>
      </c>
      <c r="G374" s="1">
        <v>46</v>
      </c>
      <c r="H374" s="2">
        <v>25247</v>
      </c>
      <c r="I374" t="str">
        <f>VLOOKUP(Tabela1[[#This Row],[CO_PAIS]],'[1]nome do paixs'!$A:$B,2,0)</f>
        <v>Irlanda</v>
      </c>
      <c r="J374" t="s">
        <v>12</v>
      </c>
    </row>
    <row r="375" spans="1:10">
      <c r="A375">
        <v>2022</v>
      </c>
      <c r="B375">
        <v>2</v>
      </c>
      <c r="C375">
        <v>8803</v>
      </c>
      <c r="D375">
        <v>493</v>
      </c>
      <c r="E375" t="s">
        <v>10</v>
      </c>
      <c r="F375">
        <v>3454102</v>
      </c>
      <c r="G375" s="1">
        <v>11063</v>
      </c>
      <c r="H375" s="2">
        <v>4288518</v>
      </c>
      <c r="I375" t="str">
        <f>VLOOKUP(Tabela1[[#This Row],[CO_PAIS]],'[1]nome do paixs'!$A:$B,2,0)</f>
        <v>México</v>
      </c>
      <c r="J375" t="s">
        <v>11</v>
      </c>
    </row>
    <row r="376" spans="1:10">
      <c r="A376">
        <v>2022</v>
      </c>
      <c r="B376">
        <v>2</v>
      </c>
      <c r="C376">
        <v>8803</v>
      </c>
      <c r="D376">
        <v>105</v>
      </c>
      <c r="E376" t="s">
        <v>10</v>
      </c>
      <c r="F376">
        <v>3454102</v>
      </c>
      <c r="G376" s="1">
        <v>3356</v>
      </c>
      <c r="H376" s="2">
        <v>1935622</v>
      </c>
      <c r="I376" t="str">
        <f>VLOOKUP(Tabela1[[#This Row],[CO_PAIS]],'[1]nome do paixs'!$A:$B,2,0)</f>
        <v>Brasil</v>
      </c>
      <c r="J376" t="s">
        <v>11</v>
      </c>
    </row>
    <row r="377" spans="1:10">
      <c r="A377">
        <v>2022</v>
      </c>
      <c r="B377">
        <v>2</v>
      </c>
      <c r="C377">
        <v>8803</v>
      </c>
      <c r="D377">
        <v>455</v>
      </c>
      <c r="E377" t="s">
        <v>10</v>
      </c>
      <c r="F377">
        <v>3454102</v>
      </c>
      <c r="G377" s="1">
        <v>476</v>
      </c>
      <c r="H377" s="2">
        <v>52976</v>
      </c>
      <c r="I377" t="str">
        <f>VLOOKUP(Tabela1[[#This Row],[CO_PAIS]],'[1]nome do paixs'!$A:$B,2,0)</f>
        <v>Malásia</v>
      </c>
      <c r="J377" t="s">
        <v>11</v>
      </c>
    </row>
    <row r="378" spans="1:10">
      <c r="A378">
        <v>2022</v>
      </c>
      <c r="B378">
        <v>2</v>
      </c>
      <c r="C378">
        <v>8803</v>
      </c>
      <c r="D378">
        <v>249</v>
      </c>
      <c r="E378" t="s">
        <v>10</v>
      </c>
      <c r="F378">
        <v>3454102</v>
      </c>
      <c r="G378" s="1">
        <v>10507</v>
      </c>
      <c r="H378" s="2">
        <v>5063718</v>
      </c>
      <c r="I378" t="str">
        <f>VLOOKUP(Tabela1[[#This Row],[CO_PAIS]],'[1]nome do paixs'!$A:$B,2,0)</f>
        <v>Estados Unidos</v>
      </c>
      <c r="J378" t="s">
        <v>11</v>
      </c>
    </row>
    <row r="379" spans="1:10">
      <c r="A379">
        <v>2022</v>
      </c>
      <c r="B379">
        <v>2</v>
      </c>
      <c r="C379">
        <v>8803</v>
      </c>
      <c r="D379">
        <v>245</v>
      </c>
      <c r="E379" t="s">
        <v>10</v>
      </c>
      <c r="F379">
        <v>3454102</v>
      </c>
      <c r="G379" s="1">
        <v>2708</v>
      </c>
      <c r="H379" s="2">
        <v>2089866</v>
      </c>
      <c r="I379" t="str">
        <f>VLOOKUP(Tabela1[[#This Row],[CO_PAIS]],'[1]nome do paixs'!$A:$B,2,0)</f>
        <v>Espanha</v>
      </c>
      <c r="J379" t="s">
        <v>11</v>
      </c>
    </row>
    <row r="380" spans="1:10">
      <c r="A380">
        <v>2022</v>
      </c>
      <c r="B380">
        <v>2</v>
      </c>
      <c r="C380">
        <v>8803</v>
      </c>
      <c r="D380">
        <v>275</v>
      </c>
      <c r="E380" t="s">
        <v>10</v>
      </c>
      <c r="F380">
        <v>3424402</v>
      </c>
      <c r="G380" s="1">
        <v>121</v>
      </c>
      <c r="H380" s="2">
        <v>127761</v>
      </c>
      <c r="I380" t="str">
        <f>VLOOKUP(Tabela1[[#This Row],[CO_PAIS]],'[1]nome do paixs'!$A:$B,2,0)</f>
        <v>França</v>
      </c>
      <c r="J380" t="s">
        <v>13</v>
      </c>
    </row>
    <row r="381" spans="1:10">
      <c r="A381">
        <v>2022</v>
      </c>
      <c r="B381">
        <v>2</v>
      </c>
      <c r="C381">
        <v>8803</v>
      </c>
      <c r="D381">
        <v>827</v>
      </c>
      <c r="E381" t="s">
        <v>10</v>
      </c>
      <c r="F381">
        <v>3449904</v>
      </c>
      <c r="G381" s="1">
        <v>0</v>
      </c>
      <c r="H381" s="2">
        <v>864</v>
      </c>
      <c r="I381" t="str">
        <f>VLOOKUP(Tabela1[[#This Row],[CO_PAIS]],'[1]nome do paixs'!$A:$B,2,0)</f>
        <v>Turquia</v>
      </c>
      <c r="J381" t="s">
        <v>12</v>
      </c>
    </row>
    <row r="382" spans="1:10">
      <c r="A382">
        <v>2022</v>
      </c>
      <c r="B382">
        <v>2</v>
      </c>
      <c r="C382">
        <v>8803</v>
      </c>
      <c r="D382">
        <v>105</v>
      </c>
      <c r="E382" t="s">
        <v>10</v>
      </c>
      <c r="F382">
        <v>3449904</v>
      </c>
      <c r="G382" s="1">
        <v>10433</v>
      </c>
      <c r="H382" s="2">
        <v>6722141</v>
      </c>
      <c r="I382" t="str">
        <f>VLOOKUP(Tabela1[[#This Row],[CO_PAIS]],'[1]nome do paixs'!$A:$B,2,0)</f>
        <v>Brasil</v>
      </c>
      <c r="J382" t="s">
        <v>12</v>
      </c>
    </row>
    <row r="383" spans="1:10">
      <c r="A383">
        <v>2022</v>
      </c>
      <c r="B383">
        <v>2</v>
      </c>
      <c r="C383">
        <v>8803</v>
      </c>
      <c r="D383">
        <v>190</v>
      </c>
      <c r="E383" t="s">
        <v>10</v>
      </c>
      <c r="F383">
        <v>3424402</v>
      </c>
      <c r="G383" s="1">
        <v>166</v>
      </c>
      <c r="H383" s="2">
        <v>69384</v>
      </c>
      <c r="I383" t="str">
        <f>VLOOKUP(Tabela1[[#This Row],[CO_PAIS]],'[1]nome do paixs'!$A:$B,2,0)</f>
        <v>Coreia do Sul</v>
      </c>
      <c r="J383" t="s">
        <v>13</v>
      </c>
    </row>
    <row r="384" spans="1:10">
      <c r="A384">
        <v>2022</v>
      </c>
      <c r="B384">
        <v>2</v>
      </c>
      <c r="C384">
        <v>8803</v>
      </c>
      <c r="D384">
        <v>607</v>
      </c>
      <c r="E384" t="s">
        <v>10</v>
      </c>
      <c r="F384">
        <v>3454102</v>
      </c>
      <c r="G384" s="1">
        <v>8444</v>
      </c>
      <c r="H384" s="2">
        <v>2465932</v>
      </c>
      <c r="I384" t="str">
        <f>VLOOKUP(Tabela1[[#This Row],[CO_PAIS]],'[1]nome do paixs'!$A:$B,2,0)</f>
        <v>Portugal</v>
      </c>
      <c r="J384" t="s">
        <v>11</v>
      </c>
    </row>
    <row r="385" spans="1:10">
      <c r="A385">
        <v>2022</v>
      </c>
      <c r="B385">
        <v>2</v>
      </c>
      <c r="C385">
        <v>8803</v>
      </c>
      <c r="D385">
        <v>741</v>
      </c>
      <c r="E385" t="s">
        <v>10</v>
      </c>
      <c r="F385">
        <v>3449904</v>
      </c>
      <c r="G385" s="1">
        <v>50</v>
      </c>
      <c r="H385" s="2">
        <v>47300</v>
      </c>
      <c r="I385" t="str">
        <f>VLOOKUP(Tabela1[[#This Row],[CO_PAIS]],'[1]nome do paixs'!$A:$B,2,0)</f>
        <v>Singapura</v>
      </c>
      <c r="J385" t="s">
        <v>12</v>
      </c>
    </row>
    <row r="386" spans="1:10">
      <c r="A386">
        <v>2022</v>
      </c>
      <c r="B386">
        <v>2</v>
      </c>
      <c r="C386">
        <v>8803</v>
      </c>
      <c r="D386">
        <v>245</v>
      </c>
      <c r="E386" t="s">
        <v>10</v>
      </c>
      <c r="F386">
        <v>3449904</v>
      </c>
      <c r="G386" s="1">
        <v>3647</v>
      </c>
      <c r="H386" s="2">
        <v>1589712</v>
      </c>
      <c r="I386" t="str">
        <f>VLOOKUP(Tabela1[[#This Row],[CO_PAIS]],'[1]nome do paixs'!$A:$B,2,0)</f>
        <v>Espanha</v>
      </c>
      <c r="J386" t="s">
        <v>12</v>
      </c>
    </row>
    <row r="387" spans="1:10">
      <c r="A387">
        <v>2022</v>
      </c>
      <c r="B387">
        <v>2</v>
      </c>
      <c r="C387">
        <v>8803</v>
      </c>
      <c r="D387">
        <v>493</v>
      </c>
      <c r="E387" t="s">
        <v>10</v>
      </c>
      <c r="F387">
        <v>3449904</v>
      </c>
      <c r="G387" s="1">
        <v>1311</v>
      </c>
      <c r="H387" s="2">
        <v>868924</v>
      </c>
      <c r="I387" t="str">
        <f>VLOOKUP(Tabela1[[#This Row],[CO_PAIS]],'[1]nome do paixs'!$A:$B,2,0)</f>
        <v>México</v>
      </c>
      <c r="J387" t="s">
        <v>12</v>
      </c>
    </row>
    <row r="388" spans="1:10">
      <c r="A388">
        <v>2022</v>
      </c>
      <c r="B388">
        <v>2</v>
      </c>
      <c r="C388">
        <v>8803</v>
      </c>
      <c r="D388">
        <v>399</v>
      </c>
      <c r="E388" t="s">
        <v>10</v>
      </c>
      <c r="F388">
        <v>3449904</v>
      </c>
      <c r="G388" s="1">
        <v>1096</v>
      </c>
      <c r="H388" s="2">
        <v>1126325</v>
      </c>
      <c r="I388" t="str">
        <f>VLOOKUP(Tabela1[[#This Row],[CO_PAIS]],'[1]nome do paixs'!$A:$B,2,0)</f>
        <v>Japão</v>
      </c>
      <c r="J388" t="s">
        <v>12</v>
      </c>
    </row>
    <row r="389" spans="1:10">
      <c r="A389">
        <v>2022</v>
      </c>
      <c r="B389">
        <v>2</v>
      </c>
      <c r="C389">
        <v>8803</v>
      </c>
      <c r="D389">
        <v>23</v>
      </c>
      <c r="E389" t="s">
        <v>10</v>
      </c>
      <c r="F389">
        <v>3449904</v>
      </c>
      <c r="G389" s="1">
        <v>7</v>
      </c>
      <c r="H389" s="2">
        <v>1948</v>
      </c>
      <c r="I389" t="str">
        <f>VLOOKUP(Tabela1[[#This Row],[CO_PAIS]],'[1]nome do paixs'!$A:$B,2,0)</f>
        <v>Alemanha</v>
      </c>
      <c r="J389" t="s">
        <v>12</v>
      </c>
    </row>
    <row r="390" spans="1:10">
      <c r="A390">
        <v>2022</v>
      </c>
      <c r="B390">
        <v>2</v>
      </c>
      <c r="C390">
        <v>8803</v>
      </c>
      <c r="D390">
        <v>791</v>
      </c>
      <c r="E390" t="s">
        <v>10</v>
      </c>
      <c r="F390">
        <v>3424402</v>
      </c>
      <c r="G390" s="1">
        <v>268</v>
      </c>
      <c r="H390" s="2">
        <v>222016</v>
      </c>
      <c r="I390" t="str">
        <f>VLOOKUP(Tabela1[[#This Row],[CO_PAIS]],'[1]nome do paixs'!$A:$B,2,0)</f>
        <v>Tcheca, República</v>
      </c>
      <c r="J390" t="s">
        <v>13</v>
      </c>
    </row>
    <row r="391" spans="1:10">
      <c r="A391">
        <v>2022</v>
      </c>
      <c r="B391">
        <v>2</v>
      </c>
      <c r="C391">
        <v>8803</v>
      </c>
      <c r="D391">
        <v>149</v>
      </c>
      <c r="E391" t="s">
        <v>10</v>
      </c>
      <c r="F391">
        <v>3454102</v>
      </c>
      <c r="G391" s="1">
        <v>2</v>
      </c>
      <c r="H391" s="2">
        <v>651</v>
      </c>
      <c r="I391" t="str">
        <f>VLOOKUP(Tabela1[[#This Row],[CO_PAIS]],'[1]nome do paixs'!$A:$B,2,0)</f>
        <v>Canadá</v>
      </c>
      <c r="J391" t="s">
        <v>11</v>
      </c>
    </row>
    <row r="392" spans="1:10">
      <c r="A392">
        <v>2022</v>
      </c>
      <c r="B392">
        <v>2</v>
      </c>
      <c r="C392">
        <v>8803</v>
      </c>
      <c r="D392">
        <v>190</v>
      </c>
      <c r="E392" t="s">
        <v>10</v>
      </c>
      <c r="F392">
        <v>3449904</v>
      </c>
      <c r="G392" s="1">
        <v>5</v>
      </c>
      <c r="H392" s="2">
        <v>6458</v>
      </c>
      <c r="I392" t="str">
        <f>VLOOKUP(Tabela1[[#This Row],[CO_PAIS]],'[1]nome do paixs'!$A:$B,2,0)</f>
        <v>Coreia do Sul</v>
      </c>
      <c r="J392" t="s">
        <v>12</v>
      </c>
    </row>
    <row r="393" spans="1:10">
      <c r="A393">
        <v>2022</v>
      </c>
      <c r="B393">
        <v>2</v>
      </c>
      <c r="C393">
        <v>8803</v>
      </c>
      <c r="D393">
        <v>628</v>
      </c>
      <c r="E393" t="s">
        <v>10</v>
      </c>
      <c r="F393">
        <v>3454102</v>
      </c>
      <c r="G393" s="1">
        <v>460</v>
      </c>
      <c r="H393" s="2">
        <v>177164</v>
      </c>
      <c r="I393" t="str">
        <f>VLOOKUP(Tabela1[[#This Row],[CO_PAIS]],'[1]nome do paixs'!$A:$B,2,0)</f>
        <v>Reino Unido</v>
      </c>
      <c r="J393" t="s">
        <v>11</v>
      </c>
    </row>
    <row r="394" spans="1:10">
      <c r="A394">
        <v>2022</v>
      </c>
      <c r="B394">
        <v>2</v>
      </c>
      <c r="C394">
        <v>8803</v>
      </c>
      <c r="D394">
        <v>375</v>
      </c>
      <c r="E394" t="s">
        <v>10</v>
      </c>
      <c r="F394">
        <v>3454102</v>
      </c>
      <c r="G394" s="1">
        <v>354</v>
      </c>
      <c r="H394" s="2">
        <v>30905</v>
      </c>
      <c r="I394" t="str">
        <f>VLOOKUP(Tabela1[[#This Row],[CO_PAIS]],'[1]nome do paixs'!$A:$B,2,0)</f>
        <v>Irlanda</v>
      </c>
      <c r="J394" t="s">
        <v>11</v>
      </c>
    </row>
    <row r="395" spans="1:10">
      <c r="A395">
        <v>2022</v>
      </c>
      <c r="B395">
        <v>2</v>
      </c>
      <c r="C395">
        <v>8803</v>
      </c>
      <c r="D395">
        <v>249</v>
      </c>
      <c r="E395" t="s">
        <v>10</v>
      </c>
      <c r="F395">
        <v>3449904</v>
      </c>
      <c r="G395" s="1">
        <v>3922</v>
      </c>
      <c r="H395" s="2">
        <v>3291291</v>
      </c>
      <c r="I395" t="str">
        <f>VLOOKUP(Tabela1[[#This Row],[CO_PAIS]],'[1]nome do paixs'!$A:$B,2,0)</f>
        <v>Estados Unidos</v>
      </c>
      <c r="J395" t="s">
        <v>12</v>
      </c>
    </row>
    <row r="396" spans="1:10">
      <c r="A396">
        <v>2022</v>
      </c>
      <c r="B396">
        <v>2</v>
      </c>
      <c r="C396">
        <v>8803</v>
      </c>
      <c r="D396">
        <v>474</v>
      </c>
      <c r="E396" t="s">
        <v>10</v>
      </c>
      <c r="F396">
        <v>3454102</v>
      </c>
      <c r="G396" s="1">
        <v>230</v>
      </c>
      <c r="H396" s="2">
        <v>451561</v>
      </c>
      <c r="I396" t="str">
        <f>VLOOKUP(Tabela1[[#This Row],[CO_PAIS]],'[1]nome do paixs'!$A:$B,2,0)</f>
        <v>Marrocos</v>
      </c>
      <c r="J396" t="s">
        <v>11</v>
      </c>
    </row>
    <row r="397" spans="1:10">
      <c r="A397">
        <v>2021</v>
      </c>
      <c r="B397">
        <v>2</v>
      </c>
      <c r="C397">
        <v>8803</v>
      </c>
      <c r="D397">
        <v>603</v>
      </c>
      <c r="E397" t="s">
        <v>10</v>
      </c>
      <c r="F397">
        <v>3449904</v>
      </c>
      <c r="G397" s="1">
        <v>16</v>
      </c>
      <c r="H397" s="2">
        <v>6602</v>
      </c>
      <c r="I397" t="str">
        <f>VLOOKUP(Tabela1[[#This Row],[CO_PAIS]],'[1]nome do paixs'!$A:$B,2,0)</f>
        <v>Polônia</v>
      </c>
      <c r="J397" t="s">
        <v>12</v>
      </c>
    </row>
    <row r="398" spans="1:10">
      <c r="A398">
        <v>2021</v>
      </c>
      <c r="B398">
        <v>2</v>
      </c>
      <c r="C398">
        <v>8803</v>
      </c>
      <c r="D398">
        <v>275</v>
      </c>
      <c r="E398" t="s">
        <v>10</v>
      </c>
      <c r="F398">
        <v>3424402</v>
      </c>
      <c r="G398" s="1">
        <v>202</v>
      </c>
      <c r="H398" s="2">
        <v>274028</v>
      </c>
      <c r="I398" t="str">
        <f>VLOOKUP(Tabela1[[#This Row],[CO_PAIS]],'[1]nome do paixs'!$A:$B,2,0)</f>
        <v>França</v>
      </c>
      <c r="J398" t="s">
        <v>13</v>
      </c>
    </row>
    <row r="399" spans="1:10">
      <c r="A399">
        <v>2021</v>
      </c>
      <c r="B399">
        <v>2</v>
      </c>
      <c r="C399">
        <v>8803</v>
      </c>
      <c r="D399">
        <v>628</v>
      </c>
      <c r="E399" t="s">
        <v>10</v>
      </c>
      <c r="F399">
        <v>3454102</v>
      </c>
      <c r="G399" s="1">
        <v>136</v>
      </c>
      <c r="H399" s="2">
        <v>36659</v>
      </c>
      <c r="I399" t="str">
        <f>VLOOKUP(Tabela1[[#This Row],[CO_PAIS]],'[1]nome do paixs'!$A:$B,2,0)</f>
        <v>Reino Unido</v>
      </c>
      <c r="J399" t="s">
        <v>11</v>
      </c>
    </row>
    <row r="400" spans="1:10">
      <c r="A400">
        <v>2021</v>
      </c>
      <c r="B400">
        <v>2</v>
      </c>
      <c r="C400">
        <v>8803</v>
      </c>
      <c r="D400">
        <v>827</v>
      </c>
      <c r="E400" t="s">
        <v>10</v>
      </c>
      <c r="F400">
        <v>3449904</v>
      </c>
      <c r="G400" s="1">
        <v>2</v>
      </c>
      <c r="H400" s="2">
        <v>1927</v>
      </c>
      <c r="I400" t="str">
        <f>VLOOKUP(Tabela1[[#This Row],[CO_PAIS]],'[1]nome do paixs'!$A:$B,2,0)</f>
        <v>Turquia</v>
      </c>
      <c r="J400" t="s">
        <v>12</v>
      </c>
    </row>
    <row r="401" spans="1:10">
      <c r="A401">
        <v>2021</v>
      </c>
      <c r="B401">
        <v>2</v>
      </c>
      <c r="C401">
        <v>8803</v>
      </c>
      <c r="D401">
        <v>375</v>
      </c>
      <c r="E401" t="s">
        <v>10</v>
      </c>
      <c r="F401">
        <v>3449904</v>
      </c>
      <c r="G401" s="1">
        <v>54</v>
      </c>
      <c r="H401" s="2">
        <v>15560</v>
      </c>
      <c r="I401" t="str">
        <f>VLOOKUP(Tabela1[[#This Row],[CO_PAIS]],'[1]nome do paixs'!$A:$B,2,0)</f>
        <v>Irlanda</v>
      </c>
      <c r="J401" t="s">
        <v>12</v>
      </c>
    </row>
    <row r="402" spans="1:10">
      <c r="A402">
        <v>2021</v>
      </c>
      <c r="B402">
        <v>2</v>
      </c>
      <c r="C402">
        <v>8803</v>
      </c>
      <c r="D402">
        <v>190</v>
      </c>
      <c r="E402" t="s">
        <v>10</v>
      </c>
      <c r="F402">
        <v>3424402</v>
      </c>
      <c r="G402" s="1">
        <v>1220</v>
      </c>
      <c r="H402" s="2">
        <v>240343</v>
      </c>
      <c r="I402" t="str">
        <f>VLOOKUP(Tabela1[[#This Row],[CO_PAIS]],'[1]nome do paixs'!$A:$B,2,0)</f>
        <v>Coreia do Sul</v>
      </c>
      <c r="J402" t="s">
        <v>13</v>
      </c>
    </row>
    <row r="403" spans="1:10">
      <c r="A403">
        <v>2021</v>
      </c>
      <c r="B403">
        <v>2</v>
      </c>
      <c r="C403">
        <v>8803</v>
      </c>
      <c r="D403">
        <v>493</v>
      </c>
      <c r="E403" t="s">
        <v>10</v>
      </c>
      <c r="F403">
        <v>3454102</v>
      </c>
      <c r="G403" s="1">
        <v>1652</v>
      </c>
      <c r="H403" s="2">
        <v>691560</v>
      </c>
      <c r="I403" t="str">
        <f>VLOOKUP(Tabela1[[#This Row],[CO_PAIS]],'[1]nome do paixs'!$A:$B,2,0)</f>
        <v>México</v>
      </c>
      <c r="J403" t="s">
        <v>11</v>
      </c>
    </row>
    <row r="404" spans="1:10">
      <c r="A404">
        <v>2021</v>
      </c>
      <c r="B404">
        <v>2</v>
      </c>
      <c r="C404">
        <v>8803</v>
      </c>
      <c r="D404">
        <v>249</v>
      </c>
      <c r="E404" t="s">
        <v>10</v>
      </c>
      <c r="F404">
        <v>3454102</v>
      </c>
      <c r="G404" s="1">
        <v>16028</v>
      </c>
      <c r="H404" s="2">
        <v>7479731</v>
      </c>
      <c r="I404" t="str">
        <f>VLOOKUP(Tabela1[[#This Row],[CO_PAIS]],'[1]nome do paixs'!$A:$B,2,0)</f>
        <v>Estados Unidos</v>
      </c>
      <c r="J404" t="s">
        <v>11</v>
      </c>
    </row>
    <row r="405" spans="1:10">
      <c r="A405">
        <v>2021</v>
      </c>
      <c r="B405">
        <v>2</v>
      </c>
      <c r="C405">
        <v>8803</v>
      </c>
      <c r="D405">
        <v>245</v>
      </c>
      <c r="E405" t="s">
        <v>10</v>
      </c>
      <c r="F405">
        <v>3454102</v>
      </c>
      <c r="G405" s="1">
        <v>388</v>
      </c>
      <c r="H405" s="2">
        <v>342717</v>
      </c>
      <c r="I405" t="str">
        <f>VLOOKUP(Tabela1[[#This Row],[CO_PAIS]],'[1]nome do paixs'!$A:$B,2,0)</f>
        <v>Espanha</v>
      </c>
      <c r="J405" t="s">
        <v>11</v>
      </c>
    </row>
    <row r="406" spans="1:10">
      <c r="A406">
        <v>2021</v>
      </c>
      <c r="B406">
        <v>2</v>
      </c>
      <c r="C406">
        <v>8803</v>
      </c>
      <c r="D406">
        <v>87</v>
      </c>
      <c r="E406" t="s">
        <v>10</v>
      </c>
      <c r="F406">
        <v>3454102</v>
      </c>
      <c r="G406" s="1">
        <v>453</v>
      </c>
      <c r="H406" s="2">
        <v>517655</v>
      </c>
      <c r="I406" t="str">
        <f>VLOOKUP(Tabela1[[#This Row],[CO_PAIS]],'[1]nome do paixs'!$A:$B,2,0)</f>
        <v>Bélgica</v>
      </c>
      <c r="J406" t="s">
        <v>11</v>
      </c>
    </row>
    <row r="407" spans="1:10">
      <c r="A407">
        <v>2021</v>
      </c>
      <c r="B407">
        <v>2</v>
      </c>
      <c r="C407">
        <v>8803</v>
      </c>
      <c r="D407">
        <v>149</v>
      </c>
      <c r="E407" t="s">
        <v>10</v>
      </c>
      <c r="F407">
        <v>3454102</v>
      </c>
      <c r="G407" s="1">
        <v>1599</v>
      </c>
      <c r="H407" s="2">
        <v>482384</v>
      </c>
      <c r="I407" t="str">
        <f>VLOOKUP(Tabela1[[#This Row],[CO_PAIS]],'[1]nome do paixs'!$A:$B,2,0)</f>
        <v>Canadá</v>
      </c>
      <c r="J407" t="s">
        <v>11</v>
      </c>
    </row>
    <row r="408" spans="1:10">
      <c r="A408">
        <v>2021</v>
      </c>
      <c r="B408">
        <v>2</v>
      </c>
      <c r="C408">
        <v>8803</v>
      </c>
      <c r="D408">
        <v>493</v>
      </c>
      <c r="E408" t="s">
        <v>10</v>
      </c>
      <c r="F408">
        <v>3449904</v>
      </c>
      <c r="G408" s="1">
        <v>212</v>
      </c>
      <c r="H408" s="2">
        <v>202739</v>
      </c>
      <c r="I408" t="str">
        <f>VLOOKUP(Tabela1[[#This Row],[CO_PAIS]],'[1]nome do paixs'!$A:$B,2,0)</f>
        <v>México</v>
      </c>
      <c r="J408" t="s">
        <v>12</v>
      </c>
    </row>
    <row r="409" spans="1:10">
      <c r="A409">
        <v>2021</v>
      </c>
      <c r="B409">
        <v>2</v>
      </c>
      <c r="C409">
        <v>8803</v>
      </c>
      <c r="D409">
        <v>275</v>
      </c>
      <c r="E409" t="s">
        <v>10</v>
      </c>
      <c r="F409">
        <v>3449904</v>
      </c>
      <c r="G409" s="1">
        <v>85</v>
      </c>
      <c r="H409" s="2">
        <v>182046</v>
      </c>
      <c r="I409" t="str">
        <f>VLOOKUP(Tabela1[[#This Row],[CO_PAIS]],'[1]nome do paixs'!$A:$B,2,0)</f>
        <v>França</v>
      </c>
      <c r="J409" t="s">
        <v>12</v>
      </c>
    </row>
    <row r="410" spans="1:10">
      <c r="A410">
        <v>2021</v>
      </c>
      <c r="B410">
        <v>2</v>
      </c>
      <c r="C410">
        <v>8803</v>
      </c>
      <c r="D410">
        <v>87</v>
      </c>
      <c r="E410" t="s">
        <v>10</v>
      </c>
      <c r="F410">
        <v>3449904</v>
      </c>
      <c r="G410" s="1">
        <v>978</v>
      </c>
      <c r="H410" s="2">
        <v>512936</v>
      </c>
      <c r="I410" t="str">
        <f>VLOOKUP(Tabela1[[#This Row],[CO_PAIS]],'[1]nome do paixs'!$A:$B,2,0)</f>
        <v>Bélgica</v>
      </c>
      <c r="J410" t="s">
        <v>12</v>
      </c>
    </row>
    <row r="411" spans="1:10">
      <c r="A411">
        <v>2021</v>
      </c>
      <c r="B411">
        <v>2</v>
      </c>
      <c r="C411">
        <v>8803</v>
      </c>
      <c r="D411">
        <v>72</v>
      </c>
      <c r="E411" t="s">
        <v>10</v>
      </c>
      <c r="F411">
        <v>3449904</v>
      </c>
      <c r="G411" s="1">
        <v>41</v>
      </c>
      <c r="H411" s="2">
        <v>7133</v>
      </c>
      <c r="I411" t="str">
        <f>VLOOKUP(Tabela1[[#This Row],[CO_PAIS]],'[1]nome do paixs'!$A:$B,2,0)</f>
        <v>Áustria</v>
      </c>
      <c r="J411" t="s">
        <v>12</v>
      </c>
    </row>
    <row r="412" spans="1:10">
      <c r="A412">
        <v>2021</v>
      </c>
      <c r="B412">
        <v>2</v>
      </c>
      <c r="C412">
        <v>8803</v>
      </c>
      <c r="D412">
        <v>386</v>
      </c>
      <c r="E412" t="s">
        <v>10</v>
      </c>
      <c r="F412">
        <v>3449904</v>
      </c>
      <c r="G412" s="1">
        <v>23</v>
      </c>
      <c r="H412" s="2">
        <v>18560</v>
      </c>
      <c r="I412" t="str">
        <f>VLOOKUP(Tabela1[[#This Row],[CO_PAIS]],'[1]nome do paixs'!$A:$B,2,0)</f>
        <v>Itália</v>
      </c>
      <c r="J412" t="s">
        <v>12</v>
      </c>
    </row>
    <row r="413" spans="1:10">
      <c r="A413">
        <v>2021</v>
      </c>
      <c r="B413">
        <v>2</v>
      </c>
      <c r="C413">
        <v>8803</v>
      </c>
      <c r="D413">
        <v>23</v>
      </c>
      <c r="E413" t="s">
        <v>10</v>
      </c>
      <c r="F413">
        <v>3454102</v>
      </c>
      <c r="G413" s="1">
        <v>1227</v>
      </c>
      <c r="H413" s="2">
        <v>345877</v>
      </c>
      <c r="I413" t="str">
        <f>VLOOKUP(Tabela1[[#This Row],[CO_PAIS]],'[1]nome do paixs'!$A:$B,2,0)</f>
        <v>Alemanha</v>
      </c>
      <c r="J413" t="s">
        <v>11</v>
      </c>
    </row>
    <row r="414" spans="1:10">
      <c r="A414">
        <v>2021</v>
      </c>
      <c r="B414">
        <v>2</v>
      </c>
      <c r="C414">
        <v>8803</v>
      </c>
      <c r="D414">
        <v>361</v>
      </c>
      <c r="E414" t="s">
        <v>10</v>
      </c>
      <c r="F414">
        <v>3449904</v>
      </c>
      <c r="G414" s="1">
        <v>626</v>
      </c>
      <c r="H414" s="2">
        <v>299464</v>
      </c>
      <c r="I414" t="str">
        <f>VLOOKUP(Tabela1[[#This Row],[CO_PAIS]],'[1]nome do paixs'!$A:$B,2,0)</f>
        <v>Índia</v>
      </c>
      <c r="J414" t="s">
        <v>12</v>
      </c>
    </row>
    <row r="415" spans="1:10">
      <c r="A415">
        <v>2021</v>
      </c>
      <c r="B415">
        <v>2</v>
      </c>
      <c r="C415">
        <v>8803</v>
      </c>
      <c r="D415">
        <v>474</v>
      </c>
      <c r="E415" t="s">
        <v>10</v>
      </c>
      <c r="F415">
        <v>3454102</v>
      </c>
      <c r="G415" s="1">
        <v>92</v>
      </c>
      <c r="H415" s="2">
        <v>161559</v>
      </c>
      <c r="I415" t="str">
        <f>VLOOKUP(Tabela1[[#This Row],[CO_PAIS]],'[1]nome do paixs'!$A:$B,2,0)</f>
        <v>Marrocos</v>
      </c>
      <c r="J415" t="s">
        <v>11</v>
      </c>
    </row>
    <row r="416" spans="1:10">
      <c r="A416">
        <v>2021</v>
      </c>
      <c r="B416">
        <v>2</v>
      </c>
      <c r="C416">
        <v>8803</v>
      </c>
      <c r="D416">
        <v>275</v>
      </c>
      <c r="E416" t="s">
        <v>10</v>
      </c>
      <c r="F416">
        <v>3454102</v>
      </c>
      <c r="G416" s="1">
        <v>1275</v>
      </c>
      <c r="H416" s="2">
        <v>1937553</v>
      </c>
      <c r="I416" t="str">
        <f>VLOOKUP(Tabela1[[#This Row],[CO_PAIS]],'[1]nome do paixs'!$A:$B,2,0)</f>
        <v>França</v>
      </c>
      <c r="J416" t="s">
        <v>11</v>
      </c>
    </row>
    <row r="417" spans="1:10">
      <c r="A417">
        <v>2021</v>
      </c>
      <c r="B417">
        <v>2</v>
      </c>
      <c r="C417">
        <v>8803</v>
      </c>
      <c r="D417">
        <v>791</v>
      </c>
      <c r="E417" t="s">
        <v>10</v>
      </c>
      <c r="F417">
        <v>3449904</v>
      </c>
      <c r="G417" s="1">
        <v>14</v>
      </c>
      <c r="H417" s="2">
        <v>46506</v>
      </c>
      <c r="I417" t="str">
        <f>VLOOKUP(Tabela1[[#This Row],[CO_PAIS]],'[1]nome do paixs'!$A:$B,2,0)</f>
        <v>Tcheca, República</v>
      </c>
      <c r="J417" t="s">
        <v>12</v>
      </c>
    </row>
    <row r="418" spans="1:10">
      <c r="A418">
        <v>2021</v>
      </c>
      <c r="B418">
        <v>2</v>
      </c>
      <c r="C418">
        <v>8803</v>
      </c>
      <c r="D418">
        <v>245</v>
      </c>
      <c r="E418" t="s">
        <v>10</v>
      </c>
      <c r="F418">
        <v>3449904</v>
      </c>
      <c r="G418" s="1">
        <v>429</v>
      </c>
      <c r="H418" s="2">
        <v>185637</v>
      </c>
      <c r="I418" t="str">
        <f>VLOOKUP(Tabela1[[#This Row],[CO_PAIS]],'[1]nome do paixs'!$A:$B,2,0)</f>
        <v>Espanha</v>
      </c>
      <c r="J418" t="s">
        <v>12</v>
      </c>
    </row>
    <row r="419" spans="1:10">
      <c r="A419">
        <v>2021</v>
      </c>
      <c r="B419">
        <v>2</v>
      </c>
      <c r="C419">
        <v>8803</v>
      </c>
      <c r="D419">
        <v>190</v>
      </c>
      <c r="E419" t="s">
        <v>10</v>
      </c>
      <c r="F419">
        <v>3454102</v>
      </c>
      <c r="G419" s="1">
        <v>5787</v>
      </c>
      <c r="H419" s="2">
        <v>15692762</v>
      </c>
      <c r="I419" t="str">
        <f>VLOOKUP(Tabela1[[#This Row],[CO_PAIS]],'[1]nome do paixs'!$A:$B,2,0)</f>
        <v>Coreia do Sul</v>
      </c>
      <c r="J419" t="s">
        <v>11</v>
      </c>
    </row>
    <row r="420" spans="1:10">
      <c r="A420">
        <v>2021</v>
      </c>
      <c r="B420">
        <v>2</v>
      </c>
      <c r="C420">
        <v>8803</v>
      </c>
      <c r="D420">
        <v>791</v>
      </c>
      <c r="E420" t="s">
        <v>10</v>
      </c>
      <c r="F420">
        <v>3424402</v>
      </c>
      <c r="G420" s="1">
        <v>176</v>
      </c>
      <c r="H420" s="2">
        <v>101558</v>
      </c>
      <c r="I420" t="str">
        <f>VLOOKUP(Tabela1[[#This Row],[CO_PAIS]],'[1]nome do paixs'!$A:$B,2,0)</f>
        <v>Tcheca, República</v>
      </c>
      <c r="J420" t="s">
        <v>13</v>
      </c>
    </row>
    <row r="421" spans="1:10">
      <c r="A421">
        <v>2021</v>
      </c>
      <c r="B421">
        <v>2</v>
      </c>
      <c r="C421">
        <v>8803</v>
      </c>
      <c r="D421">
        <v>105</v>
      </c>
      <c r="E421" t="s">
        <v>10</v>
      </c>
      <c r="F421">
        <v>3449904</v>
      </c>
      <c r="G421" s="1">
        <v>3905</v>
      </c>
      <c r="H421" s="2">
        <v>2483215</v>
      </c>
      <c r="I421" t="str">
        <f>VLOOKUP(Tabela1[[#This Row],[CO_PAIS]],'[1]nome do paixs'!$A:$B,2,0)</f>
        <v>Brasil</v>
      </c>
      <c r="J421" t="s">
        <v>12</v>
      </c>
    </row>
    <row r="422" spans="1:10">
      <c r="A422">
        <v>2021</v>
      </c>
      <c r="B422">
        <v>2</v>
      </c>
      <c r="C422">
        <v>8803</v>
      </c>
      <c r="D422">
        <v>249</v>
      </c>
      <c r="E422" t="s">
        <v>10</v>
      </c>
      <c r="F422">
        <v>3424402</v>
      </c>
      <c r="G422" s="1">
        <v>1</v>
      </c>
      <c r="H422" s="2">
        <v>136</v>
      </c>
      <c r="I422" t="str">
        <f>VLOOKUP(Tabela1[[#This Row],[CO_PAIS]],'[1]nome do paixs'!$A:$B,2,0)</f>
        <v>Estados Unidos</v>
      </c>
      <c r="J422" t="s">
        <v>13</v>
      </c>
    </row>
    <row r="423" spans="1:10">
      <c r="A423">
        <v>2021</v>
      </c>
      <c r="B423">
        <v>2</v>
      </c>
      <c r="C423">
        <v>8803</v>
      </c>
      <c r="D423">
        <v>375</v>
      </c>
      <c r="E423" t="s">
        <v>10</v>
      </c>
      <c r="F423">
        <v>3454102</v>
      </c>
      <c r="G423" s="1">
        <v>9</v>
      </c>
      <c r="H423" s="2">
        <v>3898</v>
      </c>
      <c r="I423" t="str">
        <f>VLOOKUP(Tabela1[[#This Row],[CO_PAIS]],'[1]nome do paixs'!$A:$B,2,0)</f>
        <v>Irlanda</v>
      </c>
      <c r="J423" t="s">
        <v>11</v>
      </c>
    </row>
    <row r="424" spans="1:10">
      <c r="A424">
        <v>2021</v>
      </c>
      <c r="B424">
        <v>2</v>
      </c>
      <c r="C424">
        <v>8803</v>
      </c>
      <c r="D424">
        <v>245</v>
      </c>
      <c r="E424" t="s">
        <v>10</v>
      </c>
      <c r="F424">
        <v>3424402</v>
      </c>
      <c r="G424" s="1">
        <v>243</v>
      </c>
      <c r="H424" s="2">
        <v>112326</v>
      </c>
      <c r="I424" t="str">
        <f>VLOOKUP(Tabela1[[#This Row],[CO_PAIS]],'[1]nome do paixs'!$A:$B,2,0)</f>
        <v>Espanha</v>
      </c>
      <c r="J424" t="s">
        <v>13</v>
      </c>
    </row>
    <row r="425" spans="1:10">
      <c r="A425">
        <v>2021</v>
      </c>
      <c r="B425">
        <v>2</v>
      </c>
      <c r="C425">
        <v>8803</v>
      </c>
      <c r="D425">
        <v>190</v>
      </c>
      <c r="E425" t="s">
        <v>10</v>
      </c>
      <c r="F425">
        <v>3449904</v>
      </c>
      <c r="G425" s="1">
        <v>25</v>
      </c>
      <c r="H425" s="2">
        <v>17586</v>
      </c>
      <c r="I425" t="str">
        <f>VLOOKUP(Tabela1[[#This Row],[CO_PAIS]],'[1]nome do paixs'!$A:$B,2,0)</f>
        <v>Coreia do Sul</v>
      </c>
      <c r="J425" t="s">
        <v>12</v>
      </c>
    </row>
    <row r="426" spans="1:10">
      <c r="A426">
        <v>2021</v>
      </c>
      <c r="B426">
        <v>2</v>
      </c>
      <c r="C426">
        <v>8803</v>
      </c>
      <c r="D426">
        <v>607</v>
      </c>
      <c r="E426" t="s">
        <v>10</v>
      </c>
      <c r="F426">
        <v>3449904</v>
      </c>
      <c r="G426" s="1">
        <v>4</v>
      </c>
      <c r="H426" s="2">
        <v>5147</v>
      </c>
      <c r="I426" t="str">
        <f>VLOOKUP(Tabela1[[#This Row],[CO_PAIS]],'[1]nome do paixs'!$A:$B,2,0)</f>
        <v>Portugal</v>
      </c>
      <c r="J426" t="s">
        <v>12</v>
      </c>
    </row>
    <row r="427" spans="1:10">
      <c r="A427">
        <v>2021</v>
      </c>
      <c r="B427">
        <v>2</v>
      </c>
      <c r="C427">
        <v>8803</v>
      </c>
      <c r="D427">
        <v>149</v>
      </c>
      <c r="E427" t="s">
        <v>10</v>
      </c>
      <c r="F427">
        <v>3449904</v>
      </c>
      <c r="G427" s="1">
        <v>57</v>
      </c>
      <c r="H427" s="2">
        <v>109651</v>
      </c>
      <c r="I427" t="str">
        <f>VLOOKUP(Tabela1[[#This Row],[CO_PAIS]],'[1]nome do paixs'!$A:$B,2,0)</f>
        <v>Canadá</v>
      </c>
      <c r="J427" t="s">
        <v>12</v>
      </c>
    </row>
    <row r="428" spans="1:10">
      <c r="A428">
        <v>2021</v>
      </c>
      <c r="B428">
        <v>2</v>
      </c>
      <c r="C428">
        <v>8803</v>
      </c>
      <c r="D428">
        <v>105</v>
      </c>
      <c r="E428" t="s">
        <v>10</v>
      </c>
      <c r="F428">
        <v>3454102</v>
      </c>
      <c r="G428" s="1">
        <v>2168</v>
      </c>
      <c r="H428" s="2">
        <v>1982198</v>
      </c>
      <c r="I428" t="str">
        <f>VLOOKUP(Tabela1[[#This Row],[CO_PAIS]],'[1]nome do paixs'!$A:$B,2,0)</f>
        <v>Brasil</v>
      </c>
      <c r="J428" t="s">
        <v>11</v>
      </c>
    </row>
    <row r="429" spans="1:10">
      <c r="A429">
        <v>2021</v>
      </c>
      <c r="B429">
        <v>2</v>
      </c>
      <c r="C429">
        <v>8803</v>
      </c>
      <c r="D429">
        <v>23</v>
      </c>
      <c r="E429" t="s">
        <v>10</v>
      </c>
      <c r="F429">
        <v>3449904</v>
      </c>
      <c r="G429" s="1">
        <v>9</v>
      </c>
      <c r="H429" s="2">
        <v>9673</v>
      </c>
      <c r="I429" t="str">
        <f>VLOOKUP(Tabela1[[#This Row],[CO_PAIS]],'[1]nome do paixs'!$A:$B,2,0)</f>
        <v>Alemanha</v>
      </c>
      <c r="J429" t="s">
        <v>12</v>
      </c>
    </row>
    <row r="430" spans="1:10">
      <c r="A430">
        <v>2021</v>
      </c>
      <c r="B430">
        <v>2</v>
      </c>
      <c r="C430">
        <v>8803</v>
      </c>
      <c r="D430">
        <v>628</v>
      </c>
      <c r="E430" t="s">
        <v>10</v>
      </c>
      <c r="F430">
        <v>3449904</v>
      </c>
      <c r="G430" s="1">
        <v>366</v>
      </c>
      <c r="H430" s="2">
        <v>258984</v>
      </c>
      <c r="I430" t="str">
        <f>VLOOKUP(Tabela1[[#This Row],[CO_PAIS]],'[1]nome do paixs'!$A:$B,2,0)</f>
        <v>Reino Unido</v>
      </c>
      <c r="J430" t="s">
        <v>12</v>
      </c>
    </row>
    <row r="431" spans="1:10">
      <c r="A431">
        <v>2021</v>
      </c>
      <c r="B431">
        <v>2</v>
      </c>
      <c r="C431">
        <v>8803</v>
      </c>
      <c r="D431">
        <v>249</v>
      </c>
      <c r="E431" t="s">
        <v>10</v>
      </c>
      <c r="F431">
        <v>3449904</v>
      </c>
      <c r="G431" s="1">
        <v>2673</v>
      </c>
      <c r="H431" s="2">
        <v>2230531</v>
      </c>
      <c r="I431" t="str">
        <f>VLOOKUP(Tabela1[[#This Row],[CO_PAIS]],'[1]nome do paixs'!$A:$B,2,0)</f>
        <v>Estados Unidos</v>
      </c>
      <c r="J431" t="s">
        <v>12</v>
      </c>
    </row>
    <row r="432" spans="1:10">
      <c r="A432">
        <v>2021</v>
      </c>
      <c r="B432">
        <v>2</v>
      </c>
      <c r="C432">
        <v>8803</v>
      </c>
      <c r="D432">
        <v>72</v>
      </c>
      <c r="E432" t="s">
        <v>10</v>
      </c>
      <c r="F432">
        <v>3454102</v>
      </c>
      <c r="G432" s="1">
        <v>295</v>
      </c>
      <c r="H432" s="2">
        <v>454469</v>
      </c>
      <c r="I432" t="str">
        <f>VLOOKUP(Tabela1[[#This Row],[CO_PAIS]],'[1]nome do paixs'!$A:$B,2,0)</f>
        <v>Áustria</v>
      </c>
      <c r="J432" t="s">
        <v>11</v>
      </c>
    </row>
    <row r="433" spans="1:10">
      <c r="A433">
        <v>2021</v>
      </c>
      <c r="B433">
        <v>2</v>
      </c>
      <c r="C433">
        <v>8803</v>
      </c>
      <c r="D433">
        <v>607</v>
      </c>
      <c r="E433" t="s">
        <v>10</v>
      </c>
      <c r="F433">
        <v>3454102</v>
      </c>
      <c r="G433" s="1">
        <v>624</v>
      </c>
      <c r="H433" s="2">
        <v>334650</v>
      </c>
      <c r="I433" t="str">
        <f>VLOOKUP(Tabela1[[#This Row],[CO_PAIS]],'[1]nome do paixs'!$A:$B,2,0)</f>
        <v>Portugal</v>
      </c>
      <c r="J433" t="s">
        <v>11</v>
      </c>
    </row>
    <row r="434" spans="1:10">
      <c r="A434">
        <v>2025</v>
      </c>
      <c r="B434">
        <v>3</v>
      </c>
      <c r="C434">
        <v>8807</v>
      </c>
      <c r="D434">
        <v>63</v>
      </c>
      <c r="E434" t="s">
        <v>10</v>
      </c>
      <c r="F434">
        <v>3454102</v>
      </c>
      <c r="G434" s="1">
        <v>0</v>
      </c>
      <c r="H434" s="2">
        <v>1404</v>
      </c>
      <c r="I434" t="str">
        <f>VLOOKUP(Tabela1[[#This Row],[CO_PAIS]],'[1]nome do paixs'!$A:$B,2,0)</f>
        <v>Argentina</v>
      </c>
      <c r="J434" t="s">
        <v>11</v>
      </c>
    </row>
    <row r="435" spans="1:10">
      <c r="A435">
        <v>2025</v>
      </c>
      <c r="B435">
        <v>3</v>
      </c>
      <c r="C435">
        <v>8807</v>
      </c>
      <c r="D435">
        <v>72</v>
      </c>
      <c r="E435" t="s">
        <v>10</v>
      </c>
      <c r="F435">
        <v>3449904</v>
      </c>
      <c r="G435" s="1">
        <v>5</v>
      </c>
      <c r="H435" s="2">
        <v>5495</v>
      </c>
      <c r="I435" t="str">
        <f>VLOOKUP(Tabela1[[#This Row],[CO_PAIS]],'[1]nome do paixs'!$A:$B,2,0)</f>
        <v>Áustria</v>
      </c>
      <c r="J435" t="s">
        <v>12</v>
      </c>
    </row>
    <row r="436" spans="1:10">
      <c r="A436">
        <v>2025</v>
      </c>
      <c r="B436">
        <v>3</v>
      </c>
      <c r="C436">
        <v>8807</v>
      </c>
      <c r="D436">
        <v>275</v>
      </c>
      <c r="E436" t="s">
        <v>10</v>
      </c>
      <c r="F436">
        <v>3454102</v>
      </c>
      <c r="G436" s="1">
        <v>1580</v>
      </c>
      <c r="H436" s="2">
        <v>2105388</v>
      </c>
      <c r="I436" t="str">
        <f>VLOOKUP(Tabela1[[#This Row],[CO_PAIS]],'[1]nome do paixs'!$A:$B,2,0)</f>
        <v>França</v>
      </c>
      <c r="J436" t="s">
        <v>11</v>
      </c>
    </row>
    <row r="437" spans="1:10">
      <c r="A437">
        <v>2025</v>
      </c>
      <c r="B437">
        <v>3</v>
      </c>
      <c r="C437">
        <v>8807</v>
      </c>
      <c r="D437">
        <v>275</v>
      </c>
      <c r="E437" t="s">
        <v>10</v>
      </c>
      <c r="F437">
        <v>3424402</v>
      </c>
      <c r="G437" s="1">
        <v>296</v>
      </c>
      <c r="H437" s="2">
        <v>491606</v>
      </c>
      <c r="I437" t="str">
        <f>VLOOKUP(Tabela1[[#This Row],[CO_PAIS]],'[1]nome do paixs'!$A:$B,2,0)</f>
        <v>França</v>
      </c>
      <c r="J437" t="s">
        <v>13</v>
      </c>
    </row>
    <row r="438" spans="1:10">
      <c r="A438">
        <v>2025</v>
      </c>
      <c r="B438">
        <v>3</v>
      </c>
      <c r="C438">
        <v>8807</v>
      </c>
      <c r="D438">
        <v>399</v>
      </c>
      <c r="E438" t="s">
        <v>10</v>
      </c>
      <c r="F438">
        <v>3454102</v>
      </c>
      <c r="G438" s="1">
        <v>3818</v>
      </c>
      <c r="H438" s="2">
        <v>2288190</v>
      </c>
      <c r="I438" t="str">
        <f>VLOOKUP(Tabela1[[#This Row],[CO_PAIS]],'[1]nome do paixs'!$A:$B,2,0)</f>
        <v>Japão</v>
      </c>
      <c r="J438" t="s">
        <v>11</v>
      </c>
    </row>
    <row r="439" spans="1:10">
      <c r="A439">
        <v>2025</v>
      </c>
      <c r="B439">
        <v>3</v>
      </c>
      <c r="C439">
        <v>8807</v>
      </c>
      <c r="D439">
        <v>245</v>
      </c>
      <c r="E439" t="s">
        <v>10</v>
      </c>
      <c r="F439">
        <v>3424402</v>
      </c>
      <c r="G439" s="1">
        <v>155</v>
      </c>
      <c r="H439" s="2">
        <v>64773</v>
      </c>
      <c r="I439" t="str">
        <f>VLOOKUP(Tabela1[[#This Row],[CO_PAIS]],'[1]nome do paixs'!$A:$B,2,0)</f>
        <v>Espanha</v>
      </c>
      <c r="J439" t="s">
        <v>13</v>
      </c>
    </row>
    <row r="440" spans="1:10">
      <c r="A440">
        <v>2025</v>
      </c>
      <c r="B440">
        <v>3</v>
      </c>
      <c r="C440">
        <v>8807</v>
      </c>
      <c r="D440">
        <v>249</v>
      </c>
      <c r="E440" t="s">
        <v>10</v>
      </c>
      <c r="F440">
        <v>3449904</v>
      </c>
      <c r="G440" s="1">
        <v>5855</v>
      </c>
      <c r="H440" s="2">
        <v>7410603</v>
      </c>
      <c r="I440" t="str">
        <f>VLOOKUP(Tabela1[[#This Row],[CO_PAIS]],'[1]nome do paixs'!$A:$B,2,0)</f>
        <v>Estados Unidos</v>
      </c>
      <c r="J440" t="s">
        <v>12</v>
      </c>
    </row>
    <row r="441" spans="1:10">
      <c r="A441">
        <v>2025</v>
      </c>
      <c r="B441">
        <v>3</v>
      </c>
      <c r="C441">
        <v>8807</v>
      </c>
      <c r="D441">
        <v>245</v>
      </c>
      <c r="E441" t="s">
        <v>10</v>
      </c>
      <c r="F441">
        <v>3449904</v>
      </c>
      <c r="G441" s="1">
        <v>6846</v>
      </c>
      <c r="H441" s="2">
        <v>2353604</v>
      </c>
      <c r="I441" t="str">
        <f>VLOOKUP(Tabela1[[#This Row],[CO_PAIS]],'[1]nome do paixs'!$A:$B,2,0)</f>
        <v>Espanha</v>
      </c>
      <c r="J441" t="s">
        <v>12</v>
      </c>
    </row>
    <row r="442" spans="1:10">
      <c r="A442">
        <v>2025</v>
      </c>
      <c r="B442">
        <v>3</v>
      </c>
      <c r="C442">
        <v>8807</v>
      </c>
      <c r="D442">
        <v>87</v>
      </c>
      <c r="E442" t="s">
        <v>10</v>
      </c>
      <c r="F442">
        <v>3454102</v>
      </c>
      <c r="G442" s="1">
        <v>1684</v>
      </c>
      <c r="H442" s="2">
        <v>1521698</v>
      </c>
      <c r="I442" t="str">
        <f>VLOOKUP(Tabela1[[#This Row],[CO_PAIS]],'[1]nome do paixs'!$A:$B,2,0)</f>
        <v>Bélgica</v>
      </c>
      <c r="J442" t="s">
        <v>11</v>
      </c>
    </row>
    <row r="443" spans="1:10">
      <c r="A443">
        <v>2025</v>
      </c>
      <c r="B443">
        <v>3</v>
      </c>
      <c r="C443">
        <v>8807</v>
      </c>
      <c r="D443">
        <v>607</v>
      </c>
      <c r="E443" t="s">
        <v>10</v>
      </c>
      <c r="F443">
        <v>3449904</v>
      </c>
      <c r="G443" s="1">
        <v>2</v>
      </c>
      <c r="H443" s="2">
        <v>9753</v>
      </c>
      <c r="I443" t="str">
        <f>VLOOKUP(Tabela1[[#This Row],[CO_PAIS]],'[1]nome do paixs'!$A:$B,2,0)</f>
        <v>Portugal</v>
      </c>
      <c r="J443" t="s">
        <v>12</v>
      </c>
    </row>
    <row r="444" spans="1:10">
      <c r="A444">
        <v>2025</v>
      </c>
      <c r="B444">
        <v>3</v>
      </c>
      <c r="C444">
        <v>8807</v>
      </c>
      <c r="D444">
        <v>245</v>
      </c>
      <c r="E444" t="s">
        <v>10</v>
      </c>
      <c r="F444">
        <v>3454102</v>
      </c>
      <c r="G444" s="1">
        <v>1191</v>
      </c>
      <c r="H444" s="2">
        <v>558110</v>
      </c>
      <c r="I444" t="str">
        <f>VLOOKUP(Tabela1[[#This Row],[CO_PAIS]],'[1]nome do paixs'!$A:$B,2,0)</f>
        <v>Espanha</v>
      </c>
      <c r="J444" t="s">
        <v>11</v>
      </c>
    </row>
    <row r="445" spans="1:10">
      <c r="A445">
        <v>2025</v>
      </c>
      <c r="B445">
        <v>3</v>
      </c>
      <c r="C445">
        <v>8807</v>
      </c>
      <c r="D445">
        <v>149</v>
      </c>
      <c r="E445" t="s">
        <v>10</v>
      </c>
      <c r="F445">
        <v>3454102</v>
      </c>
      <c r="G445" s="1">
        <v>652</v>
      </c>
      <c r="H445" s="2">
        <v>720351</v>
      </c>
      <c r="I445" t="str">
        <f>VLOOKUP(Tabela1[[#This Row],[CO_PAIS]],'[1]nome do paixs'!$A:$B,2,0)</f>
        <v>Canadá</v>
      </c>
      <c r="J445" t="s">
        <v>11</v>
      </c>
    </row>
    <row r="446" spans="1:10">
      <c r="A446">
        <v>2025</v>
      </c>
      <c r="B446">
        <v>3</v>
      </c>
      <c r="C446">
        <v>8807</v>
      </c>
      <c r="D446">
        <v>275</v>
      </c>
      <c r="E446" t="s">
        <v>10</v>
      </c>
      <c r="F446">
        <v>3449904</v>
      </c>
      <c r="G446" s="1">
        <v>614</v>
      </c>
      <c r="H446" s="2">
        <v>799242</v>
      </c>
      <c r="I446" t="str">
        <f>VLOOKUP(Tabela1[[#This Row],[CO_PAIS]],'[1]nome do paixs'!$A:$B,2,0)</f>
        <v>França</v>
      </c>
      <c r="J446" t="s">
        <v>12</v>
      </c>
    </row>
    <row r="447" spans="1:10">
      <c r="A447">
        <v>2025</v>
      </c>
      <c r="B447">
        <v>3</v>
      </c>
      <c r="C447">
        <v>8807</v>
      </c>
      <c r="D447">
        <v>383</v>
      </c>
      <c r="E447" t="s">
        <v>10</v>
      </c>
      <c r="F447">
        <v>3449904</v>
      </c>
      <c r="G447" s="1">
        <v>0</v>
      </c>
      <c r="H447" s="2">
        <v>1458</v>
      </c>
      <c r="I447" t="str">
        <f>VLOOKUP(Tabela1[[#This Row],[CO_PAIS]],'[1]nome do paixs'!$A:$B,2,0)</f>
        <v>Israel</v>
      </c>
      <c r="J447" t="s">
        <v>12</v>
      </c>
    </row>
    <row r="448" spans="1:10">
      <c r="A448">
        <v>2025</v>
      </c>
      <c r="B448">
        <v>3</v>
      </c>
      <c r="C448">
        <v>8807</v>
      </c>
      <c r="D448">
        <v>105</v>
      </c>
      <c r="E448" t="s">
        <v>10</v>
      </c>
      <c r="F448">
        <v>3454102</v>
      </c>
      <c r="G448" s="1">
        <v>3246</v>
      </c>
      <c r="H448" s="2">
        <v>3608812</v>
      </c>
      <c r="I448" t="str">
        <f>VLOOKUP(Tabela1[[#This Row],[CO_PAIS]],'[1]nome do paixs'!$A:$B,2,0)</f>
        <v>Brasil</v>
      </c>
      <c r="J448" t="s">
        <v>11</v>
      </c>
    </row>
    <row r="449" spans="1:10">
      <c r="A449">
        <v>2025</v>
      </c>
      <c r="B449">
        <v>3</v>
      </c>
      <c r="C449">
        <v>8807</v>
      </c>
      <c r="D449">
        <v>791</v>
      </c>
      <c r="E449" t="s">
        <v>10</v>
      </c>
      <c r="F449">
        <v>3449904</v>
      </c>
      <c r="G449" s="1">
        <v>20</v>
      </c>
      <c r="H449" s="2">
        <v>56960</v>
      </c>
      <c r="I449" t="str">
        <f>VLOOKUP(Tabela1[[#This Row],[CO_PAIS]],'[1]nome do paixs'!$A:$B,2,0)</f>
        <v>Tcheca, República</v>
      </c>
      <c r="J449" t="s">
        <v>12</v>
      </c>
    </row>
    <row r="450" spans="1:10">
      <c r="A450">
        <v>2025</v>
      </c>
      <c r="B450">
        <v>3</v>
      </c>
      <c r="C450">
        <v>8807</v>
      </c>
      <c r="D450">
        <v>190</v>
      </c>
      <c r="E450" t="s">
        <v>10</v>
      </c>
      <c r="F450">
        <v>3454102</v>
      </c>
      <c r="G450" s="1">
        <v>10275</v>
      </c>
      <c r="H450" s="2">
        <v>7668629</v>
      </c>
      <c r="I450" t="str">
        <f>VLOOKUP(Tabela1[[#This Row],[CO_PAIS]],'[1]nome do paixs'!$A:$B,2,0)</f>
        <v>Coreia do Sul</v>
      </c>
      <c r="J450" t="s">
        <v>11</v>
      </c>
    </row>
    <row r="451" spans="1:10">
      <c r="A451">
        <v>2025</v>
      </c>
      <c r="B451">
        <v>3</v>
      </c>
      <c r="C451">
        <v>8807</v>
      </c>
      <c r="D451">
        <v>249</v>
      </c>
      <c r="E451" t="s">
        <v>10</v>
      </c>
      <c r="F451">
        <v>3424402</v>
      </c>
      <c r="G451" s="1">
        <v>1124</v>
      </c>
      <c r="H451" s="2">
        <v>224892</v>
      </c>
      <c r="I451" t="str">
        <f>VLOOKUP(Tabela1[[#This Row],[CO_PAIS]],'[1]nome do paixs'!$A:$B,2,0)</f>
        <v>Estados Unidos</v>
      </c>
      <c r="J451" t="s">
        <v>13</v>
      </c>
    </row>
    <row r="452" spans="1:10">
      <c r="A452">
        <v>2025</v>
      </c>
      <c r="B452">
        <v>3</v>
      </c>
      <c r="C452">
        <v>8807</v>
      </c>
      <c r="D452">
        <v>87</v>
      </c>
      <c r="E452" t="s">
        <v>10</v>
      </c>
      <c r="F452">
        <v>3424402</v>
      </c>
      <c r="G452" s="1">
        <v>6</v>
      </c>
      <c r="H452" s="2">
        <v>17127</v>
      </c>
      <c r="I452" t="str">
        <f>VLOOKUP(Tabela1[[#This Row],[CO_PAIS]],'[1]nome do paixs'!$A:$B,2,0)</f>
        <v>Bélgica</v>
      </c>
      <c r="J452" t="s">
        <v>13</v>
      </c>
    </row>
    <row r="453" spans="1:10">
      <c r="A453">
        <v>2025</v>
      </c>
      <c r="B453">
        <v>3</v>
      </c>
      <c r="C453">
        <v>8807</v>
      </c>
      <c r="D453">
        <v>607</v>
      </c>
      <c r="E453" t="s">
        <v>10</v>
      </c>
      <c r="F453">
        <v>3454102</v>
      </c>
      <c r="G453" s="1">
        <v>16411</v>
      </c>
      <c r="H453" s="2">
        <v>5964016</v>
      </c>
      <c r="I453" t="str">
        <f>VLOOKUP(Tabela1[[#This Row],[CO_PAIS]],'[1]nome do paixs'!$A:$B,2,0)</f>
        <v>Portugal</v>
      </c>
      <c r="J453" t="s">
        <v>11</v>
      </c>
    </row>
    <row r="454" spans="1:10">
      <c r="A454">
        <v>2025</v>
      </c>
      <c r="B454">
        <v>3</v>
      </c>
      <c r="C454">
        <v>8807</v>
      </c>
      <c r="D454">
        <v>190</v>
      </c>
      <c r="E454" t="s">
        <v>10</v>
      </c>
      <c r="F454">
        <v>3449904</v>
      </c>
      <c r="G454" s="1">
        <v>247</v>
      </c>
      <c r="H454" s="2">
        <v>302241</v>
      </c>
      <c r="I454" t="str">
        <f>VLOOKUP(Tabela1[[#This Row],[CO_PAIS]],'[1]nome do paixs'!$A:$B,2,0)</f>
        <v>Coreia do Sul</v>
      </c>
      <c r="J454" t="s">
        <v>12</v>
      </c>
    </row>
    <row r="455" spans="1:10">
      <c r="A455">
        <v>2025</v>
      </c>
      <c r="B455">
        <v>3</v>
      </c>
      <c r="C455">
        <v>8807</v>
      </c>
      <c r="D455">
        <v>149</v>
      </c>
      <c r="E455" t="s">
        <v>10</v>
      </c>
      <c r="F455">
        <v>3449904</v>
      </c>
      <c r="G455" s="1">
        <v>59</v>
      </c>
      <c r="H455" s="2">
        <v>138176</v>
      </c>
      <c r="I455" t="str">
        <f>VLOOKUP(Tabela1[[#This Row],[CO_PAIS]],'[1]nome do paixs'!$A:$B,2,0)</f>
        <v>Canadá</v>
      </c>
      <c r="J455" t="s">
        <v>12</v>
      </c>
    </row>
    <row r="456" spans="1:10">
      <c r="A456">
        <v>2025</v>
      </c>
      <c r="B456">
        <v>3</v>
      </c>
      <c r="C456">
        <v>8807</v>
      </c>
      <c r="D456">
        <v>791</v>
      </c>
      <c r="E456" t="s">
        <v>10</v>
      </c>
      <c r="F456">
        <v>3424402</v>
      </c>
      <c r="G456" s="1">
        <v>350</v>
      </c>
      <c r="H456" s="2">
        <v>260564</v>
      </c>
      <c r="I456" t="str">
        <f>VLOOKUP(Tabela1[[#This Row],[CO_PAIS]],'[1]nome do paixs'!$A:$B,2,0)</f>
        <v>Tcheca, República</v>
      </c>
      <c r="J456" t="s">
        <v>13</v>
      </c>
    </row>
    <row r="457" spans="1:10">
      <c r="A457">
        <v>2025</v>
      </c>
      <c r="B457">
        <v>3</v>
      </c>
      <c r="C457">
        <v>8807</v>
      </c>
      <c r="D457">
        <v>158</v>
      </c>
      <c r="E457" t="s">
        <v>10</v>
      </c>
      <c r="F457">
        <v>3449904</v>
      </c>
      <c r="G457" s="1">
        <v>8</v>
      </c>
      <c r="H457" s="2">
        <v>141043</v>
      </c>
      <c r="I457" t="str">
        <f>VLOOKUP(Tabela1[[#This Row],[CO_PAIS]],'[1]nome do paixs'!$A:$B,2,0)</f>
        <v>Chile</v>
      </c>
      <c r="J457" t="s">
        <v>12</v>
      </c>
    </row>
    <row r="458" spans="1:10">
      <c r="A458">
        <v>2025</v>
      </c>
      <c r="B458">
        <v>3</v>
      </c>
      <c r="C458">
        <v>8807</v>
      </c>
      <c r="D458">
        <v>493</v>
      </c>
      <c r="E458" t="s">
        <v>10</v>
      </c>
      <c r="F458">
        <v>3454102</v>
      </c>
      <c r="G458" s="1">
        <v>14868</v>
      </c>
      <c r="H458" s="2">
        <v>8696149</v>
      </c>
      <c r="I458" t="str">
        <f>VLOOKUP(Tabela1[[#This Row],[CO_PAIS]],'[1]nome do paixs'!$A:$B,2,0)</f>
        <v>México</v>
      </c>
      <c r="J458" t="s">
        <v>11</v>
      </c>
    </row>
    <row r="459" spans="1:10">
      <c r="A459">
        <v>2025</v>
      </c>
      <c r="B459">
        <v>3</v>
      </c>
      <c r="C459">
        <v>8807</v>
      </c>
      <c r="D459">
        <v>23</v>
      </c>
      <c r="E459" t="s">
        <v>10</v>
      </c>
      <c r="F459">
        <v>3449904</v>
      </c>
      <c r="G459" s="1">
        <v>354</v>
      </c>
      <c r="H459" s="2">
        <v>600493</v>
      </c>
      <c r="I459" t="str">
        <f>VLOOKUP(Tabela1[[#This Row],[CO_PAIS]],'[1]nome do paixs'!$A:$B,2,0)</f>
        <v>Alemanha</v>
      </c>
      <c r="J459" t="s">
        <v>12</v>
      </c>
    </row>
    <row r="460" spans="1:10">
      <c r="A460">
        <v>2025</v>
      </c>
      <c r="B460">
        <v>3</v>
      </c>
      <c r="C460">
        <v>8807</v>
      </c>
      <c r="D460">
        <v>455</v>
      </c>
      <c r="E460" t="s">
        <v>10</v>
      </c>
      <c r="F460">
        <v>3454102</v>
      </c>
      <c r="G460" s="1">
        <v>1206</v>
      </c>
      <c r="H460" s="2">
        <v>248129</v>
      </c>
      <c r="I460" t="str">
        <f>VLOOKUP(Tabela1[[#This Row],[CO_PAIS]],'[1]nome do paixs'!$A:$B,2,0)</f>
        <v>Malásia</v>
      </c>
      <c r="J460" t="s">
        <v>11</v>
      </c>
    </row>
    <row r="461" spans="1:10">
      <c r="A461">
        <v>2025</v>
      </c>
      <c r="B461">
        <v>3</v>
      </c>
      <c r="C461">
        <v>8807</v>
      </c>
      <c r="D461">
        <v>190</v>
      </c>
      <c r="E461" t="s">
        <v>10</v>
      </c>
      <c r="F461">
        <v>3424402</v>
      </c>
      <c r="G461" s="1">
        <v>180</v>
      </c>
      <c r="H461" s="2">
        <v>72164</v>
      </c>
      <c r="I461" t="str">
        <f>VLOOKUP(Tabela1[[#This Row],[CO_PAIS]],'[1]nome do paixs'!$A:$B,2,0)</f>
        <v>Coreia do Sul</v>
      </c>
      <c r="J461" t="s">
        <v>13</v>
      </c>
    </row>
    <row r="462" spans="1:10">
      <c r="A462">
        <v>2025</v>
      </c>
      <c r="B462">
        <v>3</v>
      </c>
      <c r="C462">
        <v>8807</v>
      </c>
      <c r="D462">
        <v>827</v>
      </c>
      <c r="E462" t="s">
        <v>10</v>
      </c>
      <c r="F462">
        <v>3449904</v>
      </c>
      <c r="G462" s="1">
        <v>2</v>
      </c>
      <c r="H462" s="2">
        <v>3768</v>
      </c>
      <c r="I462" t="str">
        <f>VLOOKUP(Tabela1[[#This Row],[CO_PAIS]],'[1]nome do paixs'!$A:$B,2,0)</f>
        <v>Turquia</v>
      </c>
      <c r="J462" t="s">
        <v>12</v>
      </c>
    </row>
    <row r="463" spans="1:10">
      <c r="A463">
        <v>2025</v>
      </c>
      <c r="B463">
        <v>3</v>
      </c>
      <c r="C463">
        <v>8807</v>
      </c>
      <c r="D463">
        <v>72</v>
      </c>
      <c r="E463" t="s">
        <v>10</v>
      </c>
      <c r="F463">
        <v>3454102</v>
      </c>
      <c r="G463" s="1">
        <v>6716</v>
      </c>
      <c r="H463" s="2">
        <v>2376245</v>
      </c>
      <c r="I463" t="str">
        <f>VLOOKUP(Tabela1[[#This Row],[CO_PAIS]],'[1]nome do paixs'!$A:$B,2,0)</f>
        <v>Áustria</v>
      </c>
      <c r="J463" t="s">
        <v>11</v>
      </c>
    </row>
    <row r="464" spans="1:10">
      <c r="A464">
        <v>2025</v>
      </c>
      <c r="B464">
        <v>3</v>
      </c>
      <c r="C464">
        <v>8807</v>
      </c>
      <c r="D464">
        <v>399</v>
      </c>
      <c r="E464" t="s">
        <v>10</v>
      </c>
      <c r="F464">
        <v>3449904</v>
      </c>
      <c r="G464" s="1">
        <v>427</v>
      </c>
      <c r="H464" s="2">
        <v>403918</v>
      </c>
      <c r="I464" t="str">
        <f>VLOOKUP(Tabela1[[#This Row],[CO_PAIS]],'[1]nome do paixs'!$A:$B,2,0)</f>
        <v>Japão</v>
      </c>
      <c r="J464" t="s">
        <v>12</v>
      </c>
    </row>
    <row r="465" spans="1:10">
      <c r="A465">
        <v>2025</v>
      </c>
      <c r="B465">
        <v>3</v>
      </c>
      <c r="C465">
        <v>8807</v>
      </c>
      <c r="D465">
        <v>105</v>
      </c>
      <c r="E465" t="s">
        <v>10</v>
      </c>
      <c r="F465">
        <v>3449904</v>
      </c>
      <c r="G465" s="1">
        <v>9475</v>
      </c>
      <c r="H465" s="2">
        <v>6767447</v>
      </c>
      <c r="I465" t="str">
        <f>VLOOKUP(Tabela1[[#This Row],[CO_PAIS]],'[1]nome do paixs'!$A:$B,2,0)</f>
        <v>Brasil</v>
      </c>
      <c r="J465" t="s">
        <v>12</v>
      </c>
    </row>
    <row r="466" spans="1:10">
      <c r="A466">
        <v>2025</v>
      </c>
      <c r="B466">
        <v>3</v>
      </c>
      <c r="C466">
        <v>8807</v>
      </c>
      <c r="D466">
        <v>493</v>
      </c>
      <c r="E466" t="s">
        <v>10</v>
      </c>
      <c r="F466">
        <v>3424402</v>
      </c>
      <c r="G466" s="1">
        <v>50</v>
      </c>
      <c r="H466" s="2">
        <v>78268</v>
      </c>
      <c r="I466" t="str">
        <f>VLOOKUP(Tabela1[[#This Row],[CO_PAIS]],'[1]nome do paixs'!$A:$B,2,0)</f>
        <v>México</v>
      </c>
      <c r="J466" t="s">
        <v>13</v>
      </c>
    </row>
    <row r="467" spans="1:10">
      <c r="A467">
        <v>2025</v>
      </c>
      <c r="B467">
        <v>3</v>
      </c>
      <c r="C467">
        <v>8807</v>
      </c>
      <c r="D467">
        <v>628</v>
      </c>
      <c r="E467" t="s">
        <v>10</v>
      </c>
      <c r="F467">
        <v>3454102</v>
      </c>
      <c r="G467" s="1">
        <v>355</v>
      </c>
      <c r="H467" s="2">
        <v>408497</v>
      </c>
      <c r="I467" t="str">
        <f>VLOOKUP(Tabela1[[#This Row],[CO_PAIS]],'[1]nome do paixs'!$A:$B,2,0)</f>
        <v>Reino Unido</v>
      </c>
      <c r="J467" t="s">
        <v>11</v>
      </c>
    </row>
    <row r="468" spans="1:10">
      <c r="A468">
        <v>2025</v>
      </c>
      <c r="B468">
        <v>3</v>
      </c>
      <c r="C468">
        <v>8807</v>
      </c>
      <c r="D468">
        <v>361</v>
      </c>
      <c r="E468" t="s">
        <v>10</v>
      </c>
      <c r="F468">
        <v>3449904</v>
      </c>
      <c r="G468" s="1">
        <v>1228</v>
      </c>
      <c r="H468" s="2">
        <v>631879</v>
      </c>
      <c r="I468" t="str">
        <f>VLOOKUP(Tabela1[[#This Row],[CO_PAIS]],'[1]nome do paixs'!$A:$B,2,0)</f>
        <v>Índia</v>
      </c>
      <c r="J468" t="s">
        <v>12</v>
      </c>
    </row>
    <row r="469" spans="1:10">
      <c r="A469">
        <v>2025</v>
      </c>
      <c r="B469">
        <v>3</v>
      </c>
      <c r="C469">
        <v>8807</v>
      </c>
      <c r="D469">
        <v>87</v>
      </c>
      <c r="E469" t="s">
        <v>10</v>
      </c>
      <c r="F469">
        <v>3449904</v>
      </c>
      <c r="G469" s="1">
        <v>9173</v>
      </c>
      <c r="H469" s="2">
        <v>4436196</v>
      </c>
      <c r="I469" t="str">
        <f>VLOOKUP(Tabela1[[#This Row],[CO_PAIS]],'[1]nome do paixs'!$A:$B,2,0)</f>
        <v>Bélgica</v>
      </c>
      <c r="J469" t="s">
        <v>12</v>
      </c>
    </row>
    <row r="470" spans="1:10">
      <c r="A470">
        <v>2025</v>
      </c>
      <c r="B470">
        <v>3</v>
      </c>
      <c r="C470">
        <v>8807</v>
      </c>
      <c r="D470">
        <v>386</v>
      </c>
      <c r="E470" t="s">
        <v>10</v>
      </c>
      <c r="F470">
        <v>3449904</v>
      </c>
      <c r="G470" s="1">
        <v>3</v>
      </c>
      <c r="H470" s="2">
        <v>5121</v>
      </c>
      <c r="I470" t="str">
        <f>VLOOKUP(Tabela1[[#This Row],[CO_PAIS]],'[1]nome do paixs'!$A:$B,2,0)</f>
        <v>Itália</v>
      </c>
      <c r="J470" t="s">
        <v>12</v>
      </c>
    </row>
    <row r="471" spans="1:10">
      <c r="A471">
        <v>2025</v>
      </c>
      <c r="B471">
        <v>3</v>
      </c>
      <c r="C471">
        <v>8807</v>
      </c>
      <c r="D471">
        <v>493</v>
      </c>
      <c r="E471" t="s">
        <v>10</v>
      </c>
      <c r="F471">
        <v>3449904</v>
      </c>
      <c r="G471" s="1">
        <v>1973</v>
      </c>
      <c r="H471" s="2">
        <v>1737591</v>
      </c>
      <c r="I471" t="str">
        <f>VLOOKUP(Tabela1[[#This Row],[CO_PAIS]],'[1]nome do paixs'!$A:$B,2,0)</f>
        <v>México</v>
      </c>
      <c r="J471" t="s">
        <v>12</v>
      </c>
    </row>
    <row r="472" spans="1:10">
      <c r="A472">
        <v>2025</v>
      </c>
      <c r="B472">
        <v>3</v>
      </c>
      <c r="C472">
        <v>8807</v>
      </c>
      <c r="D472">
        <v>249</v>
      </c>
      <c r="E472" t="s">
        <v>10</v>
      </c>
      <c r="F472">
        <v>3454102</v>
      </c>
      <c r="G472" s="1">
        <v>36232</v>
      </c>
      <c r="H472" s="2">
        <v>10377628</v>
      </c>
      <c r="I472" t="str">
        <f>VLOOKUP(Tabela1[[#This Row],[CO_PAIS]],'[1]nome do paixs'!$A:$B,2,0)</f>
        <v>Estados Unidos</v>
      </c>
      <c r="J472" t="s">
        <v>11</v>
      </c>
    </row>
    <row r="473" spans="1:10">
      <c r="A473">
        <v>2025</v>
      </c>
      <c r="B473">
        <v>3</v>
      </c>
      <c r="C473">
        <v>8807</v>
      </c>
      <c r="D473">
        <v>628</v>
      </c>
      <c r="E473" t="s">
        <v>10</v>
      </c>
      <c r="F473">
        <v>3449904</v>
      </c>
      <c r="G473" s="1">
        <v>836</v>
      </c>
      <c r="H473" s="2">
        <v>840127</v>
      </c>
      <c r="I473" t="str">
        <f>VLOOKUP(Tabela1[[#This Row],[CO_PAIS]],'[1]nome do paixs'!$A:$B,2,0)</f>
        <v>Reino Unido</v>
      </c>
      <c r="J473" t="s">
        <v>12</v>
      </c>
    </row>
    <row r="474" spans="1:10">
      <c r="A474">
        <v>2025</v>
      </c>
      <c r="B474">
        <v>3</v>
      </c>
      <c r="C474">
        <v>8807</v>
      </c>
      <c r="D474">
        <v>474</v>
      </c>
      <c r="E474" t="s">
        <v>10</v>
      </c>
      <c r="F474">
        <v>3454102</v>
      </c>
      <c r="G474" s="1">
        <v>92</v>
      </c>
      <c r="H474" s="2">
        <v>242550</v>
      </c>
      <c r="I474" t="str">
        <f>VLOOKUP(Tabela1[[#This Row],[CO_PAIS]],'[1]nome do paixs'!$A:$B,2,0)</f>
        <v>Marrocos</v>
      </c>
      <c r="J474" t="s">
        <v>11</v>
      </c>
    </row>
    <row r="475" spans="1:10">
      <c r="A475">
        <v>2025</v>
      </c>
      <c r="B475">
        <v>3</v>
      </c>
      <c r="C475">
        <v>8807</v>
      </c>
      <c r="D475">
        <v>386</v>
      </c>
      <c r="E475" t="s">
        <v>10</v>
      </c>
      <c r="F475">
        <v>3454102</v>
      </c>
      <c r="G475" s="1">
        <v>576</v>
      </c>
      <c r="H475" s="2">
        <v>1624033</v>
      </c>
      <c r="I475" t="str">
        <f>VLOOKUP(Tabela1[[#This Row],[CO_PAIS]],'[1]nome do paixs'!$A:$B,2,0)</f>
        <v>Itália</v>
      </c>
      <c r="J475" t="s">
        <v>11</v>
      </c>
    </row>
    <row r="476" spans="1:10">
      <c r="A476">
        <v>2025</v>
      </c>
      <c r="B476">
        <v>3</v>
      </c>
      <c r="C476">
        <v>8807</v>
      </c>
      <c r="D476">
        <v>375</v>
      </c>
      <c r="E476" t="s">
        <v>10</v>
      </c>
      <c r="F476">
        <v>3449904</v>
      </c>
      <c r="G476" s="1">
        <v>11</v>
      </c>
      <c r="H476" s="2">
        <v>3936</v>
      </c>
      <c r="I476" t="str">
        <f>VLOOKUP(Tabela1[[#This Row],[CO_PAIS]],'[1]nome do paixs'!$A:$B,2,0)</f>
        <v>Irlanda</v>
      </c>
      <c r="J476" t="s">
        <v>12</v>
      </c>
    </row>
    <row r="477" spans="1:10">
      <c r="A477">
        <v>2025</v>
      </c>
      <c r="B477">
        <v>3</v>
      </c>
      <c r="C477">
        <v>8807</v>
      </c>
      <c r="D477">
        <v>791</v>
      </c>
      <c r="E477" t="s">
        <v>10</v>
      </c>
      <c r="F477">
        <v>3454102</v>
      </c>
      <c r="G477" s="1">
        <v>1</v>
      </c>
      <c r="H477" s="2">
        <v>3292</v>
      </c>
      <c r="I477" t="str">
        <f>VLOOKUP(Tabela1[[#This Row],[CO_PAIS]],'[1]nome do paixs'!$A:$B,2,0)</f>
        <v>Tcheca, República</v>
      </c>
      <c r="J477" t="s">
        <v>11</v>
      </c>
    </row>
    <row r="478" spans="1:10">
      <c r="A478">
        <v>2025</v>
      </c>
      <c r="B478">
        <v>3</v>
      </c>
      <c r="C478">
        <v>8807</v>
      </c>
      <c r="D478">
        <v>23</v>
      </c>
      <c r="E478" t="s">
        <v>10</v>
      </c>
      <c r="F478">
        <v>3454102</v>
      </c>
      <c r="G478" s="1">
        <v>31746</v>
      </c>
      <c r="H478" s="2">
        <v>1477985</v>
      </c>
      <c r="I478" t="str">
        <f>VLOOKUP(Tabela1[[#This Row],[CO_PAIS]],'[1]nome do paixs'!$A:$B,2,0)</f>
        <v>Alemanha</v>
      </c>
      <c r="J478" t="s">
        <v>11</v>
      </c>
    </row>
    <row r="479" spans="1:10">
      <c r="A479">
        <v>2025</v>
      </c>
      <c r="B479">
        <v>3</v>
      </c>
      <c r="C479">
        <v>8807</v>
      </c>
      <c r="D479">
        <v>375</v>
      </c>
      <c r="E479" t="s">
        <v>10</v>
      </c>
      <c r="F479">
        <v>3454102</v>
      </c>
      <c r="G479" s="1">
        <v>82</v>
      </c>
      <c r="H479" s="2">
        <v>32906</v>
      </c>
      <c r="I479" t="str">
        <f>VLOOKUP(Tabela1[[#This Row],[CO_PAIS]],'[1]nome do paixs'!$A:$B,2,0)</f>
        <v>Irlanda</v>
      </c>
      <c r="J479" t="s">
        <v>11</v>
      </c>
    </row>
    <row r="480" spans="1:10">
      <c r="A480">
        <v>2025</v>
      </c>
      <c r="B480">
        <v>3</v>
      </c>
      <c r="C480">
        <v>8807</v>
      </c>
      <c r="D480">
        <v>741</v>
      </c>
      <c r="E480" t="s">
        <v>10</v>
      </c>
      <c r="F480">
        <v>3449904</v>
      </c>
      <c r="G480" s="1">
        <v>148</v>
      </c>
      <c r="H480" s="2">
        <v>157806</v>
      </c>
      <c r="I480" t="str">
        <f>VLOOKUP(Tabela1[[#This Row],[CO_PAIS]],'[1]nome do paixs'!$A:$B,2,0)</f>
        <v>Singapura</v>
      </c>
      <c r="J480" t="s">
        <v>12</v>
      </c>
    </row>
    <row r="481" spans="1:10">
      <c r="A481">
        <v>2024</v>
      </c>
      <c r="B481">
        <v>3</v>
      </c>
      <c r="C481">
        <v>8807</v>
      </c>
      <c r="D481">
        <v>249</v>
      </c>
      <c r="E481" t="s">
        <v>10</v>
      </c>
      <c r="F481">
        <v>3454102</v>
      </c>
      <c r="G481" s="1">
        <v>33489</v>
      </c>
      <c r="H481" s="2">
        <v>10839151</v>
      </c>
      <c r="I481" t="str">
        <f>VLOOKUP(Tabela1[[#This Row],[CO_PAIS]],'[1]nome do paixs'!$A:$B,2,0)</f>
        <v>Estados Unidos</v>
      </c>
      <c r="J481" t="s">
        <v>11</v>
      </c>
    </row>
    <row r="482" spans="1:10">
      <c r="A482">
        <v>2024</v>
      </c>
      <c r="B482">
        <v>3</v>
      </c>
      <c r="C482">
        <v>8807</v>
      </c>
      <c r="D482">
        <v>275</v>
      </c>
      <c r="E482" t="s">
        <v>10</v>
      </c>
      <c r="F482">
        <v>3449904</v>
      </c>
      <c r="G482" s="1">
        <v>202</v>
      </c>
      <c r="H482" s="2">
        <v>514913</v>
      </c>
      <c r="I482" t="str">
        <f>VLOOKUP(Tabela1[[#This Row],[CO_PAIS]],'[1]nome do paixs'!$A:$B,2,0)</f>
        <v>França</v>
      </c>
      <c r="J482" t="s">
        <v>12</v>
      </c>
    </row>
    <row r="483" spans="1:10">
      <c r="A483">
        <v>2024</v>
      </c>
      <c r="B483">
        <v>3</v>
      </c>
      <c r="C483">
        <v>8807</v>
      </c>
      <c r="D483">
        <v>190</v>
      </c>
      <c r="E483" t="s">
        <v>10</v>
      </c>
      <c r="F483">
        <v>3454102</v>
      </c>
      <c r="G483" s="1">
        <v>3501</v>
      </c>
      <c r="H483" s="2">
        <v>3322749</v>
      </c>
      <c r="I483" t="str">
        <f>VLOOKUP(Tabela1[[#This Row],[CO_PAIS]],'[1]nome do paixs'!$A:$B,2,0)</f>
        <v>Coreia do Sul</v>
      </c>
      <c r="J483" t="s">
        <v>11</v>
      </c>
    </row>
    <row r="484" spans="1:10">
      <c r="A484">
        <v>2024</v>
      </c>
      <c r="B484">
        <v>3</v>
      </c>
      <c r="C484">
        <v>8807</v>
      </c>
      <c r="D484">
        <v>676</v>
      </c>
      <c r="E484" t="s">
        <v>10</v>
      </c>
      <c r="F484">
        <v>3454102</v>
      </c>
      <c r="G484" s="1">
        <v>3470</v>
      </c>
      <c r="H484" s="2">
        <v>251396</v>
      </c>
      <c r="I484" t="str">
        <f>VLOOKUP(Tabela1[[#This Row],[CO_PAIS]],'[1]nome do paixs'!$A:$B,2,0)</f>
        <v>Rússia</v>
      </c>
      <c r="J484" t="s">
        <v>11</v>
      </c>
    </row>
    <row r="485" spans="1:10">
      <c r="A485">
        <v>2024</v>
      </c>
      <c r="B485">
        <v>3</v>
      </c>
      <c r="C485">
        <v>8807</v>
      </c>
      <c r="D485">
        <v>23</v>
      </c>
      <c r="E485" t="s">
        <v>10</v>
      </c>
      <c r="F485">
        <v>3449904</v>
      </c>
      <c r="G485" s="1">
        <v>393</v>
      </c>
      <c r="H485" s="2">
        <v>503125</v>
      </c>
      <c r="I485" t="str">
        <f>VLOOKUP(Tabela1[[#This Row],[CO_PAIS]],'[1]nome do paixs'!$A:$B,2,0)</f>
        <v>Alemanha</v>
      </c>
      <c r="J485" t="s">
        <v>12</v>
      </c>
    </row>
    <row r="486" spans="1:10">
      <c r="A486">
        <v>2024</v>
      </c>
      <c r="B486">
        <v>3</v>
      </c>
      <c r="C486">
        <v>8807</v>
      </c>
      <c r="D486">
        <v>245</v>
      </c>
      <c r="E486" t="s">
        <v>10</v>
      </c>
      <c r="F486">
        <v>3424402</v>
      </c>
      <c r="G486" s="1">
        <v>351</v>
      </c>
      <c r="H486" s="2">
        <v>89940</v>
      </c>
      <c r="I486" t="str">
        <f>VLOOKUP(Tabela1[[#This Row],[CO_PAIS]],'[1]nome do paixs'!$A:$B,2,0)</f>
        <v>Espanha</v>
      </c>
      <c r="J486" t="s">
        <v>13</v>
      </c>
    </row>
    <row r="487" spans="1:10">
      <c r="A487">
        <v>2024</v>
      </c>
      <c r="B487">
        <v>3</v>
      </c>
      <c r="C487">
        <v>8807</v>
      </c>
      <c r="D487">
        <v>361</v>
      </c>
      <c r="E487" t="s">
        <v>10</v>
      </c>
      <c r="F487">
        <v>3449904</v>
      </c>
      <c r="G487" s="1">
        <v>915</v>
      </c>
      <c r="H487" s="2">
        <v>539015</v>
      </c>
      <c r="I487" t="str">
        <f>VLOOKUP(Tabela1[[#This Row],[CO_PAIS]],'[1]nome do paixs'!$A:$B,2,0)</f>
        <v>Índia</v>
      </c>
      <c r="J487" t="s">
        <v>12</v>
      </c>
    </row>
    <row r="488" spans="1:10">
      <c r="A488">
        <v>2024</v>
      </c>
      <c r="B488">
        <v>3</v>
      </c>
      <c r="C488">
        <v>8807</v>
      </c>
      <c r="D488">
        <v>603</v>
      </c>
      <c r="E488" t="s">
        <v>10</v>
      </c>
      <c r="F488">
        <v>3449904</v>
      </c>
      <c r="G488" s="1">
        <v>77</v>
      </c>
      <c r="H488" s="2">
        <v>10683</v>
      </c>
      <c r="I488" t="str">
        <f>VLOOKUP(Tabela1[[#This Row],[CO_PAIS]],'[1]nome do paixs'!$A:$B,2,0)</f>
        <v>Polônia</v>
      </c>
      <c r="J488" t="s">
        <v>12</v>
      </c>
    </row>
    <row r="489" spans="1:10">
      <c r="A489">
        <v>2024</v>
      </c>
      <c r="B489">
        <v>3</v>
      </c>
      <c r="C489">
        <v>8807</v>
      </c>
      <c r="D489">
        <v>756</v>
      </c>
      <c r="E489" t="s">
        <v>10</v>
      </c>
      <c r="F489">
        <v>3449904</v>
      </c>
      <c r="G489" s="1">
        <v>1</v>
      </c>
      <c r="H489" s="2">
        <v>263</v>
      </c>
      <c r="I489" t="str">
        <f>VLOOKUP(Tabela1[[#This Row],[CO_PAIS]],'[1]nome do paixs'!$A:$B,2,0)</f>
        <v>África do Sul</v>
      </c>
      <c r="J489" t="s">
        <v>12</v>
      </c>
    </row>
    <row r="490" spans="1:10">
      <c r="A490">
        <v>2024</v>
      </c>
      <c r="B490">
        <v>3</v>
      </c>
      <c r="C490">
        <v>8807</v>
      </c>
      <c r="D490">
        <v>149</v>
      </c>
      <c r="E490" t="s">
        <v>10</v>
      </c>
      <c r="F490">
        <v>3454102</v>
      </c>
      <c r="G490" s="1">
        <v>284</v>
      </c>
      <c r="H490" s="2">
        <v>220551</v>
      </c>
      <c r="I490" t="str">
        <f>VLOOKUP(Tabela1[[#This Row],[CO_PAIS]],'[1]nome do paixs'!$A:$B,2,0)</f>
        <v>Canadá</v>
      </c>
      <c r="J490" t="s">
        <v>11</v>
      </c>
    </row>
    <row r="491" spans="1:10">
      <c r="A491">
        <v>2024</v>
      </c>
      <c r="B491">
        <v>3</v>
      </c>
      <c r="C491">
        <v>8807</v>
      </c>
      <c r="D491">
        <v>160</v>
      </c>
      <c r="E491" t="s">
        <v>10</v>
      </c>
      <c r="F491">
        <v>3454102</v>
      </c>
      <c r="G491" s="1">
        <v>0</v>
      </c>
      <c r="H491" s="2">
        <v>431</v>
      </c>
      <c r="I491" t="str">
        <f>VLOOKUP(Tabela1[[#This Row],[CO_PAIS]],'[1]nome do paixs'!$A:$B,2,0)</f>
        <v>China</v>
      </c>
      <c r="J491" t="s">
        <v>11</v>
      </c>
    </row>
    <row r="492" spans="1:10">
      <c r="A492">
        <v>2024</v>
      </c>
      <c r="B492">
        <v>3</v>
      </c>
      <c r="C492">
        <v>8807</v>
      </c>
      <c r="D492">
        <v>827</v>
      </c>
      <c r="E492" t="s">
        <v>10</v>
      </c>
      <c r="F492">
        <v>3449904</v>
      </c>
      <c r="G492" s="1">
        <v>1</v>
      </c>
      <c r="H492" s="2">
        <v>1152</v>
      </c>
      <c r="I492" t="str">
        <f>VLOOKUP(Tabela1[[#This Row],[CO_PAIS]],'[1]nome do paixs'!$A:$B,2,0)</f>
        <v>Turquia</v>
      </c>
      <c r="J492" t="s">
        <v>12</v>
      </c>
    </row>
    <row r="493" spans="1:10">
      <c r="A493">
        <v>2024</v>
      </c>
      <c r="B493">
        <v>3</v>
      </c>
      <c r="C493">
        <v>8807</v>
      </c>
      <c r="D493">
        <v>573</v>
      </c>
      <c r="E493" t="s">
        <v>10</v>
      </c>
      <c r="F493">
        <v>3449904</v>
      </c>
      <c r="G493" s="1">
        <v>1</v>
      </c>
      <c r="H493" s="2">
        <v>29250</v>
      </c>
      <c r="I493" t="str">
        <f>VLOOKUP(Tabela1[[#This Row],[CO_PAIS]],'[1]nome do paixs'!$A:$B,2,0)</f>
        <v>Países Baixos (Holanda)</v>
      </c>
      <c r="J493" t="s">
        <v>12</v>
      </c>
    </row>
    <row r="494" spans="1:10">
      <c r="A494">
        <v>2024</v>
      </c>
      <c r="B494">
        <v>3</v>
      </c>
      <c r="C494">
        <v>8807</v>
      </c>
      <c r="D494">
        <v>158</v>
      </c>
      <c r="E494" t="s">
        <v>10</v>
      </c>
      <c r="F494">
        <v>3449904</v>
      </c>
      <c r="G494" s="1">
        <v>17</v>
      </c>
      <c r="H494" s="2">
        <v>35839</v>
      </c>
      <c r="I494" t="str">
        <f>VLOOKUP(Tabela1[[#This Row],[CO_PAIS]],'[1]nome do paixs'!$A:$B,2,0)</f>
        <v>Chile</v>
      </c>
      <c r="J494" t="s">
        <v>12</v>
      </c>
    </row>
    <row r="495" spans="1:10">
      <c r="A495">
        <v>2024</v>
      </c>
      <c r="B495">
        <v>3</v>
      </c>
      <c r="C495">
        <v>8807</v>
      </c>
      <c r="D495">
        <v>72</v>
      </c>
      <c r="E495" t="s">
        <v>10</v>
      </c>
      <c r="F495">
        <v>3454102</v>
      </c>
      <c r="G495" s="1">
        <v>12843</v>
      </c>
      <c r="H495" s="2">
        <v>1336521</v>
      </c>
      <c r="I495" t="str">
        <f>VLOOKUP(Tabela1[[#This Row],[CO_PAIS]],'[1]nome do paixs'!$A:$B,2,0)</f>
        <v>Áustria</v>
      </c>
      <c r="J495" t="s">
        <v>11</v>
      </c>
    </row>
    <row r="496" spans="1:10">
      <c r="A496">
        <v>2024</v>
      </c>
      <c r="B496">
        <v>3</v>
      </c>
      <c r="C496">
        <v>8807</v>
      </c>
      <c r="D496">
        <v>399</v>
      </c>
      <c r="E496" t="s">
        <v>10</v>
      </c>
      <c r="F496">
        <v>3454102</v>
      </c>
      <c r="G496" s="1">
        <v>2296</v>
      </c>
      <c r="H496" s="2">
        <v>1527339</v>
      </c>
      <c r="I496" t="str">
        <f>VLOOKUP(Tabela1[[#This Row],[CO_PAIS]],'[1]nome do paixs'!$A:$B,2,0)</f>
        <v>Japão</v>
      </c>
      <c r="J496" t="s">
        <v>11</v>
      </c>
    </row>
    <row r="497" spans="1:10">
      <c r="A497">
        <v>2024</v>
      </c>
      <c r="B497">
        <v>3</v>
      </c>
      <c r="C497">
        <v>8807</v>
      </c>
      <c r="D497">
        <v>628</v>
      </c>
      <c r="E497" t="s">
        <v>10</v>
      </c>
      <c r="F497">
        <v>3449904</v>
      </c>
      <c r="G497" s="1">
        <v>514</v>
      </c>
      <c r="H497" s="2">
        <v>655588</v>
      </c>
      <c r="I497" t="str">
        <f>VLOOKUP(Tabela1[[#This Row],[CO_PAIS]],'[1]nome do paixs'!$A:$B,2,0)</f>
        <v>Reino Unido</v>
      </c>
      <c r="J497" t="s">
        <v>12</v>
      </c>
    </row>
    <row r="498" spans="1:10">
      <c r="A498">
        <v>2024</v>
      </c>
      <c r="B498">
        <v>3</v>
      </c>
      <c r="C498">
        <v>8807</v>
      </c>
      <c r="D498">
        <v>375</v>
      </c>
      <c r="E498" t="s">
        <v>10</v>
      </c>
      <c r="F498">
        <v>3449904</v>
      </c>
      <c r="G498" s="1">
        <v>5</v>
      </c>
      <c r="H498" s="2">
        <v>3465</v>
      </c>
      <c r="I498" t="str">
        <f>VLOOKUP(Tabela1[[#This Row],[CO_PAIS]],'[1]nome do paixs'!$A:$B,2,0)</f>
        <v>Irlanda</v>
      </c>
      <c r="J498" t="s">
        <v>12</v>
      </c>
    </row>
    <row r="499" spans="1:10">
      <c r="A499">
        <v>2024</v>
      </c>
      <c r="B499">
        <v>3</v>
      </c>
      <c r="C499">
        <v>8807</v>
      </c>
      <c r="D499">
        <v>245</v>
      </c>
      <c r="E499" t="s">
        <v>10</v>
      </c>
      <c r="F499">
        <v>3454102</v>
      </c>
      <c r="G499" s="1">
        <v>1638</v>
      </c>
      <c r="H499" s="2">
        <v>1175250</v>
      </c>
      <c r="I499" t="str">
        <f>VLOOKUP(Tabela1[[#This Row],[CO_PAIS]],'[1]nome do paixs'!$A:$B,2,0)</f>
        <v>Espanha</v>
      </c>
      <c r="J499" t="s">
        <v>11</v>
      </c>
    </row>
    <row r="500" spans="1:10">
      <c r="A500">
        <v>2024</v>
      </c>
      <c r="B500">
        <v>3</v>
      </c>
      <c r="C500">
        <v>8807</v>
      </c>
      <c r="D500">
        <v>72</v>
      </c>
      <c r="E500" t="s">
        <v>10</v>
      </c>
      <c r="F500">
        <v>3449904</v>
      </c>
      <c r="G500" s="1">
        <v>333</v>
      </c>
      <c r="H500" s="2">
        <v>72266</v>
      </c>
      <c r="I500" t="str">
        <f>VLOOKUP(Tabela1[[#This Row],[CO_PAIS]],'[1]nome do paixs'!$A:$B,2,0)</f>
        <v>Áustria</v>
      </c>
      <c r="J500" t="s">
        <v>12</v>
      </c>
    </row>
    <row r="501" spans="1:10">
      <c r="A501">
        <v>2024</v>
      </c>
      <c r="B501">
        <v>3</v>
      </c>
      <c r="C501">
        <v>8807</v>
      </c>
      <c r="D501">
        <v>249</v>
      </c>
      <c r="E501" t="s">
        <v>10</v>
      </c>
      <c r="F501">
        <v>3424402</v>
      </c>
      <c r="G501" s="1">
        <v>1251</v>
      </c>
      <c r="H501" s="2">
        <v>290508</v>
      </c>
      <c r="I501" t="str">
        <f>VLOOKUP(Tabela1[[#This Row],[CO_PAIS]],'[1]nome do paixs'!$A:$B,2,0)</f>
        <v>Estados Unidos</v>
      </c>
      <c r="J501" t="s">
        <v>13</v>
      </c>
    </row>
    <row r="502" spans="1:10">
      <c r="A502">
        <v>2024</v>
      </c>
      <c r="B502">
        <v>3</v>
      </c>
      <c r="C502">
        <v>8807</v>
      </c>
      <c r="D502">
        <v>791</v>
      </c>
      <c r="E502" t="s">
        <v>10</v>
      </c>
      <c r="F502">
        <v>3449904</v>
      </c>
      <c r="G502" s="1">
        <v>11</v>
      </c>
      <c r="H502" s="2">
        <v>14828</v>
      </c>
      <c r="I502" t="str">
        <f>VLOOKUP(Tabela1[[#This Row],[CO_PAIS]],'[1]nome do paixs'!$A:$B,2,0)</f>
        <v>Tcheca, República</v>
      </c>
      <c r="J502" t="s">
        <v>12</v>
      </c>
    </row>
    <row r="503" spans="1:10">
      <c r="A503">
        <v>2024</v>
      </c>
      <c r="B503">
        <v>3</v>
      </c>
      <c r="C503">
        <v>8807</v>
      </c>
      <c r="D503">
        <v>474</v>
      </c>
      <c r="E503" t="s">
        <v>10</v>
      </c>
      <c r="F503">
        <v>3454102</v>
      </c>
      <c r="G503" s="1">
        <v>92</v>
      </c>
      <c r="H503" s="2">
        <v>223411</v>
      </c>
      <c r="I503" t="str">
        <f>VLOOKUP(Tabela1[[#This Row],[CO_PAIS]],'[1]nome do paixs'!$A:$B,2,0)</f>
        <v>Marrocos</v>
      </c>
      <c r="J503" t="s">
        <v>11</v>
      </c>
    </row>
    <row r="504" spans="1:10">
      <c r="A504">
        <v>2024</v>
      </c>
      <c r="B504">
        <v>3</v>
      </c>
      <c r="C504">
        <v>8807</v>
      </c>
      <c r="D504">
        <v>455</v>
      </c>
      <c r="E504" t="s">
        <v>10</v>
      </c>
      <c r="F504">
        <v>3454102</v>
      </c>
      <c r="G504" s="1">
        <v>2522</v>
      </c>
      <c r="H504" s="2">
        <v>281259</v>
      </c>
      <c r="I504" t="str">
        <f>VLOOKUP(Tabela1[[#This Row],[CO_PAIS]],'[1]nome do paixs'!$A:$B,2,0)</f>
        <v>Malásia</v>
      </c>
      <c r="J504" t="s">
        <v>11</v>
      </c>
    </row>
    <row r="505" spans="1:10">
      <c r="A505">
        <v>2024</v>
      </c>
      <c r="B505">
        <v>3</v>
      </c>
      <c r="C505">
        <v>8807</v>
      </c>
      <c r="D505">
        <v>375</v>
      </c>
      <c r="E505" t="s">
        <v>10</v>
      </c>
      <c r="F505">
        <v>3454102</v>
      </c>
      <c r="G505" s="1">
        <v>209</v>
      </c>
      <c r="H505" s="2">
        <v>69005</v>
      </c>
      <c r="I505" t="str">
        <f>VLOOKUP(Tabela1[[#This Row],[CO_PAIS]],'[1]nome do paixs'!$A:$B,2,0)</f>
        <v>Irlanda</v>
      </c>
      <c r="J505" t="s">
        <v>11</v>
      </c>
    </row>
    <row r="506" spans="1:10">
      <c r="A506">
        <v>2024</v>
      </c>
      <c r="B506">
        <v>3</v>
      </c>
      <c r="C506">
        <v>8807</v>
      </c>
      <c r="D506">
        <v>275</v>
      </c>
      <c r="E506" t="s">
        <v>10</v>
      </c>
      <c r="F506">
        <v>3454102</v>
      </c>
      <c r="G506" s="1">
        <v>1860</v>
      </c>
      <c r="H506" s="2">
        <v>2261812</v>
      </c>
      <c r="I506" t="str">
        <f>VLOOKUP(Tabela1[[#This Row],[CO_PAIS]],'[1]nome do paixs'!$A:$B,2,0)</f>
        <v>França</v>
      </c>
      <c r="J506" t="s">
        <v>11</v>
      </c>
    </row>
    <row r="507" spans="1:10">
      <c r="A507">
        <v>2024</v>
      </c>
      <c r="B507">
        <v>3</v>
      </c>
      <c r="C507">
        <v>8807</v>
      </c>
      <c r="D507">
        <v>607</v>
      </c>
      <c r="E507" t="s">
        <v>10</v>
      </c>
      <c r="F507">
        <v>3449904</v>
      </c>
      <c r="G507" s="1">
        <v>26</v>
      </c>
      <c r="H507" s="2">
        <v>30204</v>
      </c>
      <c r="I507" t="str">
        <f>VLOOKUP(Tabela1[[#This Row],[CO_PAIS]],'[1]nome do paixs'!$A:$B,2,0)</f>
        <v>Portugal</v>
      </c>
      <c r="J507" t="s">
        <v>12</v>
      </c>
    </row>
    <row r="508" spans="1:10">
      <c r="A508">
        <v>2024</v>
      </c>
      <c r="B508">
        <v>3</v>
      </c>
      <c r="C508">
        <v>8807</v>
      </c>
      <c r="D508">
        <v>493</v>
      </c>
      <c r="E508" t="s">
        <v>10</v>
      </c>
      <c r="F508">
        <v>3449904</v>
      </c>
      <c r="G508" s="1">
        <v>2071</v>
      </c>
      <c r="H508" s="2">
        <v>1590445</v>
      </c>
      <c r="I508" t="str">
        <f>VLOOKUP(Tabela1[[#This Row],[CO_PAIS]],'[1]nome do paixs'!$A:$B,2,0)</f>
        <v>México</v>
      </c>
      <c r="J508" t="s">
        <v>12</v>
      </c>
    </row>
    <row r="509" spans="1:10">
      <c r="A509">
        <v>2024</v>
      </c>
      <c r="B509">
        <v>3</v>
      </c>
      <c r="C509">
        <v>8807</v>
      </c>
      <c r="D509">
        <v>399</v>
      </c>
      <c r="E509" t="s">
        <v>10</v>
      </c>
      <c r="F509">
        <v>3449904</v>
      </c>
      <c r="G509" s="1">
        <v>846</v>
      </c>
      <c r="H509" s="2">
        <v>794733</v>
      </c>
      <c r="I509" t="str">
        <f>VLOOKUP(Tabela1[[#This Row],[CO_PAIS]],'[1]nome do paixs'!$A:$B,2,0)</f>
        <v>Japão</v>
      </c>
      <c r="J509" t="s">
        <v>12</v>
      </c>
    </row>
    <row r="510" spans="1:10">
      <c r="A510">
        <v>2024</v>
      </c>
      <c r="B510">
        <v>3</v>
      </c>
      <c r="C510">
        <v>8807</v>
      </c>
      <c r="D510">
        <v>190</v>
      </c>
      <c r="E510" t="s">
        <v>10</v>
      </c>
      <c r="F510">
        <v>3424402</v>
      </c>
      <c r="G510" s="1">
        <v>5</v>
      </c>
      <c r="H510" s="2">
        <v>1402</v>
      </c>
      <c r="I510" t="str">
        <f>VLOOKUP(Tabela1[[#This Row],[CO_PAIS]],'[1]nome do paixs'!$A:$B,2,0)</f>
        <v>Coreia do Sul</v>
      </c>
      <c r="J510" t="s">
        <v>13</v>
      </c>
    </row>
    <row r="511" spans="1:10">
      <c r="A511">
        <v>2024</v>
      </c>
      <c r="B511">
        <v>3</v>
      </c>
      <c r="C511">
        <v>8807</v>
      </c>
      <c r="D511">
        <v>607</v>
      </c>
      <c r="E511" t="s">
        <v>10</v>
      </c>
      <c r="F511">
        <v>3454102</v>
      </c>
      <c r="G511" s="1">
        <v>23564</v>
      </c>
      <c r="H511" s="2">
        <v>8226088</v>
      </c>
      <c r="I511" t="str">
        <f>VLOOKUP(Tabela1[[#This Row],[CO_PAIS]],'[1]nome do paixs'!$A:$B,2,0)</f>
        <v>Portugal</v>
      </c>
      <c r="J511" t="s">
        <v>11</v>
      </c>
    </row>
    <row r="512" spans="1:10">
      <c r="A512">
        <v>2024</v>
      </c>
      <c r="B512">
        <v>3</v>
      </c>
      <c r="C512">
        <v>8807</v>
      </c>
      <c r="D512">
        <v>249</v>
      </c>
      <c r="E512" t="s">
        <v>10</v>
      </c>
      <c r="F512">
        <v>3449904</v>
      </c>
      <c r="G512" s="1">
        <v>4658</v>
      </c>
      <c r="H512" s="2">
        <v>5121230</v>
      </c>
      <c r="I512" t="str">
        <f>VLOOKUP(Tabela1[[#This Row],[CO_PAIS]],'[1]nome do paixs'!$A:$B,2,0)</f>
        <v>Estados Unidos</v>
      </c>
      <c r="J512" t="s">
        <v>12</v>
      </c>
    </row>
    <row r="513" spans="1:10">
      <c r="A513">
        <v>2024</v>
      </c>
      <c r="B513">
        <v>3</v>
      </c>
      <c r="C513">
        <v>8807</v>
      </c>
      <c r="D513">
        <v>190</v>
      </c>
      <c r="E513" t="s">
        <v>10</v>
      </c>
      <c r="F513">
        <v>3449904</v>
      </c>
      <c r="G513" s="1">
        <v>75</v>
      </c>
      <c r="H513" s="2">
        <v>118936</v>
      </c>
      <c r="I513" t="str">
        <f>VLOOKUP(Tabela1[[#This Row],[CO_PAIS]],'[1]nome do paixs'!$A:$B,2,0)</f>
        <v>Coreia do Sul</v>
      </c>
      <c r="J513" t="s">
        <v>12</v>
      </c>
    </row>
    <row r="514" spans="1:10">
      <c r="A514">
        <v>2024</v>
      </c>
      <c r="B514">
        <v>3</v>
      </c>
      <c r="C514">
        <v>8807</v>
      </c>
      <c r="D514">
        <v>386</v>
      </c>
      <c r="E514" t="s">
        <v>10</v>
      </c>
      <c r="F514">
        <v>3454102</v>
      </c>
      <c r="G514" s="1">
        <v>384</v>
      </c>
      <c r="H514" s="2">
        <v>1061269</v>
      </c>
      <c r="I514" t="str">
        <f>VLOOKUP(Tabela1[[#This Row],[CO_PAIS]],'[1]nome do paixs'!$A:$B,2,0)</f>
        <v>Itália</v>
      </c>
      <c r="J514" t="s">
        <v>11</v>
      </c>
    </row>
    <row r="515" spans="1:10">
      <c r="A515">
        <v>2024</v>
      </c>
      <c r="B515">
        <v>3</v>
      </c>
      <c r="C515">
        <v>8807</v>
      </c>
      <c r="D515">
        <v>628</v>
      </c>
      <c r="E515" t="s">
        <v>10</v>
      </c>
      <c r="F515">
        <v>3454102</v>
      </c>
      <c r="G515" s="1">
        <v>55</v>
      </c>
      <c r="H515" s="2">
        <v>117883</v>
      </c>
      <c r="I515" t="str">
        <f>VLOOKUP(Tabela1[[#This Row],[CO_PAIS]],'[1]nome do paixs'!$A:$B,2,0)</f>
        <v>Reino Unido</v>
      </c>
      <c r="J515" t="s">
        <v>11</v>
      </c>
    </row>
    <row r="516" spans="1:10">
      <c r="A516">
        <v>2024</v>
      </c>
      <c r="B516">
        <v>3</v>
      </c>
      <c r="C516">
        <v>8807</v>
      </c>
      <c r="D516">
        <v>493</v>
      </c>
      <c r="E516" t="s">
        <v>10</v>
      </c>
      <c r="F516">
        <v>3454102</v>
      </c>
      <c r="G516" s="1">
        <v>7837</v>
      </c>
      <c r="H516" s="2">
        <v>3200049</v>
      </c>
      <c r="I516" t="str">
        <f>VLOOKUP(Tabela1[[#This Row],[CO_PAIS]],'[1]nome do paixs'!$A:$B,2,0)</f>
        <v>México</v>
      </c>
      <c r="J516" t="s">
        <v>11</v>
      </c>
    </row>
    <row r="517" spans="1:10">
      <c r="A517">
        <v>2024</v>
      </c>
      <c r="B517">
        <v>3</v>
      </c>
      <c r="C517">
        <v>8807</v>
      </c>
      <c r="D517">
        <v>105</v>
      </c>
      <c r="E517" t="s">
        <v>10</v>
      </c>
      <c r="F517">
        <v>3449904</v>
      </c>
      <c r="G517" s="1">
        <v>6526</v>
      </c>
      <c r="H517" s="2">
        <v>4624719</v>
      </c>
      <c r="I517" t="str">
        <f>VLOOKUP(Tabela1[[#This Row],[CO_PAIS]],'[1]nome do paixs'!$A:$B,2,0)</f>
        <v>Brasil</v>
      </c>
      <c r="J517" t="s">
        <v>12</v>
      </c>
    </row>
    <row r="518" spans="1:10">
      <c r="A518">
        <v>2024</v>
      </c>
      <c r="B518">
        <v>3</v>
      </c>
      <c r="C518">
        <v>8807</v>
      </c>
      <c r="D518">
        <v>105</v>
      </c>
      <c r="E518" t="s">
        <v>10</v>
      </c>
      <c r="F518">
        <v>3454102</v>
      </c>
      <c r="G518" s="1">
        <v>6645</v>
      </c>
      <c r="H518" s="2">
        <v>6761291</v>
      </c>
      <c r="I518" t="str">
        <f>VLOOKUP(Tabela1[[#This Row],[CO_PAIS]],'[1]nome do paixs'!$A:$B,2,0)</f>
        <v>Brasil</v>
      </c>
      <c r="J518" t="s">
        <v>11</v>
      </c>
    </row>
    <row r="519" spans="1:10">
      <c r="A519">
        <v>2024</v>
      </c>
      <c r="B519">
        <v>3</v>
      </c>
      <c r="C519">
        <v>8807</v>
      </c>
      <c r="D519">
        <v>23</v>
      </c>
      <c r="E519" t="s">
        <v>10</v>
      </c>
      <c r="F519">
        <v>3454102</v>
      </c>
      <c r="G519" s="1">
        <v>5455</v>
      </c>
      <c r="H519" s="2">
        <v>764384</v>
      </c>
      <c r="I519" t="str">
        <f>VLOOKUP(Tabela1[[#This Row],[CO_PAIS]],'[1]nome do paixs'!$A:$B,2,0)</f>
        <v>Alemanha</v>
      </c>
      <c r="J519" t="s">
        <v>11</v>
      </c>
    </row>
    <row r="520" spans="1:10">
      <c r="A520">
        <v>2024</v>
      </c>
      <c r="B520">
        <v>3</v>
      </c>
      <c r="C520">
        <v>8807</v>
      </c>
      <c r="D520">
        <v>791</v>
      </c>
      <c r="E520" t="s">
        <v>10</v>
      </c>
      <c r="F520">
        <v>3424402</v>
      </c>
      <c r="G520" s="1">
        <v>194</v>
      </c>
      <c r="H520" s="2">
        <v>171737</v>
      </c>
      <c r="I520" t="str">
        <f>VLOOKUP(Tabela1[[#This Row],[CO_PAIS]],'[1]nome do paixs'!$A:$B,2,0)</f>
        <v>Tcheca, República</v>
      </c>
      <c r="J520" t="s">
        <v>13</v>
      </c>
    </row>
    <row r="521" spans="1:10">
      <c r="A521">
        <v>2024</v>
      </c>
      <c r="B521">
        <v>3</v>
      </c>
      <c r="C521">
        <v>8807</v>
      </c>
      <c r="D521">
        <v>245</v>
      </c>
      <c r="E521" t="s">
        <v>10</v>
      </c>
      <c r="F521">
        <v>3449904</v>
      </c>
      <c r="G521" s="1">
        <v>3916</v>
      </c>
      <c r="H521" s="2">
        <v>1407618</v>
      </c>
      <c r="I521" t="str">
        <f>VLOOKUP(Tabela1[[#This Row],[CO_PAIS]],'[1]nome do paixs'!$A:$B,2,0)</f>
        <v>Espanha</v>
      </c>
      <c r="J521" t="s">
        <v>12</v>
      </c>
    </row>
    <row r="522" spans="1:10">
      <c r="A522">
        <v>2024</v>
      </c>
      <c r="B522">
        <v>3</v>
      </c>
      <c r="C522">
        <v>8807</v>
      </c>
      <c r="D522">
        <v>386</v>
      </c>
      <c r="E522" t="s">
        <v>10</v>
      </c>
      <c r="F522">
        <v>3449904</v>
      </c>
      <c r="G522" s="1">
        <v>39</v>
      </c>
      <c r="H522" s="2">
        <v>28458</v>
      </c>
      <c r="I522" t="str">
        <f>VLOOKUP(Tabela1[[#This Row],[CO_PAIS]],'[1]nome do paixs'!$A:$B,2,0)</f>
        <v>Itália</v>
      </c>
      <c r="J522" t="s">
        <v>12</v>
      </c>
    </row>
    <row r="523" spans="1:10">
      <c r="A523">
        <v>2024</v>
      </c>
      <c r="B523">
        <v>3</v>
      </c>
      <c r="C523">
        <v>8807</v>
      </c>
      <c r="D523">
        <v>23</v>
      </c>
      <c r="E523" t="s">
        <v>10</v>
      </c>
      <c r="F523">
        <v>3424402</v>
      </c>
      <c r="G523" s="1">
        <v>34</v>
      </c>
      <c r="H523" s="2">
        <v>61644</v>
      </c>
      <c r="I523" t="str">
        <f>VLOOKUP(Tabela1[[#This Row],[CO_PAIS]],'[1]nome do paixs'!$A:$B,2,0)</f>
        <v>Alemanha</v>
      </c>
      <c r="J523" t="s">
        <v>13</v>
      </c>
    </row>
    <row r="524" spans="1:10">
      <c r="A524">
        <v>2024</v>
      </c>
      <c r="B524">
        <v>3</v>
      </c>
      <c r="C524">
        <v>8807</v>
      </c>
      <c r="D524">
        <v>461</v>
      </c>
      <c r="E524" t="s">
        <v>10</v>
      </c>
      <c r="F524">
        <v>3449904</v>
      </c>
      <c r="G524" s="1">
        <v>1</v>
      </c>
      <c r="H524" s="2">
        <v>7882</v>
      </c>
      <c r="I524" t="str">
        <f>VLOOKUP(Tabela1[[#This Row],[CO_PAIS]],'[1]nome do paixs'!$A:$B,2,0)</f>
        <v>Maldivas</v>
      </c>
      <c r="J524" t="s">
        <v>12</v>
      </c>
    </row>
    <row r="525" spans="1:10">
      <c r="A525">
        <v>2024</v>
      </c>
      <c r="B525">
        <v>3</v>
      </c>
      <c r="C525">
        <v>8807</v>
      </c>
      <c r="D525">
        <v>275</v>
      </c>
      <c r="E525" t="s">
        <v>10</v>
      </c>
      <c r="F525">
        <v>3424402</v>
      </c>
      <c r="G525" s="1">
        <v>349</v>
      </c>
      <c r="H525" s="2">
        <v>624840</v>
      </c>
      <c r="I525" t="str">
        <f>VLOOKUP(Tabela1[[#This Row],[CO_PAIS]],'[1]nome do paixs'!$A:$B,2,0)</f>
        <v>França</v>
      </c>
      <c r="J525" t="s">
        <v>13</v>
      </c>
    </row>
    <row r="526" spans="1:10">
      <c r="A526">
        <v>2024</v>
      </c>
      <c r="B526">
        <v>3</v>
      </c>
      <c r="C526">
        <v>8807</v>
      </c>
      <c r="D526">
        <v>87</v>
      </c>
      <c r="E526" t="s">
        <v>10</v>
      </c>
      <c r="F526">
        <v>3449904</v>
      </c>
      <c r="G526" s="1">
        <v>1785</v>
      </c>
      <c r="H526" s="2">
        <v>2261240</v>
      </c>
      <c r="I526" t="str">
        <f>VLOOKUP(Tabela1[[#This Row],[CO_PAIS]],'[1]nome do paixs'!$A:$B,2,0)</f>
        <v>Bélgica</v>
      </c>
      <c r="J526" t="s">
        <v>12</v>
      </c>
    </row>
    <row r="527" spans="1:10">
      <c r="A527">
        <v>2024</v>
      </c>
      <c r="B527">
        <v>3</v>
      </c>
      <c r="C527">
        <v>8807</v>
      </c>
      <c r="D527">
        <v>87</v>
      </c>
      <c r="E527" t="s">
        <v>10</v>
      </c>
      <c r="F527">
        <v>3454102</v>
      </c>
      <c r="G527" s="1">
        <v>3174</v>
      </c>
      <c r="H527" s="2">
        <v>2712080</v>
      </c>
      <c r="I527" t="str">
        <f>VLOOKUP(Tabela1[[#This Row],[CO_PAIS]],'[1]nome do paixs'!$A:$B,2,0)</f>
        <v>Bélgica</v>
      </c>
      <c r="J527" t="s">
        <v>11</v>
      </c>
    </row>
    <row r="528" spans="1:10">
      <c r="A528">
        <v>2023</v>
      </c>
      <c r="B528">
        <v>3</v>
      </c>
      <c r="C528">
        <v>8807</v>
      </c>
      <c r="D528">
        <v>275</v>
      </c>
      <c r="E528" t="s">
        <v>10</v>
      </c>
      <c r="F528">
        <v>3449904</v>
      </c>
      <c r="G528" s="1">
        <v>256</v>
      </c>
      <c r="H528" s="2">
        <v>231935</v>
      </c>
      <c r="I528" t="str">
        <f>VLOOKUP(Tabela1[[#This Row],[CO_PAIS]],'[1]nome do paixs'!$A:$B,2,0)</f>
        <v>França</v>
      </c>
      <c r="J528" t="s">
        <v>12</v>
      </c>
    </row>
    <row r="529" spans="1:10">
      <c r="A529">
        <v>2023</v>
      </c>
      <c r="B529">
        <v>3</v>
      </c>
      <c r="C529">
        <v>8807</v>
      </c>
      <c r="D529">
        <v>607</v>
      </c>
      <c r="E529" t="s">
        <v>10</v>
      </c>
      <c r="F529">
        <v>3449904</v>
      </c>
      <c r="G529" s="1">
        <v>10</v>
      </c>
      <c r="H529" s="2">
        <v>10627</v>
      </c>
      <c r="I529" t="str">
        <f>VLOOKUP(Tabela1[[#This Row],[CO_PAIS]],'[1]nome do paixs'!$A:$B,2,0)</f>
        <v>Portugal</v>
      </c>
      <c r="J529" t="s">
        <v>12</v>
      </c>
    </row>
    <row r="530" spans="1:10">
      <c r="A530">
        <v>2023</v>
      </c>
      <c r="B530">
        <v>3</v>
      </c>
      <c r="C530">
        <v>8807</v>
      </c>
      <c r="D530">
        <v>399</v>
      </c>
      <c r="E530" t="s">
        <v>10</v>
      </c>
      <c r="F530">
        <v>3449904</v>
      </c>
      <c r="G530" s="1">
        <v>509</v>
      </c>
      <c r="H530" s="2">
        <v>461895</v>
      </c>
      <c r="I530" t="str">
        <f>VLOOKUP(Tabela1[[#This Row],[CO_PAIS]],'[1]nome do paixs'!$A:$B,2,0)</f>
        <v>Japão</v>
      </c>
      <c r="J530" t="s">
        <v>12</v>
      </c>
    </row>
    <row r="531" spans="1:10">
      <c r="A531">
        <v>2023</v>
      </c>
      <c r="B531">
        <v>3</v>
      </c>
      <c r="C531">
        <v>8807</v>
      </c>
      <c r="D531">
        <v>741</v>
      </c>
      <c r="E531" t="s">
        <v>10</v>
      </c>
      <c r="F531">
        <v>3454102</v>
      </c>
      <c r="G531" s="1">
        <v>0</v>
      </c>
      <c r="H531" s="2">
        <v>443</v>
      </c>
      <c r="I531" t="str">
        <f>VLOOKUP(Tabela1[[#This Row],[CO_PAIS]],'[1]nome do paixs'!$A:$B,2,0)</f>
        <v>Singapura</v>
      </c>
      <c r="J531" t="s">
        <v>11</v>
      </c>
    </row>
    <row r="532" spans="1:10">
      <c r="A532">
        <v>2023</v>
      </c>
      <c r="B532">
        <v>3</v>
      </c>
      <c r="C532">
        <v>8807</v>
      </c>
      <c r="D532">
        <v>87</v>
      </c>
      <c r="E532" t="s">
        <v>10</v>
      </c>
      <c r="F532">
        <v>3454102</v>
      </c>
      <c r="G532" s="1">
        <v>2637</v>
      </c>
      <c r="H532" s="2">
        <v>3400105</v>
      </c>
      <c r="I532" t="str">
        <f>VLOOKUP(Tabela1[[#This Row],[CO_PAIS]],'[1]nome do paixs'!$A:$B,2,0)</f>
        <v>Bélgica</v>
      </c>
      <c r="J532" t="s">
        <v>11</v>
      </c>
    </row>
    <row r="533" spans="1:10">
      <c r="A533">
        <v>2023</v>
      </c>
      <c r="B533">
        <v>3</v>
      </c>
      <c r="C533">
        <v>8807</v>
      </c>
      <c r="D533">
        <v>776</v>
      </c>
      <c r="E533" t="s">
        <v>10</v>
      </c>
      <c r="F533">
        <v>3454102</v>
      </c>
      <c r="G533" s="1">
        <v>48</v>
      </c>
      <c r="H533" s="2">
        <v>3611</v>
      </c>
      <c r="I533" t="str">
        <f>VLOOKUP(Tabela1[[#This Row],[CO_PAIS]],'[1]nome do paixs'!$A:$B,2,0)</f>
        <v>Tailândia</v>
      </c>
      <c r="J533" t="s">
        <v>11</v>
      </c>
    </row>
    <row r="534" spans="1:10">
      <c r="A534">
        <v>2023</v>
      </c>
      <c r="B534">
        <v>3</v>
      </c>
      <c r="C534">
        <v>8807</v>
      </c>
      <c r="D534">
        <v>791</v>
      </c>
      <c r="E534" t="s">
        <v>10</v>
      </c>
      <c r="F534">
        <v>3449904</v>
      </c>
      <c r="G534" s="1">
        <v>9</v>
      </c>
      <c r="H534" s="2">
        <v>12852</v>
      </c>
      <c r="I534" t="str">
        <f>VLOOKUP(Tabela1[[#This Row],[CO_PAIS]],'[1]nome do paixs'!$A:$B,2,0)</f>
        <v>Tcheca, República</v>
      </c>
      <c r="J534" t="s">
        <v>12</v>
      </c>
    </row>
    <row r="535" spans="1:10">
      <c r="A535">
        <v>2023</v>
      </c>
      <c r="B535">
        <v>3</v>
      </c>
      <c r="C535">
        <v>8807</v>
      </c>
      <c r="D535">
        <v>628</v>
      </c>
      <c r="E535" t="s">
        <v>10</v>
      </c>
      <c r="F535">
        <v>3449904</v>
      </c>
      <c r="G535" s="1">
        <v>1272</v>
      </c>
      <c r="H535" s="2">
        <v>1036494</v>
      </c>
      <c r="I535" t="str">
        <f>VLOOKUP(Tabela1[[#This Row],[CO_PAIS]],'[1]nome do paixs'!$A:$B,2,0)</f>
        <v>Reino Unido</v>
      </c>
      <c r="J535" t="s">
        <v>12</v>
      </c>
    </row>
    <row r="536" spans="1:10">
      <c r="A536">
        <v>2023</v>
      </c>
      <c r="B536">
        <v>3</v>
      </c>
      <c r="C536">
        <v>8807</v>
      </c>
      <c r="D536">
        <v>249</v>
      </c>
      <c r="E536" t="s">
        <v>10</v>
      </c>
      <c r="F536">
        <v>3454102</v>
      </c>
      <c r="G536" s="1">
        <v>16425</v>
      </c>
      <c r="H536" s="2">
        <v>5782298</v>
      </c>
      <c r="I536" t="str">
        <f>VLOOKUP(Tabela1[[#This Row],[CO_PAIS]],'[1]nome do paixs'!$A:$B,2,0)</f>
        <v>Estados Unidos</v>
      </c>
      <c r="J536" t="s">
        <v>11</v>
      </c>
    </row>
    <row r="537" spans="1:10">
      <c r="A537">
        <v>2023</v>
      </c>
      <c r="B537">
        <v>3</v>
      </c>
      <c r="C537">
        <v>8807</v>
      </c>
      <c r="D537">
        <v>23</v>
      </c>
      <c r="E537" t="s">
        <v>10</v>
      </c>
      <c r="F537">
        <v>3424402</v>
      </c>
      <c r="G537" s="1">
        <v>11</v>
      </c>
      <c r="H537" s="2">
        <v>38307</v>
      </c>
      <c r="I537" t="str">
        <f>VLOOKUP(Tabela1[[#This Row],[CO_PAIS]],'[1]nome do paixs'!$A:$B,2,0)</f>
        <v>Alemanha</v>
      </c>
      <c r="J537" t="s">
        <v>13</v>
      </c>
    </row>
    <row r="538" spans="1:10">
      <c r="A538">
        <v>2023</v>
      </c>
      <c r="B538">
        <v>3</v>
      </c>
      <c r="C538">
        <v>8807</v>
      </c>
      <c r="D538">
        <v>399</v>
      </c>
      <c r="E538" t="s">
        <v>10</v>
      </c>
      <c r="F538">
        <v>3454102</v>
      </c>
      <c r="G538" s="1">
        <v>824</v>
      </c>
      <c r="H538" s="2">
        <v>800339</v>
      </c>
      <c r="I538" t="str">
        <f>VLOOKUP(Tabela1[[#This Row],[CO_PAIS]],'[1]nome do paixs'!$A:$B,2,0)</f>
        <v>Japão</v>
      </c>
      <c r="J538" t="s">
        <v>11</v>
      </c>
    </row>
    <row r="539" spans="1:10">
      <c r="A539">
        <v>2023</v>
      </c>
      <c r="B539">
        <v>3</v>
      </c>
      <c r="C539">
        <v>8807</v>
      </c>
      <c r="D539">
        <v>493</v>
      </c>
      <c r="E539" t="s">
        <v>10</v>
      </c>
      <c r="F539">
        <v>3449904</v>
      </c>
      <c r="G539" s="1">
        <v>2434</v>
      </c>
      <c r="H539" s="2">
        <v>1206629</v>
      </c>
      <c r="I539" t="str">
        <f>VLOOKUP(Tabela1[[#This Row],[CO_PAIS]],'[1]nome do paixs'!$A:$B,2,0)</f>
        <v>México</v>
      </c>
      <c r="J539" t="s">
        <v>12</v>
      </c>
    </row>
    <row r="540" spans="1:10">
      <c r="A540">
        <v>2023</v>
      </c>
      <c r="B540">
        <v>3</v>
      </c>
      <c r="C540">
        <v>8807</v>
      </c>
      <c r="D540">
        <v>105</v>
      </c>
      <c r="E540" t="s">
        <v>10</v>
      </c>
      <c r="F540">
        <v>3454102</v>
      </c>
      <c r="G540" s="1">
        <v>3886</v>
      </c>
      <c r="H540" s="2">
        <v>4185051</v>
      </c>
      <c r="I540" t="str">
        <f>VLOOKUP(Tabela1[[#This Row],[CO_PAIS]],'[1]nome do paixs'!$A:$B,2,0)</f>
        <v>Brasil</v>
      </c>
      <c r="J540" t="s">
        <v>11</v>
      </c>
    </row>
    <row r="541" spans="1:10">
      <c r="A541">
        <v>2023</v>
      </c>
      <c r="B541">
        <v>3</v>
      </c>
      <c r="C541">
        <v>8807</v>
      </c>
      <c r="D541">
        <v>386</v>
      </c>
      <c r="E541" t="s">
        <v>10</v>
      </c>
      <c r="F541">
        <v>3449904</v>
      </c>
      <c r="G541" s="1">
        <v>23</v>
      </c>
      <c r="H541" s="2">
        <v>20863</v>
      </c>
      <c r="I541" t="str">
        <f>VLOOKUP(Tabela1[[#This Row],[CO_PAIS]],'[1]nome do paixs'!$A:$B,2,0)</f>
        <v>Itália</v>
      </c>
      <c r="J541" t="s">
        <v>12</v>
      </c>
    </row>
    <row r="542" spans="1:10">
      <c r="A542">
        <v>2023</v>
      </c>
      <c r="B542">
        <v>3</v>
      </c>
      <c r="C542">
        <v>8807</v>
      </c>
      <c r="D542">
        <v>791</v>
      </c>
      <c r="E542" t="s">
        <v>10</v>
      </c>
      <c r="F542">
        <v>3424402</v>
      </c>
      <c r="G542" s="1">
        <v>298</v>
      </c>
      <c r="H542" s="2">
        <v>237892</v>
      </c>
      <c r="I542" t="str">
        <f>VLOOKUP(Tabela1[[#This Row],[CO_PAIS]],'[1]nome do paixs'!$A:$B,2,0)</f>
        <v>Tcheca, República</v>
      </c>
      <c r="J542" t="s">
        <v>13</v>
      </c>
    </row>
    <row r="543" spans="1:10">
      <c r="A543">
        <v>2023</v>
      </c>
      <c r="B543">
        <v>3</v>
      </c>
      <c r="C543">
        <v>8807</v>
      </c>
      <c r="D543">
        <v>791</v>
      </c>
      <c r="E543" t="s">
        <v>10</v>
      </c>
      <c r="F543">
        <v>3454102</v>
      </c>
      <c r="G543" s="1">
        <v>1</v>
      </c>
      <c r="H543" s="2">
        <v>4874</v>
      </c>
      <c r="I543" t="str">
        <f>VLOOKUP(Tabela1[[#This Row],[CO_PAIS]],'[1]nome do paixs'!$A:$B,2,0)</f>
        <v>Tcheca, República</v>
      </c>
      <c r="J543" t="s">
        <v>11</v>
      </c>
    </row>
    <row r="544" spans="1:10">
      <c r="A544">
        <v>2023</v>
      </c>
      <c r="B544">
        <v>3</v>
      </c>
      <c r="C544">
        <v>8807</v>
      </c>
      <c r="D544">
        <v>607</v>
      </c>
      <c r="E544" t="s">
        <v>10</v>
      </c>
      <c r="F544">
        <v>3454102</v>
      </c>
      <c r="G544" s="1">
        <v>18846</v>
      </c>
      <c r="H544" s="2">
        <v>6384400</v>
      </c>
      <c r="I544" t="str">
        <f>VLOOKUP(Tabela1[[#This Row],[CO_PAIS]],'[1]nome do paixs'!$A:$B,2,0)</f>
        <v>Portugal</v>
      </c>
      <c r="J544" t="s">
        <v>11</v>
      </c>
    </row>
    <row r="545" spans="1:10">
      <c r="A545">
        <v>2023</v>
      </c>
      <c r="B545">
        <v>3</v>
      </c>
      <c r="C545">
        <v>8807</v>
      </c>
      <c r="D545">
        <v>87</v>
      </c>
      <c r="E545" t="s">
        <v>10</v>
      </c>
      <c r="F545">
        <v>3449904</v>
      </c>
      <c r="G545" s="1">
        <v>608</v>
      </c>
      <c r="H545" s="2">
        <v>512530</v>
      </c>
      <c r="I545" t="str">
        <f>VLOOKUP(Tabela1[[#This Row],[CO_PAIS]],'[1]nome do paixs'!$A:$B,2,0)</f>
        <v>Bélgica</v>
      </c>
      <c r="J545" t="s">
        <v>12</v>
      </c>
    </row>
    <row r="546" spans="1:10">
      <c r="A546">
        <v>2023</v>
      </c>
      <c r="B546">
        <v>3</v>
      </c>
      <c r="C546">
        <v>8803</v>
      </c>
      <c r="D546">
        <v>245</v>
      </c>
      <c r="E546" t="s">
        <v>10</v>
      </c>
      <c r="F546">
        <v>3449904</v>
      </c>
      <c r="G546" s="1">
        <v>64</v>
      </c>
      <c r="H546" s="2">
        <v>17500</v>
      </c>
      <c r="I546" t="str">
        <f>VLOOKUP(Tabela1[[#This Row],[CO_PAIS]],'[1]nome do paixs'!$A:$B,2,0)</f>
        <v>Espanha</v>
      </c>
      <c r="J546" t="s">
        <v>12</v>
      </c>
    </row>
    <row r="547" spans="1:10">
      <c r="A547">
        <v>2023</v>
      </c>
      <c r="B547">
        <v>3</v>
      </c>
      <c r="C547">
        <v>8807</v>
      </c>
      <c r="D547">
        <v>375</v>
      </c>
      <c r="E547" t="s">
        <v>10</v>
      </c>
      <c r="F547">
        <v>3454102</v>
      </c>
      <c r="G547" s="1">
        <v>66</v>
      </c>
      <c r="H547" s="2">
        <v>28881</v>
      </c>
      <c r="I547" t="str">
        <f>VLOOKUP(Tabela1[[#This Row],[CO_PAIS]],'[1]nome do paixs'!$A:$B,2,0)</f>
        <v>Irlanda</v>
      </c>
      <c r="J547" t="s">
        <v>11</v>
      </c>
    </row>
    <row r="548" spans="1:10">
      <c r="A548">
        <v>2023</v>
      </c>
      <c r="B548">
        <v>3</v>
      </c>
      <c r="C548">
        <v>8807</v>
      </c>
      <c r="D548">
        <v>361</v>
      </c>
      <c r="E548" t="s">
        <v>10</v>
      </c>
      <c r="F548">
        <v>3449904</v>
      </c>
      <c r="G548" s="1">
        <v>942</v>
      </c>
      <c r="H548" s="2">
        <v>423205</v>
      </c>
      <c r="I548" t="str">
        <f>VLOOKUP(Tabela1[[#This Row],[CO_PAIS]],'[1]nome do paixs'!$A:$B,2,0)</f>
        <v>Índia</v>
      </c>
      <c r="J548" t="s">
        <v>12</v>
      </c>
    </row>
    <row r="549" spans="1:10">
      <c r="A549">
        <v>2023</v>
      </c>
      <c r="B549">
        <v>3</v>
      </c>
      <c r="C549">
        <v>8807</v>
      </c>
      <c r="D549">
        <v>158</v>
      </c>
      <c r="E549" t="s">
        <v>10</v>
      </c>
      <c r="F549">
        <v>3449904</v>
      </c>
      <c r="G549" s="1">
        <v>34</v>
      </c>
      <c r="H549" s="2">
        <v>71679</v>
      </c>
      <c r="I549" t="str">
        <f>VLOOKUP(Tabela1[[#This Row],[CO_PAIS]],'[1]nome do paixs'!$A:$B,2,0)</f>
        <v>Chile</v>
      </c>
      <c r="J549" t="s">
        <v>12</v>
      </c>
    </row>
    <row r="550" spans="1:10">
      <c r="A550">
        <v>2023</v>
      </c>
      <c r="B550">
        <v>3</v>
      </c>
      <c r="C550">
        <v>8807</v>
      </c>
      <c r="D550">
        <v>386</v>
      </c>
      <c r="E550" t="s">
        <v>10</v>
      </c>
      <c r="F550">
        <v>3454102</v>
      </c>
      <c r="G550" s="1">
        <v>384</v>
      </c>
      <c r="H550" s="2">
        <v>1044009</v>
      </c>
      <c r="I550" t="str">
        <f>VLOOKUP(Tabela1[[#This Row],[CO_PAIS]],'[1]nome do paixs'!$A:$B,2,0)</f>
        <v>Itália</v>
      </c>
      <c r="J550" t="s">
        <v>11</v>
      </c>
    </row>
    <row r="551" spans="1:10">
      <c r="A551">
        <v>2023</v>
      </c>
      <c r="B551">
        <v>3</v>
      </c>
      <c r="C551">
        <v>8807</v>
      </c>
      <c r="D551">
        <v>676</v>
      </c>
      <c r="E551" t="s">
        <v>10</v>
      </c>
      <c r="F551">
        <v>3454102</v>
      </c>
      <c r="G551" s="1">
        <v>326</v>
      </c>
      <c r="H551" s="2">
        <v>37364</v>
      </c>
      <c r="I551" t="str">
        <f>VLOOKUP(Tabela1[[#This Row],[CO_PAIS]],'[1]nome do paixs'!$A:$B,2,0)</f>
        <v>Rússia</v>
      </c>
      <c r="J551" t="s">
        <v>11</v>
      </c>
    </row>
    <row r="552" spans="1:10">
      <c r="A552">
        <v>2023</v>
      </c>
      <c r="B552">
        <v>3</v>
      </c>
      <c r="C552">
        <v>8807</v>
      </c>
      <c r="D552">
        <v>827</v>
      </c>
      <c r="E552" t="s">
        <v>10</v>
      </c>
      <c r="F552">
        <v>3449904</v>
      </c>
      <c r="G552" s="1">
        <v>1</v>
      </c>
      <c r="H552" s="2">
        <v>1441</v>
      </c>
      <c r="I552" t="str">
        <f>VLOOKUP(Tabela1[[#This Row],[CO_PAIS]],'[1]nome do paixs'!$A:$B,2,0)</f>
        <v>Turquia</v>
      </c>
      <c r="J552" t="s">
        <v>12</v>
      </c>
    </row>
    <row r="553" spans="1:10">
      <c r="A553">
        <v>2023</v>
      </c>
      <c r="B553">
        <v>3</v>
      </c>
      <c r="C553">
        <v>8807</v>
      </c>
      <c r="D553">
        <v>275</v>
      </c>
      <c r="E553" t="s">
        <v>10</v>
      </c>
      <c r="F553">
        <v>3424402</v>
      </c>
      <c r="G553" s="1">
        <v>387</v>
      </c>
      <c r="H553" s="2">
        <v>405144</v>
      </c>
      <c r="I553" t="str">
        <f>VLOOKUP(Tabela1[[#This Row],[CO_PAIS]],'[1]nome do paixs'!$A:$B,2,0)</f>
        <v>França</v>
      </c>
      <c r="J553" t="s">
        <v>13</v>
      </c>
    </row>
    <row r="554" spans="1:10">
      <c r="A554">
        <v>2023</v>
      </c>
      <c r="B554">
        <v>3</v>
      </c>
      <c r="C554">
        <v>8807</v>
      </c>
      <c r="D554">
        <v>190</v>
      </c>
      <c r="E554" t="s">
        <v>10</v>
      </c>
      <c r="F554">
        <v>3424402</v>
      </c>
      <c r="G554" s="1">
        <v>13</v>
      </c>
      <c r="H554" s="2">
        <v>5358</v>
      </c>
      <c r="I554" t="str">
        <f>VLOOKUP(Tabela1[[#This Row],[CO_PAIS]],'[1]nome do paixs'!$A:$B,2,0)</f>
        <v>Coreia do Sul</v>
      </c>
      <c r="J554" t="s">
        <v>13</v>
      </c>
    </row>
    <row r="555" spans="1:10">
      <c r="A555">
        <v>2023</v>
      </c>
      <c r="B555">
        <v>3</v>
      </c>
      <c r="C555">
        <v>8807</v>
      </c>
      <c r="D555">
        <v>72</v>
      </c>
      <c r="E555" t="s">
        <v>10</v>
      </c>
      <c r="F555">
        <v>3454102</v>
      </c>
      <c r="G555" s="1">
        <v>11214</v>
      </c>
      <c r="H555" s="2">
        <v>1309837</v>
      </c>
      <c r="I555" t="str">
        <f>VLOOKUP(Tabela1[[#This Row],[CO_PAIS]],'[1]nome do paixs'!$A:$B,2,0)</f>
        <v>Áustria</v>
      </c>
      <c r="J555" t="s">
        <v>11</v>
      </c>
    </row>
    <row r="556" spans="1:10">
      <c r="A556">
        <v>2023</v>
      </c>
      <c r="B556">
        <v>3</v>
      </c>
      <c r="C556">
        <v>8807</v>
      </c>
      <c r="D556">
        <v>249</v>
      </c>
      <c r="E556" t="s">
        <v>10</v>
      </c>
      <c r="F556">
        <v>3424402</v>
      </c>
      <c r="G556" s="1">
        <v>274</v>
      </c>
      <c r="H556" s="2">
        <v>57664</v>
      </c>
      <c r="I556" t="str">
        <f>VLOOKUP(Tabela1[[#This Row],[CO_PAIS]],'[1]nome do paixs'!$A:$B,2,0)</f>
        <v>Estados Unidos</v>
      </c>
      <c r="J556" t="s">
        <v>13</v>
      </c>
    </row>
    <row r="557" spans="1:10">
      <c r="A557">
        <v>2023</v>
      </c>
      <c r="B557">
        <v>3</v>
      </c>
      <c r="C557">
        <v>8807</v>
      </c>
      <c r="D557">
        <v>275</v>
      </c>
      <c r="E557" t="s">
        <v>10</v>
      </c>
      <c r="F557">
        <v>3454102</v>
      </c>
      <c r="G557" s="1">
        <v>3321</v>
      </c>
      <c r="H557" s="2">
        <v>3637905</v>
      </c>
      <c r="I557" t="str">
        <f>VLOOKUP(Tabela1[[#This Row],[CO_PAIS]],'[1]nome do paixs'!$A:$B,2,0)</f>
        <v>França</v>
      </c>
      <c r="J557" t="s">
        <v>11</v>
      </c>
    </row>
    <row r="558" spans="1:10">
      <c r="A558">
        <v>2023</v>
      </c>
      <c r="B558">
        <v>3</v>
      </c>
      <c r="C558">
        <v>8807</v>
      </c>
      <c r="D558">
        <v>149</v>
      </c>
      <c r="E558" t="s">
        <v>10</v>
      </c>
      <c r="F558">
        <v>3449904</v>
      </c>
      <c r="G558" s="1">
        <v>25</v>
      </c>
      <c r="H558" s="2">
        <v>21075</v>
      </c>
      <c r="I558" t="str">
        <f>VLOOKUP(Tabela1[[#This Row],[CO_PAIS]],'[1]nome do paixs'!$A:$B,2,0)</f>
        <v>Canadá</v>
      </c>
      <c r="J558" t="s">
        <v>12</v>
      </c>
    </row>
    <row r="559" spans="1:10">
      <c r="A559">
        <v>2023</v>
      </c>
      <c r="B559">
        <v>3</v>
      </c>
      <c r="C559">
        <v>8807</v>
      </c>
      <c r="D559">
        <v>190</v>
      </c>
      <c r="E559" t="s">
        <v>10</v>
      </c>
      <c r="F559">
        <v>3454102</v>
      </c>
      <c r="G559" s="1">
        <v>1143</v>
      </c>
      <c r="H559" s="2">
        <v>1126567</v>
      </c>
      <c r="I559" t="str">
        <f>VLOOKUP(Tabela1[[#This Row],[CO_PAIS]],'[1]nome do paixs'!$A:$B,2,0)</f>
        <v>Coreia do Sul</v>
      </c>
      <c r="J559" t="s">
        <v>11</v>
      </c>
    </row>
    <row r="560" spans="1:10">
      <c r="A560">
        <v>2023</v>
      </c>
      <c r="B560">
        <v>3</v>
      </c>
      <c r="C560">
        <v>8807</v>
      </c>
      <c r="D560">
        <v>628</v>
      </c>
      <c r="E560" t="s">
        <v>10</v>
      </c>
      <c r="F560">
        <v>3454102</v>
      </c>
      <c r="G560" s="1">
        <v>150</v>
      </c>
      <c r="H560" s="2">
        <v>193759</v>
      </c>
      <c r="I560" t="str">
        <f>VLOOKUP(Tabela1[[#This Row],[CO_PAIS]],'[1]nome do paixs'!$A:$B,2,0)</f>
        <v>Reino Unido</v>
      </c>
      <c r="J560" t="s">
        <v>11</v>
      </c>
    </row>
    <row r="561" spans="1:10">
      <c r="A561">
        <v>2023</v>
      </c>
      <c r="B561">
        <v>3</v>
      </c>
      <c r="C561">
        <v>8807</v>
      </c>
      <c r="D561">
        <v>493</v>
      </c>
      <c r="E561" t="s">
        <v>10</v>
      </c>
      <c r="F561">
        <v>3454102</v>
      </c>
      <c r="G561" s="1">
        <v>12408</v>
      </c>
      <c r="H561" s="2">
        <v>5083787</v>
      </c>
      <c r="I561" t="str">
        <f>VLOOKUP(Tabela1[[#This Row],[CO_PAIS]],'[1]nome do paixs'!$A:$B,2,0)</f>
        <v>México</v>
      </c>
      <c r="J561" t="s">
        <v>11</v>
      </c>
    </row>
    <row r="562" spans="1:10">
      <c r="A562">
        <v>2023</v>
      </c>
      <c r="B562">
        <v>3</v>
      </c>
      <c r="C562">
        <v>8807</v>
      </c>
      <c r="D562">
        <v>676</v>
      </c>
      <c r="E562" t="s">
        <v>10</v>
      </c>
      <c r="F562">
        <v>3449904</v>
      </c>
      <c r="G562" s="1">
        <v>181</v>
      </c>
      <c r="H562" s="2">
        <v>71506</v>
      </c>
      <c r="I562" t="str">
        <f>VLOOKUP(Tabela1[[#This Row],[CO_PAIS]],'[1]nome do paixs'!$A:$B,2,0)</f>
        <v>Rússia</v>
      </c>
      <c r="J562" t="s">
        <v>12</v>
      </c>
    </row>
    <row r="563" spans="1:10">
      <c r="A563">
        <v>2023</v>
      </c>
      <c r="B563">
        <v>3</v>
      </c>
      <c r="C563">
        <v>8807</v>
      </c>
      <c r="D563">
        <v>245</v>
      </c>
      <c r="E563" t="s">
        <v>10</v>
      </c>
      <c r="F563">
        <v>3454102</v>
      </c>
      <c r="G563" s="1">
        <v>1958</v>
      </c>
      <c r="H563" s="2">
        <v>1738042</v>
      </c>
      <c r="I563" t="str">
        <f>VLOOKUP(Tabela1[[#This Row],[CO_PAIS]],'[1]nome do paixs'!$A:$B,2,0)</f>
        <v>Espanha</v>
      </c>
      <c r="J563" t="s">
        <v>11</v>
      </c>
    </row>
    <row r="564" spans="1:10">
      <c r="A564">
        <v>2023</v>
      </c>
      <c r="B564">
        <v>3</v>
      </c>
      <c r="C564">
        <v>8807</v>
      </c>
      <c r="D564">
        <v>245</v>
      </c>
      <c r="E564" t="s">
        <v>10</v>
      </c>
      <c r="F564">
        <v>3449904</v>
      </c>
      <c r="G564" s="1">
        <v>2406</v>
      </c>
      <c r="H564" s="2">
        <v>498053</v>
      </c>
      <c r="I564" t="str">
        <f>VLOOKUP(Tabela1[[#This Row],[CO_PAIS]],'[1]nome do paixs'!$A:$B,2,0)</f>
        <v>Espanha</v>
      </c>
      <c r="J564" t="s">
        <v>12</v>
      </c>
    </row>
    <row r="565" spans="1:10">
      <c r="A565">
        <v>2023</v>
      </c>
      <c r="B565">
        <v>3</v>
      </c>
      <c r="C565">
        <v>8807</v>
      </c>
      <c r="D565">
        <v>474</v>
      </c>
      <c r="E565" t="s">
        <v>10</v>
      </c>
      <c r="F565">
        <v>3454102</v>
      </c>
      <c r="G565" s="1">
        <v>138</v>
      </c>
      <c r="H565" s="2">
        <v>269730</v>
      </c>
      <c r="I565" t="str">
        <f>VLOOKUP(Tabela1[[#This Row],[CO_PAIS]],'[1]nome do paixs'!$A:$B,2,0)</f>
        <v>Marrocos</v>
      </c>
      <c r="J565" t="s">
        <v>11</v>
      </c>
    </row>
    <row r="566" spans="1:10">
      <c r="A566">
        <v>2023</v>
      </c>
      <c r="B566">
        <v>3</v>
      </c>
      <c r="C566">
        <v>8807</v>
      </c>
      <c r="D566">
        <v>63</v>
      </c>
      <c r="E566" t="s">
        <v>10</v>
      </c>
      <c r="F566">
        <v>3449904</v>
      </c>
      <c r="G566" s="1">
        <v>2</v>
      </c>
      <c r="H566" s="2">
        <v>13697</v>
      </c>
      <c r="I566" t="str">
        <f>VLOOKUP(Tabela1[[#This Row],[CO_PAIS]],'[1]nome do paixs'!$A:$B,2,0)</f>
        <v>Argentina</v>
      </c>
      <c r="J566" t="s">
        <v>12</v>
      </c>
    </row>
    <row r="567" spans="1:10">
      <c r="A567">
        <v>2023</v>
      </c>
      <c r="B567">
        <v>3</v>
      </c>
      <c r="C567">
        <v>8807</v>
      </c>
      <c r="D567">
        <v>105</v>
      </c>
      <c r="E567" t="s">
        <v>10</v>
      </c>
      <c r="F567">
        <v>3449904</v>
      </c>
      <c r="G567" s="1">
        <v>11329</v>
      </c>
      <c r="H567" s="2">
        <v>7248389</v>
      </c>
      <c r="I567" t="str">
        <f>VLOOKUP(Tabela1[[#This Row],[CO_PAIS]],'[1]nome do paixs'!$A:$B,2,0)</f>
        <v>Brasil</v>
      </c>
      <c r="J567" t="s">
        <v>12</v>
      </c>
    </row>
    <row r="568" spans="1:10">
      <c r="A568">
        <v>2023</v>
      </c>
      <c r="B568">
        <v>3</v>
      </c>
      <c r="C568">
        <v>8807</v>
      </c>
      <c r="D568">
        <v>190</v>
      </c>
      <c r="E568" t="s">
        <v>10</v>
      </c>
      <c r="F568">
        <v>3449904</v>
      </c>
      <c r="G568" s="1">
        <v>64</v>
      </c>
      <c r="H568" s="2">
        <v>25855</v>
      </c>
      <c r="I568" t="str">
        <f>VLOOKUP(Tabela1[[#This Row],[CO_PAIS]],'[1]nome do paixs'!$A:$B,2,0)</f>
        <v>Coreia do Sul</v>
      </c>
      <c r="J568" t="s">
        <v>12</v>
      </c>
    </row>
    <row r="569" spans="1:10">
      <c r="A569">
        <v>2023</v>
      </c>
      <c r="B569">
        <v>3</v>
      </c>
      <c r="C569">
        <v>8807</v>
      </c>
      <c r="D569">
        <v>245</v>
      </c>
      <c r="E569" t="s">
        <v>10</v>
      </c>
      <c r="F569">
        <v>3424402</v>
      </c>
      <c r="G569" s="1">
        <v>52</v>
      </c>
      <c r="H569" s="2">
        <v>12126</v>
      </c>
      <c r="I569" t="str">
        <f>VLOOKUP(Tabela1[[#This Row],[CO_PAIS]],'[1]nome do paixs'!$A:$B,2,0)</f>
        <v>Espanha</v>
      </c>
      <c r="J569" t="s">
        <v>13</v>
      </c>
    </row>
    <row r="570" spans="1:10">
      <c r="A570">
        <v>2023</v>
      </c>
      <c r="B570">
        <v>3</v>
      </c>
      <c r="C570">
        <v>8807</v>
      </c>
      <c r="D570">
        <v>72</v>
      </c>
      <c r="E570" t="s">
        <v>10</v>
      </c>
      <c r="F570">
        <v>3449904</v>
      </c>
      <c r="G570" s="1">
        <v>43</v>
      </c>
      <c r="H570" s="2">
        <v>4838</v>
      </c>
      <c r="I570" t="str">
        <f>VLOOKUP(Tabela1[[#This Row],[CO_PAIS]],'[1]nome do paixs'!$A:$B,2,0)</f>
        <v>Áustria</v>
      </c>
      <c r="J570" t="s">
        <v>12</v>
      </c>
    </row>
    <row r="571" spans="1:10">
      <c r="A571">
        <v>2023</v>
      </c>
      <c r="B571">
        <v>3</v>
      </c>
      <c r="C571">
        <v>8807</v>
      </c>
      <c r="D571">
        <v>23</v>
      </c>
      <c r="E571" t="s">
        <v>10</v>
      </c>
      <c r="F571">
        <v>3449904</v>
      </c>
      <c r="G571" s="1">
        <v>255</v>
      </c>
      <c r="H571" s="2">
        <v>263109</v>
      </c>
      <c r="I571" t="str">
        <f>VLOOKUP(Tabela1[[#This Row],[CO_PAIS]],'[1]nome do paixs'!$A:$B,2,0)</f>
        <v>Alemanha</v>
      </c>
      <c r="J571" t="s">
        <v>12</v>
      </c>
    </row>
    <row r="572" spans="1:10">
      <c r="A572">
        <v>2023</v>
      </c>
      <c r="B572">
        <v>3</v>
      </c>
      <c r="C572">
        <v>8807</v>
      </c>
      <c r="D572">
        <v>776</v>
      </c>
      <c r="E572" t="s">
        <v>10</v>
      </c>
      <c r="F572">
        <v>3449904</v>
      </c>
      <c r="G572" s="1">
        <v>3</v>
      </c>
      <c r="H572" s="2">
        <v>5390</v>
      </c>
      <c r="I572" t="str">
        <f>VLOOKUP(Tabela1[[#This Row],[CO_PAIS]],'[1]nome do paixs'!$A:$B,2,0)</f>
        <v>Tailândia</v>
      </c>
      <c r="J572" t="s">
        <v>12</v>
      </c>
    </row>
    <row r="573" spans="1:10">
      <c r="A573">
        <v>2023</v>
      </c>
      <c r="B573">
        <v>3</v>
      </c>
      <c r="C573">
        <v>8807</v>
      </c>
      <c r="D573">
        <v>249</v>
      </c>
      <c r="E573" t="s">
        <v>10</v>
      </c>
      <c r="F573">
        <v>3449904</v>
      </c>
      <c r="G573" s="1">
        <v>6476</v>
      </c>
      <c r="H573" s="2">
        <v>4945883</v>
      </c>
      <c r="I573" t="str">
        <f>VLOOKUP(Tabela1[[#This Row],[CO_PAIS]],'[1]nome do paixs'!$A:$B,2,0)</f>
        <v>Estados Unidos</v>
      </c>
      <c r="J573" t="s">
        <v>12</v>
      </c>
    </row>
    <row r="574" spans="1:10">
      <c r="A574">
        <v>2023</v>
      </c>
      <c r="B574">
        <v>3</v>
      </c>
      <c r="C574">
        <v>8807</v>
      </c>
      <c r="D574">
        <v>741</v>
      </c>
      <c r="E574" t="s">
        <v>10</v>
      </c>
      <c r="F574">
        <v>3449904</v>
      </c>
      <c r="G574" s="1">
        <v>81</v>
      </c>
      <c r="H574" s="2">
        <v>98653</v>
      </c>
      <c r="I574" t="str">
        <f>VLOOKUP(Tabela1[[#This Row],[CO_PAIS]],'[1]nome do paixs'!$A:$B,2,0)</f>
        <v>Singapura</v>
      </c>
      <c r="J574" t="s">
        <v>12</v>
      </c>
    </row>
    <row r="575" spans="1:10">
      <c r="A575">
        <v>2023</v>
      </c>
      <c r="B575">
        <v>3</v>
      </c>
      <c r="C575">
        <v>8807</v>
      </c>
      <c r="D575">
        <v>23</v>
      </c>
      <c r="E575" t="s">
        <v>10</v>
      </c>
      <c r="F575">
        <v>3454102</v>
      </c>
      <c r="G575" s="1">
        <v>6061</v>
      </c>
      <c r="H575" s="2">
        <v>569897</v>
      </c>
      <c r="I575" t="str">
        <f>VLOOKUP(Tabela1[[#This Row],[CO_PAIS]],'[1]nome do paixs'!$A:$B,2,0)</f>
        <v>Alemanha</v>
      </c>
      <c r="J575" t="s">
        <v>11</v>
      </c>
    </row>
    <row r="576" spans="1:10">
      <c r="A576">
        <v>2022</v>
      </c>
      <c r="B576">
        <v>3</v>
      </c>
      <c r="C576">
        <v>8803</v>
      </c>
      <c r="D576">
        <v>628</v>
      </c>
      <c r="E576" t="s">
        <v>10</v>
      </c>
      <c r="F576">
        <v>3449904</v>
      </c>
      <c r="G576" s="1">
        <v>570</v>
      </c>
      <c r="H576" s="2">
        <v>348577</v>
      </c>
      <c r="I576" t="str">
        <f>VLOOKUP(Tabela1[[#This Row],[CO_PAIS]],'[1]nome do paixs'!$A:$B,2,0)</f>
        <v>Reino Unido</v>
      </c>
      <c r="J576" t="s">
        <v>12</v>
      </c>
    </row>
    <row r="577" spans="1:10">
      <c r="A577">
        <v>2022</v>
      </c>
      <c r="B577">
        <v>3</v>
      </c>
      <c r="C577">
        <v>8803</v>
      </c>
      <c r="D577">
        <v>245</v>
      </c>
      <c r="E577" t="s">
        <v>10</v>
      </c>
      <c r="F577">
        <v>3454102</v>
      </c>
      <c r="G577" s="1">
        <v>2038</v>
      </c>
      <c r="H577" s="2">
        <v>1943375</v>
      </c>
      <c r="I577" t="str">
        <f>VLOOKUP(Tabela1[[#This Row],[CO_PAIS]],'[1]nome do paixs'!$A:$B,2,0)</f>
        <v>Espanha</v>
      </c>
      <c r="J577" t="s">
        <v>11</v>
      </c>
    </row>
    <row r="578" spans="1:10">
      <c r="A578">
        <v>2022</v>
      </c>
      <c r="B578">
        <v>3</v>
      </c>
      <c r="C578">
        <v>8803</v>
      </c>
      <c r="D578">
        <v>249</v>
      </c>
      <c r="E578" t="s">
        <v>10</v>
      </c>
      <c r="F578">
        <v>3454102</v>
      </c>
      <c r="G578" s="1">
        <v>10802</v>
      </c>
      <c r="H578" s="2">
        <v>5571285</v>
      </c>
      <c r="I578" t="str">
        <f>VLOOKUP(Tabela1[[#This Row],[CO_PAIS]],'[1]nome do paixs'!$A:$B,2,0)</f>
        <v>Estados Unidos</v>
      </c>
      <c r="J578" t="s">
        <v>11</v>
      </c>
    </row>
    <row r="579" spans="1:10">
      <c r="A579">
        <v>2022</v>
      </c>
      <c r="B579">
        <v>3</v>
      </c>
      <c r="C579">
        <v>8803</v>
      </c>
      <c r="D579">
        <v>399</v>
      </c>
      <c r="E579" t="s">
        <v>10</v>
      </c>
      <c r="F579">
        <v>3454102</v>
      </c>
      <c r="G579" s="1">
        <v>3100</v>
      </c>
      <c r="H579" s="2">
        <v>2332979</v>
      </c>
      <c r="I579" t="str">
        <f>VLOOKUP(Tabela1[[#This Row],[CO_PAIS]],'[1]nome do paixs'!$A:$B,2,0)</f>
        <v>Japão</v>
      </c>
      <c r="J579" t="s">
        <v>11</v>
      </c>
    </row>
    <row r="580" spans="1:10">
      <c r="A580">
        <v>2022</v>
      </c>
      <c r="B580">
        <v>3</v>
      </c>
      <c r="C580">
        <v>8803</v>
      </c>
      <c r="D580">
        <v>160</v>
      </c>
      <c r="E580" t="s">
        <v>10</v>
      </c>
      <c r="F580">
        <v>3449904</v>
      </c>
      <c r="G580" s="1">
        <v>6</v>
      </c>
      <c r="H580" s="2">
        <v>4405</v>
      </c>
      <c r="I580" t="str">
        <f>VLOOKUP(Tabela1[[#This Row],[CO_PAIS]],'[1]nome do paixs'!$A:$B,2,0)</f>
        <v>China</v>
      </c>
      <c r="J580" t="s">
        <v>12</v>
      </c>
    </row>
    <row r="581" spans="1:10">
      <c r="A581">
        <v>2022</v>
      </c>
      <c r="B581">
        <v>3</v>
      </c>
      <c r="C581">
        <v>8803</v>
      </c>
      <c r="D581">
        <v>275</v>
      </c>
      <c r="E581" t="s">
        <v>10</v>
      </c>
      <c r="F581">
        <v>3454102</v>
      </c>
      <c r="G581" s="1">
        <v>1197</v>
      </c>
      <c r="H581" s="2">
        <v>1833559</v>
      </c>
      <c r="I581" t="str">
        <f>VLOOKUP(Tabela1[[#This Row],[CO_PAIS]],'[1]nome do paixs'!$A:$B,2,0)</f>
        <v>França</v>
      </c>
      <c r="J581" t="s">
        <v>11</v>
      </c>
    </row>
    <row r="582" spans="1:10">
      <c r="A582">
        <v>2022</v>
      </c>
      <c r="B582">
        <v>3</v>
      </c>
      <c r="C582">
        <v>8803</v>
      </c>
      <c r="D582">
        <v>87</v>
      </c>
      <c r="E582" t="s">
        <v>10</v>
      </c>
      <c r="F582">
        <v>3449904</v>
      </c>
      <c r="G582" s="1">
        <v>1326</v>
      </c>
      <c r="H582" s="2">
        <v>997981</v>
      </c>
      <c r="I582" t="str">
        <f>VLOOKUP(Tabela1[[#This Row],[CO_PAIS]],'[1]nome do paixs'!$A:$B,2,0)</f>
        <v>Bélgica</v>
      </c>
      <c r="J582" t="s">
        <v>12</v>
      </c>
    </row>
    <row r="583" spans="1:10">
      <c r="A583">
        <v>2022</v>
      </c>
      <c r="B583">
        <v>3</v>
      </c>
      <c r="C583">
        <v>8803</v>
      </c>
      <c r="D583">
        <v>455</v>
      </c>
      <c r="E583" t="s">
        <v>10</v>
      </c>
      <c r="F583">
        <v>3454102</v>
      </c>
      <c r="G583" s="1">
        <v>1681</v>
      </c>
      <c r="H583" s="2">
        <v>212137</v>
      </c>
      <c r="I583" t="str">
        <f>VLOOKUP(Tabela1[[#This Row],[CO_PAIS]],'[1]nome do paixs'!$A:$B,2,0)</f>
        <v>Malásia</v>
      </c>
      <c r="J583" t="s">
        <v>11</v>
      </c>
    </row>
    <row r="584" spans="1:10">
      <c r="A584">
        <v>2022</v>
      </c>
      <c r="B584">
        <v>3</v>
      </c>
      <c r="C584">
        <v>8803</v>
      </c>
      <c r="D584">
        <v>275</v>
      </c>
      <c r="E584" t="s">
        <v>10</v>
      </c>
      <c r="F584">
        <v>3449904</v>
      </c>
      <c r="G584" s="1">
        <v>110</v>
      </c>
      <c r="H584" s="2">
        <v>126764</v>
      </c>
      <c r="I584" t="str">
        <f>VLOOKUP(Tabela1[[#This Row],[CO_PAIS]],'[1]nome do paixs'!$A:$B,2,0)</f>
        <v>França</v>
      </c>
      <c r="J584" t="s">
        <v>12</v>
      </c>
    </row>
    <row r="585" spans="1:10">
      <c r="A585">
        <v>2022</v>
      </c>
      <c r="B585">
        <v>3</v>
      </c>
      <c r="C585">
        <v>8803</v>
      </c>
      <c r="D585">
        <v>245</v>
      </c>
      <c r="E585" t="s">
        <v>10</v>
      </c>
      <c r="F585">
        <v>3424402</v>
      </c>
      <c r="G585" s="1">
        <v>130</v>
      </c>
      <c r="H585" s="2">
        <v>70249</v>
      </c>
      <c r="I585" t="str">
        <f>VLOOKUP(Tabela1[[#This Row],[CO_PAIS]],'[1]nome do paixs'!$A:$B,2,0)</f>
        <v>Espanha</v>
      </c>
      <c r="J585" t="s">
        <v>13</v>
      </c>
    </row>
    <row r="586" spans="1:10">
      <c r="A586">
        <v>2022</v>
      </c>
      <c r="B586">
        <v>3</v>
      </c>
      <c r="C586">
        <v>8803</v>
      </c>
      <c r="D586">
        <v>23</v>
      </c>
      <c r="E586" t="s">
        <v>10</v>
      </c>
      <c r="F586">
        <v>3449904</v>
      </c>
      <c r="G586" s="1">
        <v>21</v>
      </c>
      <c r="H586" s="2">
        <v>46669</v>
      </c>
      <c r="I586" t="str">
        <f>VLOOKUP(Tabela1[[#This Row],[CO_PAIS]],'[1]nome do paixs'!$A:$B,2,0)</f>
        <v>Alemanha</v>
      </c>
      <c r="J586" t="s">
        <v>12</v>
      </c>
    </row>
    <row r="587" spans="1:10">
      <c r="A587">
        <v>2022</v>
      </c>
      <c r="B587">
        <v>3</v>
      </c>
      <c r="C587">
        <v>8803</v>
      </c>
      <c r="D587">
        <v>474</v>
      </c>
      <c r="E587" t="s">
        <v>10</v>
      </c>
      <c r="F587">
        <v>3449904</v>
      </c>
      <c r="G587" s="1">
        <v>1</v>
      </c>
      <c r="H587" s="2">
        <v>8044</v>
      </c>
      <c r="I587" t="str">
        <f>VLOOKUP(Tabela1[[#This Row],[CO_PAIS]],'[1]nome do paixs'!$A:$B,2,0)</f>
        <v>Marrocos</v>
      </c>
      <c r="J587" t="s">
        <v>12</v>
      </c>
    </row>
    <row r="588" spans="1:10">
      <c r="A588">
        <v>2022</v>
      </c>
      <c r="B588">
        <v>3</v>
      </c>
      <c r="C588">
        <v>8803</v>
      </c>
      <c r="D588">
        <v>791</v>
      </c>
      <c r="E588" t="s">
        <v>10</v>
      </c>
      <c r="F588">
        <v>3449904</v>
      </c>
      <c r="G588" s="1">
        <v>1</v>
      </c>
      <c r="H588" s="2">
        <v>2667</v>
      </c>
      <c r="I588" t="str">
        <f>VLOOKUP(Tabela1[[#This Row],[CO_PAIS]],'[1]nome do paixs'!$A:$B,2,0)</f>
        <v>Tcheca, República</v>
      </c>
      <c r="J588" t="s">
        <v>12</v>
      </c>
    </row>
    <row r="589" spans="1:10">
      <c r="A589">
        <v>2022</v>
      </c>
      <c r="B589">
        <v>3</v>
      </c>
      <c r="C589">
        <v>8803</v>
      </c>
      <c r="D589">
        <v>361</v>
      </c>
      <c r="E589" t="s">
        <v>10</v>
      </c>
      <c r="F589">
        <v>3449904</v>
      </c>
      <c r="G589" s="1">
        <v>630</v>
      </c>
      <c r="H589" s="2">
        <v>283559</v>
      </c>
      <c r="I589" t="str">
        <f>VLOOKUP(Tabela1[[#This Row],[CO_PAIS]],'[1]nome do paixs'!$A:$B,2,0)</f>
        <v>Índia</v>
      </c>
      <c r="J589" t="s">
        <v>12</v>
      </c>
    </row>
    <row r="590" spans="1:10">
      <c r="A590">
        <v>2022</v>
      </c>
      <c r="B590">
        <v>3</v>
      </c>
      <c r="C590">
        <v>8803</v>
      </c>
      <c r="D590">
        <v>105</v>
      </c>
      <c r="E590" t="s">
        <v>10</v>
      </c>
      <c r="F590">
        <v>3454102</v>
      </c>
      <c r="G590" s="1">
        <v>5539</v>
      </c>
      <c r="H590" s="2">
        <v>3666683</v>
      </c>
      <c r="I590" t="str">
        <f>VLOOKUP(Tabela1[[#This Row],[CO_PAIS]],'[1]nome do paixs'!$A:$B,2,0)</f>
        <v>Brasil</v>
      </c>
      <c r="J590" t="s">
        <v>11</v>
      </c>
    </row>
    <row r="591" spans="1:10">
      <c r="A591">
        <v>2022</v>
      </c>
      <c r="B591">
        <v>3</v>
      </c>
      <c r="C591">
        <v>8803</v>
      </c>
      <c r="D591">
        <v>375</v>
      </c>
      <c r="E591" t="s">
        <v>10</v>
      </c>
      <c r="F591">
        <v>3454102</v>
      </c>
      <c r="G591" s="1">
        <v>259</v>
      </c>
      <c r="H591" s="2">
        <v>134850</v>
      </c>
      <c r="I591" t="str">
        <f>VLOOKUP(Tabela1[[#This Row],[CO_PAIS]],'[1]nome do paixs'!$A:$B,2,0)</f>
        <v>Irlanda</v>
      </c>
      <c r="J591" t="s">
        <v>11</v>
      </c>
    </row>
    <row r="592" spans="1:10">
      <c r="A592">
        <v>2022</v>
      </c>
      <c r="B592">
        <v>3</v>
      </c>
      <c r="C592">
        <v>8803</v>
      </c>
      <c r="D592">
        <v>628</v>
      </c>
      <c r="E592" t="s">
        <v>10</v>
      </c>
      <c r="F592">
        <v>3454102</v>
      </c>
      <c r="G592" s="1">
        <v>137</v>
      </c>
      <c r="H592" s="2">
        <v>94112</v>
      </c>
      <c r="I592" t="str">
        <f>VLOOKUP(Tabela1[[#This Row],[CO_PAIS]],'[1]nome do paixs'!$A:$B,2,0)</f>
        <v>Reino Unido</v>
      </c>
      <c r="J592" t="s">
        <v>11</v>
      </c>
    </row>
    <row r="593" spans="1:10">
      <c r="A593">
        <v>2022</v>
      </c>
      <c r="B593">
        <v>3</v>
      </c>
      <c r="C593">
        <v>8803</v>
      </c>
      <c r="D593">
        <v>190</v>
      </c>
      <c r="E593" t="s">
        <v>10</v>
      </c>
      <c r="F593">
        <v>3454102</v>
      </c>
      <c r="G593" s="1">
        <v>2289</v>
      </c>
      <c r="H593" s="2">
        <v>2226062</v>
      </c>
      <c r="I593" t="str">
        <f>VLOOKUP(Tabela1[[#This Row],[CO_PAIS]],'[1]nome do paixs'!$A:$B,2,0)</f>
        <v>Coreia do Sul</v>
      </c>
      <c r="J593" t="s">
        <v>11</v>
      </c>
    </row>
    <row r="594" spans="1:10">
      <c r="A594">
        <v>2022</v>
      </c>
      <c r="B594">
        <v>3</v>
      </c>
      <c r="C594">
        <v>8803</v>
      </c>
      <c r="D594">
        <v>607</v>
      </c>
      <c r="E594" t="s">
        <v>10</v>
      </c>
      <c r="F594">
        <v>3449904</v>
      </c>
      <c r="G594" s="1">
        <v>20</v>
      </c>
      <c r="H594" s="2">
        <v>7188</v>
      </c>
      <c r="I594" t="str">
        <f>VLOOKUP(Tabela1[[#This Row],[CO_PAIS]],'[1]nome do paixs'!$A:$B,2,0)</f>
        <v>Portugal</v>
      </c>
      <c r="J594" t="s">
        <v>12</v>
      </c>
    </row>
    <row r="595" spans="1:10">
      <c r="A595">
        <v>2022</v>
      </c>
      <c r="B595">
        <v>3</v>
      </c>
      <c r="C595">
        <v>8803</v>
      </c>
      <c r="D595">
        <v>23</v>
      </c>
      <c r="E595" t="s">
        <v>10</v>
      </c>
      <c r="F595">
        <v>3454102</v>
      </c>
      <c r="G595" s="1">
        <v>3626</v>
      </c>
      <c r="H595" s="2">
        <v>1522509</v>
      </c>
      <c r="I595" t="str">
        <f>VLOOKUP(Tabela1[[#This Row],[CO_PAIS]],'[1]nome do paixs'!$A:$B,2,0)</f>
        <v>Alemanha</v>
      </c>
      <c r="J595" t="s">
        <v>11</v>
      </c>
    </row>
    <row r="596" spans="1:10">
      <c r="A596">
        <v>2022</v>
      </c>
      <c r="B596">
        <v>3</v>
      </c>
      <c r="C596">
        <v>8803</v>
      </c>
      <c r="D596">
        <v>72</v>
      </c>
      <c r="E596" t="s">
        <v>10</v>
      </c>
      <c r="F596">
        <v>3449904</v>
      </c>
      <c r="G596" s="1">
        <v>46</v>
      </c>
      <c r="H596" s="2">
        <v>8398</v>
      </c>
      <c r="I596" t="str">
        <f>VLOOKUP(Tabela1[[#This Row],[CO_PAIS]],'[1]nome do paixs'!$A:$B,2,0)</f>
        <v>Áustria</v>
      </c>
      <c r="J596" t="s">
        <v>12</v>
      </c>
    </row>
    <row r="597" spans="1:10">
      <c r="A597">
        <v>2022</v>
      </c>
      <c r="B597">
        <v>3</v>
      </c>
      <c r="C597">
        <v>8803</v>
      </c>
      <c r="D597">
        <v>375</v>
      </c>
      <c r="E597" t="s">
        <v>10</v>
      </c>
      <c r="F597">
        <v>3449904</v>
      </c>
      <c r="G597" s="1">
        <v>15</v>
      </c>
      <c r="H597" s="2">
        <v>3626</v>
      </c>
      <c r="I597" t="str">
        <f>VLOOKUP(Tabela1[[#This Row],[CO_PAIS]],'[1]nome do paixs'!$A:$B,2,0)</f>
        <v>Irlanda</v>
      </c>
      <c r="J597" t="s">
        <v>12</v>
      </c>
    </row>
    <row r="598" spans="1:10">
      <c r="A598">
        <v>2022</v>
      </c>
      <c r="B598">
        <v>3</v>
      </c>
      <c r="C598">
        <v>8803</v>
      </c>
      <c r="D598">
        <v>87</v>
      </c>
      <c r="E598" t="s">
        <v>10</v>
      </c>
      <c r="F598">
        <v>3454102</v>
      </c>
      <c r="G598" s="1">
        <v>1704</v>
      </c>
      <c r="H598" s="2">
        <v>1593364</v>
      </c>
      <c r="I598" t="str">
        <f>VLOOKUP(Tabela1[[#This Row],[CO_PAIS]],'[1]nome do paixs'!$A:$B,2,0)</f>
        <v>Bélgica</v>
      </c>
      <c r="J598" t="s">
        <v>11</v>
      </c>
    </row>
    <row r="599" spans="1:10">
      <c r="A599">
        <v>2022</v>
      </c>
      <c r="B599">
        <v>3</v>
      </c>
      <c r="C599">
        <v>8803</v>
      </c>
      <c r="D599">
        <v>249</v>
      </c>
      <c r="E599" t="s">
        <v>10</v>
      </c>
      <c r="F599">
        <v>3449904</v>
      </c>
      <c r="G599" s="1">
        <v>4236</v>
      </c>
      <c r="H599" s="2">
        <v>2687224</v>
      </c>
      <c r="I599" t="str">
        <f>VLOOKUP(Tabela1[[#This Row],[CO_PAIS]],'[1]nome do paixs'!$A:$B,2,0)</f>
        <v>Estados Unidos</v>
      </c>
      <c r="J599" t="s">
        <v>12</v>
      </c>
    </row>
    <row r="600" spans="1:10">
      <c r="A600">
        <v>2022</v>
      </c>
      <c r="B600">
        <v>3</v>
      </c>
      <c r="C600">
        <v>8803</v>
      </c>
      <c r="D600">
        <v>791</v>
      </c>
      <c r="E600" t="s">
        <v>10</v>
      </c>
      <c r="F600">
        <v>3424402</v>
      </c>
      <c r="G600" s="1">
        <v>230</v>
      </c>
      <c r="H600" s="2">
        <v>200221</v>
      </c>
      <c r="I600" t="str">
        <f>VLOOKUP(Tabela1[[#This Row],[CO_PAIS]],'[1]nome do paixs'!$A:$B,2,0)</f>
        <v>Tcheca, República</v>
      </c>
      <c r="J600" t="s">
        <v>13</v>
      </c>
    </row>
    <row r="601" spans="1:10">
      <c r="A601">
        <v>2022</v>
      </c>
      <c r="B601">
        <v>3</v>
      </c>
      <c r="C601">
        <v>8803</v>
      </c>
      <c r="D601">
        <v>275</v>
      </c>
      <c r="E601" t="s">
        <v>10</v>
      </c>
      <c r="F601">
        <v>3424402</v>
      </c>
      <c r="G601" s="1">
        <v>382</v>
      </c>
      <c r="H601" s="2">
        <v>492432</v>
      </c>
      <c r="I601" t="str">
        <f>VLOOKUP(Tabela1[[#This Row],[CO_PAIS]],'[1]nome do paixs'!$A:$B,2,0)</f>
        <v>França</v>
      </c>
      <c r="J601" t="s">
        <v>13</v>
      </c>
    </row>
    <row r="602" spans="1:10">
      <c r="A602">
        <v>2022</v>
      </c>
      <c r="B602">
        <v>3</v>
      </c>
      <c r="C602">
        <v>8803</v>
      </c>
      <c r="D602">
        <v>827</v>
      </c>
      <c r="E602" t="s">
        <v>10</v>
      </c>
      <c r="F602">
        <v>3449904</v>
      </c>
      <c r="G602" s="1">
        <v>0</v>
      </c>
      <c r="H602" s="2">
        <v>1152</v>
      </c>
      <c r="I602" t="str">
        <f>VLOOKUP(Tabela1[[#This Row],[CO_PAIS]],'[1]nome do paixs'!$A:$B,2,0)</f>
        <v>Turquia</v>
      </c>
      <c r="J602" t="s">
        <v>12</v>
      </c>
    </row>
    <row r="603" spans="1:10">
      <c r="A603">
        <v>2022</v>
      </c>
      <c r="B603">
        <v>3</v>
      </c>
      <c r="C603">
        <v>8803</v>
      </c>
      <c r="D603">
        <v>741</v>
      </c>
      <c r="E603" t="s">
        <v>10</v>
      </c>
      <c r="F603">
        <v>3449904</v>
      </c>
      <c r="G603" s="1">
        <v>306</v>
      </c>
      <c r="H603" s="2">
        <v>277219</v>
      </c>
      <c r="I603" t="str">
        <f>VLOOKUP(Tabela1[[#This Row],[CO_PAIS]],'[1]nome do paixs'!$A:$B,2,0)</f>
        <v>Singapura</v>
      </c>
      <c r="J603" t="s">
        <v>12</v>
      </c>
    </row>
    <row r="604" spans="1:10">
      <c r="A604">
        <v>2022</v>
      </c>
      <c r="B604">
        <v>3</v>
      </c>
      <c r="C604">
        <v>8803</v>
      </c>
      <c r="D604">
        <v>386</v>
      </c>
      <c r="E604" t="s">
        <v>10</v>
      </c>
      <c r="F604">
        <v>3454102</v>
      </c>
      <c r="G604" s="1">
        <v>1344</v>
      </c>
      <c r="H604" s="2">
        <v>3531859</v>
      </c>
      <c r="I604" t="str">
        <f>VLOOKUP(Tabela1[[#This Row],[CO_PAIS]],'[1]nome do paixs'!$A:$B,2,0)</f>
        <v>Itália</v>
      </c>
      <c r="J604" t="s">
        <v>11</v>
      </c>
    </row>
    <row r="605" spans="1:10">
      <c r="A605">
        <v>2022</v>
      </c>
      <c r="B605">
        <v>3</v>
      </c>
      <c r="C605">
        <v>8803</v>
      </c>
      <c r="D605">
        <v>603</v>
      </c>
      <c r="E605" t="s">
        <v>10</v>
      </c>
      <c r="F605">
        <v>3449904</v>
      </c>
      <c r="G605" s="1">
        <v>28</v>
      </c>
      <c r="H605" s="2">
        <v>6659</v>
      </c>
      <c r="I605" t="str">
        <f>VLOOKUP(Tabela1[[#This Row],[CO_PAIS]],'[1]nome do paixs'!$A:$B,2,0)</f>
        <v>Polônia</v>
      </c>
      <c r="J605" t="s">
        <v>12</v>
      </c>
    </row>
    <row r="606" spans="1:10">
      <c r="A606">
        <v>2022</v>
      </c>
      <c r="B606">
        <v>3</v>
      </c>
      <c r="C606">
        <v>8803</v>
      </c>
      <c r="D606">
        <v>105</v>
      </c>
      <c r="E606" t="s">
        <v>10</v>
      </c>
      <c r="F606">
        <v>3449904</v>
      </c>
      <c r="G606" s="1">
        <v>12999</v>
      </c>
      <c r="H606" s="2">
        <v>8832814</v>
      </c>
      <c r="I606" t="str">
        <f>VLOOKUP(Tabela1[[#This Row],[CO_PAIS]],'[1]nome do paixs'!$A:$B,2,0)</f>
        <v>Brasil</v>
      </c>
      <c r="J606" t="s">
        <v>12</v>
      </c>
    </row>
    <row r="607" spans="1:10">
      <c r="A607">
        <v>2022</v>
      </c>
      <c r="B607">
        <v>3</v>
      </c>
      <c r="C607">
        <v>8803</v>
      </c>
      <c r="D607">
        <v>676</v>
      </c>
      <c r="E607" t="s">
        <v>10</v>
      </c>
      <c r="F607">
        <v>3449904</v>
      </c>
      <c r="G607" s="1">
        <v>3</v>
      </c>
      <c r="H607" s="2">
        <v>1393</v>
      </c>
      <c r="I607" t="str">
        <f>VLOOKUP(Tabela1[[#This Row],[CO_PAIS]],'[1]nome do paixs'!$A:$B,2,0)</f>
        <v>Rússia</v>
      </c>
      <c r="J607" t="s">
        <v>12</v>
      </c>
    </row>
    <row r="608" spans="1:10">
      <c r="A608">
        <v>2022</v>
      </c>
      <c r="B608">
        <v>3</v>
      </c>
      <c r="C608">
        <v>8803</v>
      </c>
      <c r="D608">
        <v>383</v>
      </c>
      <c r="E608" t="s">
        <v>10</v>
      </c>
      <c r="F608">
        <v>3449904</v>
      </c>
      <c r="G608" s="1">
        <v>0</v>
      </c>
      <c r="H608" s="2">
        <v>2718</v>
      </c>
      <c r="I608" t="str">
        <f>VLOOKUP(Tabela1[[#This Row],[CO_PAIS]],'[1]nome do paixs'!$A:$B,2,0)</f>
        <v>Israel</v>
      </c>
      <c r="J608" t="s">
        <v>12</v>
      </c>
    </row>
    <row r="609" spans="1:10">
      <c r="A609">
        <v>2022</v>
      </c>
      <c r="B609">
        <v>3</v>
      </c>
      <c r="C609">
        <v>8803</v>
      </c>
      <c r="D609">
        <v>245</v>
      </c>
      <c r="E609" t="s">
        <v>10</v>
      </c>
      <c r="F609">
        <v>3449904</v>
      </c>
      <c r="G609" s="1">
        <v>4494</v>
      </c>
      <c r="H609" s="2">
        <v>1471845</v>
      </c>
      <c r="I609" t="str">
        <f>VLOOKUP(Tabela1[[#This Row],[CO_PAIS]],'[1]nome do paixs'!$A:$B,2,0)</f>
        <v>Espanha</v>
      </c>
      <c r="J609" t="s">
        <v>12</v>
      </c>
    </row>
    <row r="610" spans="1:10">
      <c r="A610">
        <v>2022</v>
      </c>
      <c r="B610">
        <v>3</v>
      </c>
      <c r="C610">
        <v>8803</v>
      </c>
      <c r="D610">
        <v>87</v>
      </c>
      <c r="E610" t="s">
        <v>10</v>
      </c>
      <c r="F610">
        <v>3424402</v>
      </c>
      <c r="G610" s="1">
        <v>8</v>
      </c>
      <c r="H610" s="2">
        <v>18825</v>
      </c>
      <c r="I610" t="str">
        <f>VLOOKUP(Tabela1[[#This Row],[CO_PAIS]],'[1]nome do paixs'!$A:$B,2,0)</f>
        <v>Bélgica</v>
      </c>
      <c r="J610" t="s">
        <v>13</v>
      </c>
    </row>
    <row r="611" spans="1:10">
      <c r="A611">
        <v>2022</v>
      </c>
      <c r="B611">
        <v>3</v>
      </c>
      <c r="C611">
        <v>8803</v>
      </c>
      <c r="D611">
        <v>190</v>
      </c>
      <c r="E611" t="s">
        <v>10</v>
      </c>
      <c r="F611">
        <v>3449904</v>
      </c>
      <c r="G611" s="1">
        <v>6</v>
      </c>
      <c r="H611" s="2">
        <v>5599</v>
      </c>
      <c r="I611" t="str">
        <f>VLOOKUP(Tabela1[[#This Row],[CO_PAIS]],'[1]nome do paixs'!$A:$B,2,0)</f>
        <v>Coreia do Sul</v>
      </c>
      <c r="J611" t="s">
        <v>12</v>
      </c>
    </row>
    <row r="612" spans="1:10">
      <c r="A612">
        <v>2022</v>
      </c>
      <c r="B612">
        <v>3</v>
      </c>
      <c r="C612">
        <v>8803</v>
      </c>
      <c r="D612">
        <v>399</v>
      </c>
      <c r="E612" t="s">
        <v>10</v>
      </c>
      <c r="F612">
        <v>3449904</v>
      </c>
      <c r="G612" s="1">
        <v>1128</v>
      </c>
      <c r="H612" s="2">
        <v>1039521</v>
      </c>
      <c r="I612" t="str">
        <f>VLOOKUP(Tabela1[[#This Row],[CO_PAIS]],'[1]nome do paixs'!$A:$B,2,0)</f>
        <v>Japão</v>
      </c>
      <c r="J612" t="s">
        <v>12</v>
      </c>
    </row>
    <row r="613" spans="1:10">
      <c r="A613">
        <v>2022</v>
      </c>
      <c r="B613">
        <v>3</v>
      </c>
      <c r="C613">
        <v>8803</v>
      </c>
      <c r="D613">
        <v>607</v>
      </c>
      <c r="E613" t="s">
        <v>10</v>
      </c>
      <c r="F613">
        <v>3454102</v>
      </c>
      <c r="G613" s="1">
        <v>11825</v>
      </c>
      <c r="H613" s="2">
        <v>4187381</v>
      </c>
      <c r="I613" t="str">
        <f>VLOOKUP(Tabela1[[#This Row],[CO_PAIS]],'[1]nome do paixs'!$A:$B,2,0)</f>
        <v>Portugal</v>
      </c>
      <c r="J613" t="s">
        <v>11</v>
      </c>
    </row>
    <row r="614" spans="1:10">
      <c r="A614">
        <v>2022</v>
      </c>
      <c r="B614">
        <v>3</v>
      </c>
      <c r="C614">
        <v>8803</v>
      </c>
      <c r="D614">
        <v>72</v>
      </c>
      <c r="E614" t="s">
        <v>10</v>
      </c>
      <c r="F614">
        <v>3454102</v>
      </c>
      <c r="G614" s="1">
        <v>2813</v>
      </c>
      <c r="H614" s="2">
        <v>192148</v>
      </c>
      <c r="I614" t="str">
        <f>VLOOKUP(Tabela1[[#This Row],[CO_PAIS]],'[1]nome do paixs'!$A:$B,2,0)</f>
        <v>Áustria</v>
      </c>
      <c r="J614" t="s">
        <v>11</v>
      </c>
    </row>
    <row r="615" spans="1:10">
      <c r="A615">
        <v>2022</v>
      </c>
      <c r="B615">
        <v>3</v>
      </c>
      <c r="C615">
        <v>8803</v>
      </c>
      <c r="D615">
        <v>493</v>
      </c>
      <c r="E615" t="s">
        <v>10</v>
      </c>
      <c r="F615">
        <v>3454102</v>
      </c>
      <c r="G615" s="1">
        <v>9826</v>
      </c>
      <c r="H615" s="2">
        <v>3612010</v>
      </c>
      <c r="I615" t="str">
        <f>VLOOKUP(Tabela1[[#This Row],[CO_PAIS]],'[1]nome do paixs'!$A:$B,2,0)</f>
        <v>México</v>
      </c>
      <c r="J615" t="s">
        <v>11</v>
      </c>
    </row>
    <row r="616" spans="1:10">
      <c r="A616">
        <v>2022</v>
      </c>
      <c r="B616">
        <v>3</v>
      </c>
      <c r="C616">
        <v>8803</v>
      </c>
      <c r="D616">
        <v>386</v>
      </c>
      <c r="E616" t="s">
        <v>10</v>
      </c>
      <c r="F616">
        <v>3449904</v>
      </c>
      <c r="G616" s="1">
        <v>1</v>
      </c>
      <c r="H616" s="2">
        <v>5247</v>
      </c>
      <c r="I616" t="str">
        <f>VLOOKUP(Tabela1[[#This Row],[CO_PAIS]],'[1]nome do paixs'!$A:$B,2,0)</f>
        <v>Itália</v>
      </c>
      <c r="J616" t="s">
        <v>12</v>
      </c>
    </row>
    <row r="617" spans="1:10">
      <c r="A617">
        <v>2022</v>
      </c>
      <c r="B617">
        <v>3</v>
      </c>
      <c r="C617">
        <v>8803</v>
      </c>
      <c r="D617">
        <v>493</v>
      </c>
      <c r="E617" t="s">
        <v>10</v>
      </c>
      <c r="F617">
        <v>3449904</v>
      </c>
      <c r="G617" s="1">
        <v>1252</v>
      </c>
      <c r="H617" s="2">
        <v>901615</v>
      </c>
      <c r="I617" t="str">
        <f>VLOOKUP(Tabela1[[#This Row],[CO_PAIS]],'[1]nome do paixs'!$A:$B,2,0)</f>
        <v>México</v>
      </c>
      <c r="J617" t="s">
        <v>12</v>
      </c>
    </row>
    <row r="618" spans="1:10">
      <c r="A618">
        <v>2022</v>
      </c>
      <c r="B618">
        <v>3</v>
      </c>
      <c r="C618">
        <v>8803</v>
      </c>
      <c r="D618">
        <v>249</v>
      </c>
      <c r="E618" t="s">
        <v>10</v>
      </c>
      <c r="F618">
        <v>3424402</v>
      </c>
      <c r="G618" s="1">
        <v>4</v>
      </c>
      <c r="H618" s="2">
        <v>432</v>
      </c>
      <c r="I618" t="str">
        <f>VLOOKUP(Tabela1[[#This Row],[CO_PAIS]],'[1]nome do paixs'!$A:$B,2,0)</f>
        <v>Estados Unidos</v>
      </c>
      <c r="J618" t="s">
        <v>13</v>
      </c>
    </row>
    <row r="619" spans="1:10">
      <c r="A619">
        <v>2022</v>
      </c>
      <c r="B619">
        <v>3</v>
      </c>
      <c r="C619">
        <v>8803</v>
      </c>
      <c r="D619">
        <v>474</v>
      </c>
      <c r="E619" t="s">
        <v>10</v>
      </c>
      <c r="F619">
        <v>3454102</v>
      </c>
      <c r="G619" s="1">
        <v>230</v>
      </c>
      <c r="H619" s="2">
        <v>434239</v>
      </c>
      <c r="I619" t="str">
        <f>VLOOKUP(Tabela1[[#This Row],[CO_PAIS]],'[1]nome do paixs'!$A:$B,2,0)</f>
        <v>Marrocos</v>
      </c>
      <c r="J619" t="s">
        <v>11</v>
      </c>
    </row>
    <row r="620" spans="1:10">
      <c r="A620">
        <v>2021</v>
      </c>
      <c r="B620">
        <v>3</v>
      </c>
      <c r="C620">
        <v>8803</v>
      </c>
      <c r="D620">
        <v>375</v>
      </c>
      <c r="E620" t="s">
        <v>10</v>
      </c>
      <c r="F620">
        <v>3454102</v>
      </c>
      <c r="G620" s="1">
        <v>9</v>
      </c>
      <c r="H620" s="2">
        <v>6684</v>
      </c>
      <c r="I620" t="str">
        <f>VLOOKUP(Tabela1[[#This Row],[CO_PAIS]],'[1]nome do paixs'!$A:$B,2,0)</f>
        <v>Irlanda</v>
      </c>
      <c r="J620" t="s">
        <v>11</v>
      </c>
    </row>
    <row r="621" spans="1:10">
      <c r="A621">
        <v>2021</v>
      </c>
      <c r="B621">
        <v>3</v>
      </c>
      <c r="C621">
        <v>8803</v>
      </c>
      <c r="D621">
        <v>87</v>
      </c>
      <c r="E621" t="s">
        <v>10</v>
      </c>
      <c r="F621">
        <v>3424402</v>
      </c>
      <c r="G621" s="1">
        <v>24</v>
      </c>
      <c r="H621" s="2">
        <v>49416</v>
      </c>
      <c r="I621" t="str">
        <f>VLOOKUP(Tabela1[[#This Row],[CO_PAIS]],'[1]nome do paixs'!$A:$B,2,0)</f>
        <v>Bélgica</v>
      </c>
      <c r="J621" t="s">
        <v>13</v>
      </c>
    </row>
    <row r="622" spans="1:10">
      <c r="A622">
        <v>2021</v>
      </c>
      <c r="B622">
        <v>3</v>
      </c>
      <c r="C622">
        <v>8803</v>
      </c>
      <c r="D622">
        <v>72</v>
      </c>
      <c r="E622" t="s">
        <v>10</v>
      </c>
      <c r="F622">
        <v>3449904</v>
      </c>
      <c r="G622" s="1">
        <v>6</v>
      </c>
      <c r="H622" s="2">
        <v>8434</v>
      </c>
      <c r="I622" t="str">
        <f>VLOOKUP(Tabela1[[#This Row],[CO_PAIS]],'[1]nome do paixs'!$A:$B,2,0)</f>
        <v>Áustria</v>
      </c>
      <c r="J622" t="s">
        <v>12</v>
      </c>
    </row>
    <row r="623" spans="1:10">
      <c r="A623">
        <v>2021</v>
      </c>
      <c r="B623">
        <v>3</v>
      </c>
      <c r="C623">
        <v>8803</v>
      </c>
      <c r="D623">
        <v>23</v>
      </c>
      <c r="E623" t="s">
        <v>10</v>
      </c>
      <c r="F623">
        <v>3424402</v>
      </c>
      <c r="G623" s="1">
        <v>36</v>
      </c>
      <c r="H623" s="2">
        <v>40938</v>
      </c>
      <c r="I623" t="str">
        <f>VLOOKUP(Tabela1[[#This Row],[CO_PAIS]],'[1]nome do paixs'!$A:$B,2,0)</f>
        <v>Alemanha</v>
      </c>
      <c r="J623" t="s">
        <v>13</v>
      </c>
    </row>
    <row r="624" spans="1:10">
      <c r="A624">
        <v>2021</v>
      </c>
      <c r="B624">
        <v>3</v>
      </c>
      <c r="C624">
        <v>8803</v>
      </c>
      <c r="D624">
        <v>149</v>
      </c>
      <c r="E624" t="s">
        <v>10</v>
      </c>
      <c r="F624">
        <v>3454102</v>
      </c>
      <c r="G624" s="1">
        <v>1718</v>
      </c>
      <c r="H624" s="2">
        <v>574458</v>
      </c>
      <c r="I624" t="str">
        <f>VLOOKUP(Tabela1[[#This Row],[CO_PAIS]],'[1]nome do paixs'!$A:$B,2,0)</f>
        <v>Canadá</v>
      </c>
      <c r="J624" t="s">
        <v>11</v>
      </c>
    </row>
    <row r="625" spans="1:10">
      <c r="A625">
        <v>2021</v>
      </c>
      <c r="B625">
        <v>3</v>
      </c>
      <c r="C625">
        <v>8803</v>
      </c>
      <c r="D625">
        <v>361</v>
      </c>
      <c r="E625" t="s">
        <v>10</v>
      </c>
      <c r="F625">
        <v>3449904</v>
      </c>
      <c r="G625" s="1">
        <v>696</v>
      </c>
      <c r="H625" s="2">
        <v>383487</v>
      </c>
      <c r="I625" t="str">
        <f>VLOOKUP(Tabela1[[#This Row],[CO_PAIS]],'[1]nome do paixs'!$A:$B,2,0)</f>
        <v>Índia</v>
      </c>
      <c r="J625" t="s">
        <v>12</v>
      </c>
    </row>
    <row r="626" spans="1:10">
      <c r="A626">
        <v>2021</v>
      </c>
      <c r="B626">
        <v>3</v>
      </c>
      <c r="C626">
        <v>8803</v>
      </c>
      <c r="D626">
        <v>275</v>
      </c>
      <c r="E626" t="s">
        <v>10</v>
      </c>
      <c r="F626">
        <v>3449904</v>
      </c>
      <c r="G626" s="1">
        <v>211</v>
      </c>
      <c r="H626" s="2">
        <v>396760</v>
      </c>
      <c r="I626" t="str">
        <f>VLOOKUP(Tabela1[[#This Row],[CO_PAIS]],'[1]nome do paixs'!$A:$B,2,0)</f>
        <v>França</v>
      </c>
      <c r="J626" t="s">
        <v>12</v>
      </c>
    </row>
    <row r="627" spans="1:10">
      <c r="A627">
        <v>2021</v>
      </c>
      <c r="B627">
        <v>3</v>
      </c>
      <c r="C627">
        <v>8803</v>
      </c>
      <c r="D627">
        <v>72</v>
      </c>
      <c r="E627" t="s">
        <v>10</v>
      </c>
      <c r="F627">
        <v>3454102</v>
      </c>
      <c r="G627" s="1">
        <v>8995</v>
      </c>
      <c r="H627" s="2">
        <v>841405</v>
      </c>
      <c r="I627" t="str">
        <f>VLOOKUP(Tabela1[[#This Row],[CO_PAIS]],'[1]nome do paixs'!$A:$B,2,0)</f>
        <v>Áustria</v>
      </c>
      <c r="J627" t="s">
        <v>11</v>
      </c>
    </row>
    <row r="628" spans="1:10">
      <c r="A628">
        <v>2021</v>
      </c>
      <c r="B628">
        <v>3</v>
      </c>
      <c r="C628">
        <v>8803</v>
      </c>
      <c r="D628">
        <v>275</v>
      </c>
      <c r="E628" t="s">
        <v>10</v>
      </c>
      <c r="F628">
        <v>3454102</v>
      </c>
      <c r="G628" s="1">
        <v>1255</v>
      </c>
      <c r="H628" s="2">
        <v>1987031</v>
      </c>
      <c r="I628" t="str">
        <f>VLOOKUP(Tabela1[[#This Row],[CO_PAIS]],'[1]nome do paixs'!$A:$B,2,0)</f>
        <v>França</v>
      </c>
      <c r="J628" t="s">
        <v>11</v>
      </c>
    </row>
    <row r="629" spans="1:10">
      <c r="A629">
        <v>2021</v>
      </c>
      <c r="B629">
        <v>3</v>
      </c>
      <c r="C629">
        <v>8803</v>
      </c>
      <c r="D629">
        <v>628</v>
      </c>
      <c r="E629" t="s">
        <v>10</v>
      </c>
      <c r="F629">
        <v>3454102</v>
      </c>
      <c r="G629" s="1">
        <v>149</v>
      </c>
      <c r="H629" s="2">
        <v>70342</v>
      </c>
      <c r="I629" t="str">
        <f>VLOOKUP(Tabela1[[#This Row],[CO_PAIS]],'[1]nome do paixs'!$A:$B,2,0)</f>
        <v>Reino Unido</v>
      </c>
      <c r="J629" t="s">
        <v>11</v>
      </c>
    </row>
    <row r="630" spans="1:10">
      <c r="A630">
        <v>2021</v>
      </c>
      <c r="B630">
        <v>3</v>
      </c>
      <c r="C630">
        <v>8803</v>
      </c>
      <c r="D630">
        <v>149</v>
      </c>
      <c r="E630" t="s">
        <v>10</v>
      </c>
      <c r="F630">
        <v>3449904</v>
      </c>
      <c r="G630" s="1">
        <v>38</v>
      </c>
      <c r="H630" s="2">
        <v>36578</v>
      </c>
      <c r="I630" t="str">
        <f>VLOOKUP(Tabela1[[#This Row],[CO_PAIS]],'[1]nome do paixs'!$A:$B,2,0)</f>
        <v>Canadá</v>
      </c>
      <c r="J630" t="s">
        <v>12</v>
      </c>
    </row>
    <row r="631" spans="1:10">
      <c r="A631">
        <v>2021</v>
      </c>
      <c r="B631">
        <v>3</v>
      </c>
      <c r="C631">
        <v>8803</v>
      </c>
      <c r="D631">
        <v>493</v>
      </c>
      <c r="E631" t="s">
        <v>10</v>
      </c>
      <c r="F631">
        <v>3454102</v>
      </c>
      <c r="G631" s="1">
        <v>2627</v>
      </c>
      <c r="H631" s="2">
        <v>1171634</v>
      </c>
      <c r="I631" t="str">
        <f>VLOOKUP(Tabela1[[#This Row],[CO_PAIS]],'[1]nome do paixs'!$A:$B,2,0)</f>
        <v>México</v>
      </c>
      <c r="J631" t="s">
        <v>11</v>
      </c>
    </row>
    <row r="632" spans="1:10">
      <c r="A632">
        <v>2021</v>
      </c>
      <c r="B632">
        <v>3</v>
      </c>
      <c r="C632">
        <v>8803</v>
      </c>
      <c r="D632">
        <v>105</v>
      </c>
      <c r="E632" t="s">
        <v>10</v>
      </c>
      <c r="F632">
        <v>3449904</v>
      </c>
      <c r="G632" s="1">
        <v>6362</v>
      </c>
      <c r="H632" s="2">
        <v>3710678</v>
      </c>
      <c r="I632" t="str">
        <f>VLOOKUP(Tabela1[[#This Row],[CO_PAIS]],'[1]nome do paixs'!$A:$B,2,0)</f>
        <v>Brasil</v>
      </c>
      <c r="J632" t="s">
        <v>12</v>
      </c>
    </row>
    <row r="633" spans="1:10">
      <c r="A633">
        <v>2021</v>
      </c>
      <c r="B633">
        <v>3</v>
      </c>
      <c r="C633">
        <v>8803</v>
      </c>
      <c r="D633">
        <v>190</v>
      </c>
      <c r="E633" t="s">
        <v>10</v>
      </c>
      <c r="F633">
        <v>3449904</v>
      </c>
      <c r="G633" s="1">
        <v>8</v>
      </c>
      <c r="H633" s="2">
        <v>8381</v>
      </c>
      <c r="I633" t="str">
        <f>VLOOKUP(Tabela1[[#This Row],[CO_PAIS]],'[1]nome do paixs'!$A:$B,2,0)</f>
        <v>Coreia do Sul</v>
      </c>
      <c r="J633" t="s">
        <v>12</v>
      </c>
    </row>
    <row r="634" spans="1:10">
      <c r="A634">
        <v>2021</v>
      </c>
      <c r="B634">
        <v>3</v>
      </c>
      <c r="C634">
        <v>8803</v>
      </c>
      <c r="D634">
        <v>386</v>
      </c>
      <c r="E634" t="s">
        <v>10</v>
      </c>
      <c r="F634">
        <v>3454102</v>
      </c>
      <c r="G634" s="1">
        <v>576</v>
      </c>
      <c r="H634" s="2">
        <v>1473627</v>
      </c>
      <c r="I634" t="str">
        <f>VLOOKUP(Tabela1[[#This Row],[CO_PAIS]],'[1]nome do paixs'!$A:$B,2,0)</f>
        <v>Itália</v>
      </c>
      <c r="J634" t="s">
        <v>11</v>
      </c>
    </row>
    <row r="635" spans="1:10">
      <c r="A635">
        <v>2021</v>
      </c>
      <c r="B635">
        <v>3</v>
      </c>
      <c r="C635">
        <v>8803</v>
      </c>
      <c r="D635">
        <v>160</v>
      </c>
      <c r="E635" t="s">
        <v>10</v>
      </c>
      <c r="F635">
        <v>3449904</v>
      </c>
      <c r="G635" s="1">
        <v>5</v>
      </c>
      <c r="H635" s="2">
        <v>2744</v>
      </c>
      <c r="I635" t="str">
        <f>VLOOKUP(Tabela1[[#This Row],[CO_PAIS]],'[1]nome do paixs'!$A:$B,2,0)</f>
        <v>China</v>
      </c>
      <c r="J635" t="s">
        <v>12</v>
      </c>
    </row>
    <row r="636" spans="1:10">
      <c r="A636">
        <v>2021</v>
      </c>
      <c r="B636">
        <v>3</v>
      </c>
      <c r="C636">
        <v>8803</v>
      </c>
      <c r="D636">
        <v>245</v>
      </c>
      <c r="E636" t="s">
        <v>10</v>
      </c>
      <c r="F636">
        <v>3424402</v>
      </c>
      <c r="G636" s="1">
        <v>31</v>
      </c>
      <c r="H636" s="2">
        <v>21992</v>
      </c>
      <c r="I636" t="str">
        <f>VLOOKUP(Tabela1[[#This Row],[CO_PAIS]],'[1]nome do paixs'!$A:$B,2,0)</f>
        <v>Espanha</v>
      </c>
      <c r="J636" t="s">
        <v>13</v>
      </c>
    </row>
    <row r="637" spans="1:10">
      <c r="A637">
        <v>2021</v>
      </c>
      <c r="B637">
        <v>3</v>
      </c>
      <c r="C637">
        <v>8803</v>
      </c>
      <c r="D637">
        <v>474</v>
      </c>
      <c r="E637" t="s">
        <v>10</v>
      </c>
      <c r="F637">
        <v>3454102</v>
      </c>
      <c r="G637" s="1">
        <v>92</v>
      </c>
      <c r="H637" s="2">
        <v>161926</v>
      </c>
      <c r="I637" t="str">
        <f>VLOOKUP(Tabela1[[#This Row],[CO_PAIS]],'[1]nome do paixs'!$A:$B,2,0)</f>
        <v>Marrocos</v>
      </c>
      <c r="J637" t="s">
        <v>11</v>
      </c>
    </row>
    <row r="638" spans="1:10">
      <c r="A638">
        <v>2021</v>
      </c>
      <c r="B638">
        <v>3</v>
      </c>
      <c r="C638">
        <v>8803</v>
      </c>
      <c r="D638">
        <v>676</v>
      </c>
      <c r="E638" t="s">
        <v>10</v>
      </c>
      <c r="F638">
        <v>3449904</v>
      </c>
      <c r="G638" s="1">
        <v>48</v>
      </c>
      <c r="H638" s="2">
        <v>37746</v>
      </c>
      <c r="I638" t="str">
        <f>VLOOKUP(Tabela1[[#This Row],[CO_PAIS]],'[1]nome do paixs'!$A:$B,2,0)</f>
        <v>Rússia</v>
      </c>
      <c r="J638" t="s">
        <v>12</v>
      </c>
    </row>
    <row r="639" spans="1:10">
      <c r="A639">
        <v>2021</v>
      </c>
      <c r="B639">
        <v>3</v>
      </c>
      <c r="C639">
        <v>8803</v>
      </c>
      <c r="D639">
        <v>375</v>
      </c>
      <c r="E639" t="s">
        <v>10</v>
      </c>
      <c r="F639">
        <v>3449904</v>
      </c>
      <c r="G639" s="1">
        <v>70</v>
      </c>
      <c r="H639" s="2">
        <v>29603</v>
      </c>
      <c r="I639" t="str">
        <f>VLOOKUP(Tabela1[[#This Row],[CO_PAIS]],'[1]nome do paixs'!$A:$B,2,0)</f>
        <v>Irlanda</v>
      </c>
      <c r="J639" t="s">
        <v>12</v>
      </c>
    </row>
    <row r="640" spans="1:10">
      <c r="A640">
        <v>2021</v>
      </c>
      <c r="B640">
        <v>3</v>
      </c>
      <c r="C640">
        <v>8803</v>
      </c>
      <c r="D640">
        <v>493</v>
      </c>
      <c r="E640" t="s">
        <v>10</v>
      </c>
      <c r="F640">
        <v>3449904</v>
      </c>
      <c r="G640" s="1">
        <v>645</v>
      </c>
      <c r="H640" s="2">
        <v>309980</v>
      </c>
      <c r="I640" t="str">
        <f>VLOOKUP(Tabela1[[#This Row],[CO_PAIS]],'[1]nome do paixs'!$A:$B,2,0)</f>
        <v>México</v>
      </c>
      <c r="J640" t="s">
        <v>12</v>
      </c>
    </row>
    <row r="641" spans="1:10">
      <c r="A641">
        <v>2021</v>
      </c>
      <c r="B641">
        <v>3</v>
      </c>
      <c r="C641">
        <v>8803</v>
      </c>
      <c r="D641">
        <v>791</v>
      </c>
      <c r="E641" t="s">
        <v>10</v>
      </c>
      <c r="F641">
        <v>3449904</v>
      </c>
      <c r="G641" s="1">
        <v>1</v>
      </c>
      <c r="H641" s="2">
        <v>5445</v>
      </c>
      <c r="I641" t="str">
        <f>VLOOKUP(Tabela1[[#This Row],[CO_PAIS]],'[1]nome do paixs'!$A:$B,2,0)</f>
        <v>Tcheca, República</v>
      </c>
      <c r="J641" t="s">
        <v>12</v>
      </c>
    </row>
    <row r="642" spans="1:10">
      <c r="A642">
        <v>2021</v>
      </c>
      <c r="B642">
        <v>3</v>
      </c>
      <c r="C642">
        <v>8803</v>
      </c>
      <c r="D642">
        <v>23</v>
      </c>
      <c r="E642" t="s">
        <v>10</v>
      </c>
      <c r="F642">
        <v>3454102</v>
      </c>
      <c r="G642" s="1">
        <v>13298</v>
      </c>
      <c r="H642" s="2">
        <v>1005345</v>
      </c>
      <c r="I642" t="str">
        <f>VLOOKUP(Tabela1[[#This Row],[CO_PAIS]],'[1]nome do paixs'!$A:$B,2,0)</f>
        <v>Alemanha</v>
      </c>
      <c r="J642" t="s">
        <v>11</v>
      </c>
    </row>
    <row r="643" spans="1:10">
      <c r="A643">
        <v>2021</v>
      </c>
      <c r="B643">
        <v>3</v>
      </c>
      <c r="C643">
        <v>8803</v>
      </c>
      <c r="D643">
        <v>603</v>
      </c>
      <c r="E643" t="s">
        <v>10</v>
      </c>
      <c r="F643">
        <v>3449904</v>
      </c>
      <c r="G643" s="1">
        <v>24</v>
      </c>
      <c r="H643" s="2">
        <v>9903</v>
      </c>
      <c r="I643" t="str">
        <f>VLOOKUP(Tabela1[[#This Row],[CO_PAIS]],'[1]nome do paixs'!$A:$B,2,0)</f>
        <v>Polônia</v>
      </c>
      <c r="J643" t="s">
        <v>12</v>
      </c>
    </row>
    <row r="644" spans="1:10">
      <c r="A644">
        <v>2021</v>
      </c>
      <c r="B644">
        <v>3</v>
      </c>
      <c r="C644">
        <v>8803</v>
      </c>
      <c r="D644">
        <v>573</v>
      </c>
      <c r="E644" t="s">
        <v>10</v>
      </c>
      <c r="F644">
        <v>3449904</v>
      </c>
      <c r="G644" s="1">
        <v>33</v>
      </c>
      <c r="H644" s="2">
        <v>13988</v>
      </c>
      <c r="I644" t="str">
        <f>VLOOKUP(Tabela1[[#This Row],[CO_PAIS]],'[1]nome do paixs'!$A:$B,2,0)</f>
        <v>Países Baixos (Holanda)</v>
      </c>
      <c r="J644" t="s">
        <v>12</v>
      </c>
    </row>
    <row r="645" spans="1:10">
      <c r="A645">
        <v>2021</v>
      </c>
      <c r="B645">
        <v>3</v>
      </c>
      <c r="C645">
        <v>8803</v>
      </c>
      <c r="D645">
        <v>87</v>
      </c>
      <c r="E645" t="s">
        <v>10</v>
      </c>
      <c r="F645">
        <v>3449904</v>
      </c>
      <c r="G645" s="1">
        <v>175</v>
      </c>
      <c r="H645" s="2">
        <v>211805</v>
      </c>
      <c r="I645" t="str">
        <f>VLOOKUP(Tabela1[[#This Row],[CO_PAIS]],'[1]nome do paixs'!$A:$B,2,0)</f>
        <v>Bélgica</v>
      </c>
      <c r="J645" t="s">
        <v>12</v>
      </c>
    </row>
    <row r="646" spans="1:10">
      <c r="A646">
        <v>2021</v>
      </c>
      <c r="B646">
        <v>3</v>
      </c>
      <c r="C646">
        <v>8803</v>
      </c>
      <c r="D646">
        <v>105</v>
      </c>
      <c r="E646" t="s">
        <v>10</v>
      </c>
      <c r="F646">
        <v>3454102</v>
      </c>
      <c r="G646" s="1">
        <v>4818</v>
      </c>
      <c r="H646" s="2">
        <v>3441359</v>
      </c>
      <c r="I646" t="str">
        <f>VLOOKUP(Tabela1[[#This Row],[CO_PAIS]],'[1]nome do paixs'!$A:$B,2,0)</f>
        <v>Brasil</v>
      </c>
      <c r="J646" t="s">
        <v>11</v>
      </c>
    </row>
    <row r="647" spans="1:10">
      <c r="A647">
        <v>2021</v>
      </c>
      <c r="B647">
        <v>3</v>
      </c>
      <c r="C647">
        <v>8803</v>
      </c>
      <c r="D647">
        <v>190</v>
      </c>
      <c r="E647" t="s">
        <v>10</v>
      </c>
      <c r="F647">
        <v>3424402</v>
      </c>
      <c r="G647" s="1">
        <v>625</v>
      </c>
      <c r="H647" s="2">
        <v>121770</v>
      </c>
      <c r="I647" t="str">
        <f>VLOOKUP(Tabela1[[#This Row],[CO_PAIS]],'[1]nome do paixs'!$A:$B,2,0)</f>
        <v>Coreia do Sul</v>
      </c>
      <c r="J647" t="s">
        <v>13</v>
      </c>
    </row>
    <row r="648" spans="1:10">
      <c r="A648">
        <v>2021</v>
      </c>
      <c r="B648">
        <v>3</v>
      </c>
      <c r="C648">
        <v>8803</v>
      </c>
      <c r="D648">
        <v>87</v>
      </c>
      <c r="E648" t="s">
        <v>10</v>
      </c>
      <c r="F648">
        <v>3454102</v>
      </c>
      <c r="G648" s="1">
        <v>3937</v>
      </c>
      <c r="H648" s="2">
        <v>3734813</v>
      </c>
      <c r="I648" t="str">
        <f>VLOOKUP(Tabela1[[#This Row],[CO_PAIS]],'[1]nome do paixs'!$A:$B,2,0)</f>
        <v>Bélgica</v>
      </c>
      <c r="J648" t="s">
        <v>11</v>
      </c>
    </row>
    <row r="649" spans="1:10">
      <c r="A649">
        <v>2021</v>
      </c>
      <c r="B649">
        <v>3</v>
      </c>
      <c r="C649">
        <v>8803</v>
      </c>
      <c r="D649">
        <v>249</v>
      </c>
      <c r="E649" t="s">
        <v>10</v>
      </c>
      <c r="F649">
        <v>3424402</v>
      </c>
      <c r="G649" s="1">
        <v>1109</v>
      </c>
      <c r="H649" s="2">
        <v>183728</v>
      </c>
      <c r="I649" t="str">
        <f>VLOOKUP(Tabela1[[#This Row],[CO_PAIS]],'[1]nome do paixs'!$A:$B,2,0)</f>
        <v>Estados Unidos</v>
      </c>
      <c r="J649" t="s">
        <v>13</v>
      </c>
    </row>
    <row r="650" spans="1:10">
      <c r="A650">
        <v>2021</v>
      </c>
      <c r="B650">
        <v>3</v>
      </c>
      <c r="C650">
        <v>8803</v>
      </c>
      <c r="D650">
        <v>628</v>
      </c>
      <c r="E650" t="s">
        <v>10</v>
      </c>
      <c r="F650">
        <v>3449904</v>
      </c>
      <c r="G650" s="1">
        <v>497</v>
      </c>
      <c r="H650" s="2">
        <v>291404</v>
      </c>
      <c r="I650" t="str">
        <f>VLOOKUP(Tabela1[[#This Row],[CO_PAIS]],'[1]nome do paixs'!$A:$B,2,0)</f>
        <v>Reino Unido</v>
      </c>
      <c r="J650" t="s">
        <v>12</v>
      </c>
    </row>
    <row r="651" spans="1:10">
      <c r="A651">
        <v>2021</v>
      </c>
      <c r="B651">
        <v>3</v>
      </c>
      <c r="C651">
        <v>8803</v>
      </c>
      <c r="D651">
        <v>741</v>
      </c>
      <c r="E651" t="s">
        <v>10</v>
      </c>
      <c r="F651">
        <v>3449904</v>
      </c>
      <c r="G651" s="1">
        <v>3</v>
      </c>
      <c r="H651" s="2">
        <v>3057</v>
      </c>
      <c r="I651" t="str">
        <f>VLOOKUP(Tabela1[[#This Row],[CO_PAIS]],'[1]nome do paixs'!$A:$B,2,0)</f>
        <v>Singapura</v>
      </c>
      <c r="J651" t="s">
        <v>12</v>
      </c>
    </row>
    <row r="652" spans="1:10">
      <c r="A652">
        <v>2021</v>
      </c>
      <c r="B652">
        <v>3</v>
      </c>
      <c r="C652">
        <v>8803</v>
      </c>
      <c r="D652">
        <v>275</v>
      </c>
      <c r="E652" t="s">
        <v>10</v>
      </c>
      <c r="F652">
        <v>3424402</v>
      </c>
      <c r="G652" s="1">
        <v>153</v>
      </c>
      <c r="H652" s="2">
        <v>162438</v>
      </c>
      <c r="I652" t="str">
        <f>VLOOKUP(Tabela1[[#This Row],[CO_PAIS]],'[1]nome do paixs'!$A:$B,2,0)</f>
        <v>França</v>
      </c>
      <c r="J652" t="s">
        <v>13</v>
      </c>
    </row>
    <row r="653" spans="1:10">
      <c r="A653">
        <v>2021</v>
      </c>
      <c r="B653">
        <v>3</v>
      </c>
      <c r="C653">
        <v>8803</v>
      </c>
      <c r="D653">
        <v>386</v>
      </c>
      <c r="E653" t="s">
        <v>10</v>
      </c>
      <c r="F653">
        <v>3449904</v>
      </c>
      <c r="G653" s="1">
        <v>57</v>
      </c>
      <c r="H653" s="2">
        <v>47898</v>
      </c>
      <c r="I653" t="str">
        <f>VLOOKUP(Tabela1[[#This Row],[CO_PAIS]],'[1]nome do paixs'!$A:$B,2,0)</f>
        <v>Itália</v>
      </c>
      <c r="J653" t="s">
        <v>12</v>
      </c>
    </row>
    <row r="654" spans="1:10">
      <c r="A654">
        <v>2021</v>
      </c>
      <c r="B654">
        <v>3</v>
      </c>
      <c r="C654">
        <v>8803</v>
      </c>
      <c r="D654">
        <v>245</v>
      </c>
      <c r="E654" t="s">
        <v>10</v>
      </c>
      <c r="F654">
        <v>3454102</v>
      </c>
      <c r="G654" s="1">
        <v>1513</v>
      </c>
      <c r="H654" s="2">
        <v>1488887</v>
      </c>
      <c r="I654" t="str">
        <f>VLOOKUP(Tabela1[[#This Row],[CO_PAIS]],'[1]nome do paixs'!$A:$B,2,0)</f>
        <v>Espanha</v>
      </c>
      <c r="J654" t="s">
        <v>11</v>
      </c>
    </row>
    <row r="655" spans="1:10">
      <c r="A655">
        <v>2021</v>
      </c>
      <c r="B655">
        <v>3</v>
      </c>
      <c r="C655">
        <v>8803</v>
      </c>
      <c r="D655">
        <v>399</v>
      </c>
      <c r="E655" t="s">
        <v>10</v>
      </c>
      <c r="F655">
        <v>3449904</v>
      </c>
      <c r="G655" s="1">
        <v>582</v>
      </c>
      <c r="H655" s="2">
        <v>606995</v>
      </c>
      <c r="I655" t="str">
        <f>VLOOKUP(Tabela1[[#This Row],[CO_PAIS]],'[1]nome do paixs'!$A:$B,2,0)</f>
        <v>Japão</v>
      </c>
      <c r="J655" t="s">
        <v>12</v>
      </c>
    </row>
    <row r="656" spans="1:10">
      <c r="A656">
        <v>2021</v>
      </c>
      <c r="B656">
        <v>3</v>
      </c>
      <c r="C656">
        <v>8803</v>
      </c>
      <c r="D656">
        <v>249</v>
      </c>
      <c r="E656" t="s">
        <v>10</v>
      </c>
      <c r="F656">
        <v>3449904</v>
      </c>
      <c r="G656" s="1">
        <v>8545</v>
      </c>
      <c r="H656" s="2">
        <v>3057313</v>
      </c>
      <c r="I656" t="str">
        <f>VLOOKUP(Tabela1[[#This Row],[CO_PAIS]],'[1]nome do paixs'!$A:$B,2,0)</f>
        <v>Estados Unidos</v>
      </c>
      <c r="J656" t="s">
        <v>12</v>
      </c>
    </row>
    <row r="657" spans="1:10">
      <c r="A657">
        <v>2021</v>
      </c>
      <c r="B657">
        <v>3</v>
      </c>
      <c r="C657">
        <v>8803</v>
      </c>
      <c r="D657">
        <v>249</v>
      </c>
      <c r="E657" t="s">
        <v>10</v>
      </c>
      <c r="F657">
        <v>3454102</v>
      </c>
      <c r="G657" s="1">
        <v>7663</v>
      </c>
      <c r="H657" s="2">
        <v>2005027</v>
      </c>
      <c r="I657" t="str">
        <f>VLOOKUP(Tabela1[[#This Row],[CO_PAIS]],'[1]nome do paixs'!$A:$B,2,0)</f>
        <v>Estados Unidos</v>
      </c>
      <c r="J657" t="s">
        <v>11</v>
      </c>
    </row>
    <row r="658" spans="1:10">
      <c r="A658">
        <v>2021</v>
      </c>
      <c r="B658">
        <v>3</v>
      </c>
      <c r="C658">
        <v>8803</v>
      </c>
      <c r="D658">
        <v>827</v>
      </c>
      <c r="E658" t="s">
        <v>10</v>
      </c>
      <c r="F658">
        <v>3449904</v>
      </c>
      <c r="G658" s="1">
        <v>1</v>
      </c>
      <c r="H658" s="2">
        <v>1208</v>
      </c>
      <c r="I658" t="str">
        <f>VLOOKUP(Tabela1[[#This Row],[CO_PAIS]],'[1]nome do paixs'!$A:$B,2,0)</f>
        <v>Turquia</v>
      </c>
      <c r="J658" t="s">
        <v>12</v>
      </c>
    </row>
    <row r="659" spans="1:10">
      <c r="A659">
        <v>2021</v>
      </c>
      <c r="B659">
        <v>3</v>
      </c>
      <c r="C659">
        <v>8803</v>
      </c>
      <c r="D659">
        <v>190</v>
      </c>
      <c r="E659" t="s">
        <v>10</v>
      </c>
      <c r="F659">
        <v>3454102</v>
      </c>
      <c r="G659" s="1">
        <v>2281</v>
      </c>
      <c r="H659" s="2">
        <v>4119291</v>
      </c>
      <c r="I659" t="str">
        <f>VLOOKUP(Tabela1[[#This Row],[CO_PAIS]],'[1]nome do paixs'!$A:$B,2,0)</f>
        <v>Coreia do Sul</v>
      </c>
      <c r="J659" t="s">
        <v>11</v>
      </c>
    </row>
    <row r="660" spans="1:10">
      <c r="A660">
        <v>2021</v>
      </c>
      <c r="B660">
        <v>3</v>
      </c>
      <c r="C660">
        <v>8803</v>
      </c>
      <c r="D660">
        <v>607</v>
      </c>
      <c r="E660" t="s">
        <v>10</v>
      </c>
      <c r="F660">
        <v>3454102</v>
      </c>
      <c r="G660" s="1">
        <v>2072</v>
      </c>
      <c r="H660" s="2">
        <v>2901262</v>
      </c>
      <c r="I660" t="str">
        <f>VLOOKUP(Tabela1[[#This Row],[CO_PAIS]],'[1]nome do paixs'!$A:$B,2,0)</f>
        <v>Portugal</v>
      </c>
      <c r="J660" t="s">
        <v>11</v>
      </c>
    </row>
    <row r="661" spans="1:10">
      <c r="A661">
        <v>2021</v>
      </c>
      <c r="B661">
        <v>3</v>
      </c>
      <c r="C661">
        <v>8803</v>
      </c>
      <c r="D661">
        <v>251</v>
      </c>
      <c r="E661" t="s">
        <v>10</v>
      </c>
      <c r="F661">
        <v>3449904</v>
      </c>
      <c r="G661" s="1">
        <v>8</v>
      </c>
      <c r="H661" s="2">
        <v>309</v>
      </c>
      <c r="I661" t="str">
        <f>VLOOKUP(Tabela1[[#This Row],[CO_PAIS]],'[1]nome do paixs'!$A:$B,2,0)</f>
        <v>Estônia</v>
      </c>
      <c r="J661" t="s">
        <v>12</v>
      </c>
    </row>
    <row r="662" spans="1:10">
      <c r="A662">
        <v>2021</v>
      </c>
      <c r="B662">
        <v>3</v>
      </c>
      <c r="C662">
        <v>8803</v>
      </c>
      <c r="D662">
        <v>245</v>
      </c>
      <c r="E662" t="s">
        <v>10</v>
      </c>
      <c r="F662">
        <v>3449904</v>
      </c>
      <c r="G662" s="1">
        <v>812</v>
      </c>
      <c r="H662" s="2">
        <v>664031</v>
      </c>
      <c r="I662" t="str">
        <f>VLOOKUP(Tabela1[[#This Row],[CO_PAIS]],'[1]nome do paixs'!$A:$B,2,0)</f>
        <v>Espanha</v>
      </c>
      <c r="J662" t="s">
        <v>12</v>
      </c>
    </row>
    <row r="663" spans="1:10">
      <c r="A663">
        <v>2021</v>
      </c>
      <c r="B663">
        <v>3</v>
      </c>
      <c r="C663">
        <v>8803</v>
      </c>
      <c r="D663">
        <v>607</v>
      </c>
      <c r="E663" t="s">
        <v>10</v>
      </c>
      <c r="F663">
        <v>3449904</v>
      </c>
      <c r="G663" s="1">
        <v>26</v>
      </c>
      <c r="H663" s="2">
        <v>74301</v>
      </c>
      <c r="I663" t="str">
        <f>VLOOKUP(Tabela1[[#This Row],[CO_PAIS]],'[1]nome do paixs'!$A:$B,2,0)</f>
        <v>Portugal</v>
      </c>
      <c r="J663" t="s">
        <v>12</v>
      </c>
    </row>
    <row r="664" spans="1:10">
      <c r="A664">
        <v>2021</v>
      </c>
      <c r="B664">
        <v>3</v>
      </c>
      <c r="C664">
        <v>8803</v>
      </c>
      <c r="D664">
        <v>399</v>
      </c>
      <c r="E664" t="s">
        <v>10</v>
      </c>
      <c r="F664">
        <v>3454102</v>
      </c>
      <c r="G664" s="1">
        <v>4372</v>
      </c>
      <c r="H664" s="2">
        <v>2720781</v>
      </c>
      <c r="I664" t="str">
        <f>VLOOKUP(Tabela1[[#This Row],[CO_PAIS]],'[1]nome do paixs'!$A:$B,2,0)</f>
        <v>Japão</v>
      </c>
      <c r="J664" t="s">
        <v>11</v>
      </c>
    </row>
    <row r="665" spans="1:10">
      <c r="A665">
        <v>2021</v>
      </c>
      <c r="B665">
        <v>3</v>
      </c>
      <c r="C665">
        <v>8803</v>
      </c>
      <c r="D665">
        <v>23</v>
      </c>
      <c r="E665" t="s">
        <v>10</v>
      </c>
      <c r="F665">
        <v>3449904</v>
      </c>
      <c r="G665" s="1">
        <v>73</v>
      </c>
      <c r="H665" s="2">
        <v>66108</v>
      </c>
      <c r="I665" t="str">
        <f>VLOOKUP(Tabela1[[#This Row],[CO_PAIS]],'[1]nome do paixs'!$A:$B,2,0)</f>
        <v>Alemanha</v>
      </c>
      <c r="J665" t="s">
        <v>12</v>
      </c>
    </row>
    <row r="666" spans="1:10">
      <c r="A666">
        <v>2021</v>
      </c>
      <c r="B666">
        <v>3</v>
      </c>
      <c r="C666">
        <v>8803</v>
      </c>
      <c r="D666">
        <v>63</v>
      </c>
      <c r="E666" t="s">
        <v>10</v>
      </c>
      <c r="F666">
        <v>3449904</v>
      </c>
      <c r="G666" s="1">
        <v>4</v>
      </c>
      <c r="H666" s="2">
        <v>19024</v>
      </c>
      <c r="I666" t="str">
        <f>VLOOKUP(Tabela1[[#This Row],[CO_PAIS]],'[1]nome do paixs'!$A:$B,2,0)</f>
        <v>Argentina</v>
      </c>
      <c r="J666" t="s">
        <v>12</v>
      </c>
    </row>
    <row r="667" spans="1:10">
      <c r="A667">
        <v>2021</v>
      </c>
      <c r="B667">
        <v>3</v>
      </c>
      <c r="C667">
        <v>8803</v>
      </c>
      <c r="D667">
        <v>791</v>
      </c>
      <c r="E667" t="s">
        <v>10</v>
      </c>
      <c r="F667">
        <v>3424402</v>
      </c>
      <c r="G667" s="1">
        <v>60</v>
      </c>
      <c r="H667" s="2">
        <v>34577</v>
      </c>
      <c r="I667" t="str">
        <f>VLOOKUP(Tabela1[[#This Row],[CO_PAIS]],'[1]nome do paixs'!$A:$B,2,0)</f>
        <v>Tcheca, República</v>
      </c>
      <c r="J667" t="s">
        <v>13</v>
      </c>
    </row>
    <row r="668" spans="1:10">
      <c r="A668">
        <v>2025</v>
      </c>
      <c r="B668">
        <v>4</v>
      </c>
      <c r="C668">
        <v>8807</v>
      </c>
      <c r="D668">
        <v>474</v>
      </c>
      <c r="E668" t="s">
        <v>10</v>
      </c>
      <c r="F668">
        <v>3454102</v>
      </c>
      <c r="G668" s="1">
        <v>92</v>
      </c>
      <c r="H668" s="2">
        <v>243684</v>
      </c>
      <c r="I668" t="str">
        <f>VLOOKUP(Tabela1[[#This Row],[CO_PAIS]],'[1]nome do paixs'!$A:$B,2,0)</f>
        <v>Marrocos</v>
      </c>
      <c r="J668" t="s">
        <v>11</v>
      </c>
    </row>
    <row r="669" spans="1:10">
      <c r="A669">
        <v>2025</v>
      </c>
      <c r="B669">
        <v>4</v>
      </c>
      <c r="C669">
        <v>8807</v>
      </c>
      <c r="D669">
        <v>245</v>
      </c>
      <c r="E669" t="s">
        <v>10</v>
      </c>
      <c r="F669">
        <v>3449904</v>
      </c>
      <c r="G669" s="1">
        <v>6471</v>
      </c>
      <c r="H669" s="2">
        <v>2774402</v>
      </c>
      <c r="I669" t="str">
        <f>VLOOKUP(Tabela1[[#This Row],[CO_PAIS]],'[1]nome do paixs'!$A:$B,2,0)</f>
        <v>Espanha</v>
      </c>
      <c r="J669" t="s">
        <v>12</v>
      </c>
    </row>
    <row r="670" spans="1:10">
      <c r="A670">
        <v>2025</v>
      </c>
      <c r="B670">
        <v>4</v>
      </c>
      <c r="C670">
        <v>8807</v>
      </c>
      <c r="D670">
        <v>190</v>
      </c>
      <c r="E670" t="s">
        <v>10</v>
      </c>
      <c r="F670">
        <v>3454102</v>
      </c>
      <c r="G670" s="1">
        <v>4569</v>
      </c>
      <c r="H670" s="2">
        <v>3430206</v>
      </c>
      <c r="I670" t="str">
        <f>VLOOKUP(Tabela1[[#This Row],[CO_PAIS]],'[1]nome do paixs'!$A:$B,2,0)</f>
        <v>Coreia do Sul</v>
      </c>
      <c r="J670" t="s">
        <v>11</v>
      </c>
    </row>
    <row r="671" spans="1:10">
      <c r="A671">
        <v>2025</v>
      </c>
      <c r="B671">
        <v>4</v>
      </c>
      <c r="C671">
        <v>8807</v>
      </c>
      <c r="D671">
        <v>628</v>
      </c>
      <c r="E671" t="s">
        <v>10</v>
      </c>
      <c r="F671">
        <v>3454102</v>
      </c>
      <c r="G671" s="1">
        <v>135</v>
      </c>
      <c r="H671" s="2">
        <v>115646</v>
      </c>
      <c r="I671" t="str">
        <f>VLOOKUP(Tabela1[[#This Row],[CO_PAIS]],'[1]nome do paixs'!$A:$B,2,0)</f>
        <v>Reino Unido</v>
      </c>
      <c r="J671" t="s">
        <v>11</v>
      </c>
    </row>
    <row r="672" spans="1:10">
      <c r="A672">
        <v>2025</v>
      </c>
      <c r="B672">
        <v>4</v>
      </c>
      <c r="C672">
        <v>8807</v>
      </c>
      <c r="D672">
        <v>493</v>
      </c>
      <c r="E672" t="s">
        <v>10</v>
      </c>
      <c r="F672">
        <v>3424402</v>
      </c>
      <c r="G672" s="1">
        <v>27</v>
      </c>
      <c r="H672" s="2">
        <v>61862</v>
      </c>
      <c r="I672" t="str">
        <f>VLOOKUP(Tabela1[[#This Row],[CO_PAIS]],'[1]nome do paixs'!$A:$B,2,0)</f>
        <v>México</v>
      </c>
      <c r="J672" t="s">
        <v>13</v>
      </c>
    </row>
    <row r="673" spans="1:10">
      <c r="A673">
        <v>2025</v>
      </c>
      <c r="B673">
        <v>4</v>
      </c>
      <c r="C673">
        <v>8807</v>
      </c>
      <c r="D673">
        <v>676</v>
      </c>
      <c r="E673" t="s">
        <v>10</v>
      </c>
      <c r="F673">
        <v>3454102</v>
      </c>
      <c r="G673" s="1">
        <v>22060</v>
      </c>
      <c r="H673" s="2">
        <v>1892519</v>
      </c>
      <c r="I673" t="str">
        <f>VLOOKUP(Tabela1[[#This Row],[CO_PAIS]],'[1]nome do paixs'!$A:$B,2,0)</f>
        <v>Rússia</v>
      </c>
      <c r="J673" t="s">
        <v>11</v>
      </c>
    </row>
    <row r="674" spans="1:10">
      <c r="A674">
        <v>2025</v>
      </c>
      <c r="B674">
        <v>4</v>
      </c>
      <c r="C674">
        <v>8807</v>
      </c>
      <c r="D674">
        <v>23</v>
      </c>
      <c r="E674" t="s">
        <v>10</v>
      </c>
      <c r="F674">
        <v>3454102</v>
      </c>
      <c r="G674" s="1">
        <v>7055</v>
      </c>
      <c r="H674" s="2">
        <v>844665</v>
      </c>
      <c r="I674" t="str">
        <f>VLOOKUP(Tabela1[[#This Row],[CO_PAIS]],'[1]nome do paixs'!$A:$B,2,0)</f>
        <v>Alemanha</v>
      </c>
      <c r="J674" t="s">
        <v>11</v>
      </c>
    </row>
    <row r="675" spans="1:10">
      <c r="A675">
        <v>2025</v>
      </c>
      <c r="B675">
        <v>4</v>
      </c>
      <c r="C675">
        <v>8807</v>
      </c>
      <c r="D675">
        <v>23</v>
      </c>
      <c r="E675" t="s">
        <v>10</v>
      </c>
      <c r="F675">
        <v>3449904</v>
      </c>
      <c r="G675" s="1">
        <v>302</v>
      </c>
      <c r="H675" s="2">
        <v>496542</v>
      </c>
      <c r="I675" t="str">
        <f>VLOOKUP(Tabela1[[#This Row],[CO_PAIS]],'[1]nome do paixs'!$A:$B,2,0)</f>
        <v>Alemanha</v>
      </c>
      <c r="J675" t="s">
        <v>12</v>
      </c>
    </row>
    <row r="676" spans="1:10">
      <c r="A676">
        <v>2025</v>
      </c>
      <c r="B676">
        <v>4</v>
      </c>
      <c r="C676">
        <v>8807</v>
      </c>
      <c r="D676">
        <v>767</v>
      </c>
      <c r="E676" t="s">
        <v>10</v>
      </c>
      <c r="F676">
        <v>3449904</v>
      </c>
      <c r="G676" s="1">
        <v>7</v>
      </c>
      <c r="H676" s="2">
        <v>38664</v>
      </c>
      <c r="I676" t="str">
        <f>VLOOKUP(Tabela1[[#This Row],[CO_PAIS]],'[1]nome do paixs'!$A:$B,2,0)</f>
        <v>Suíça</v>
      </c>
      <c r="J676" t="s">
        <v>12</v>
      </c>
    </row>
    <row r="677" spans="1:10">
      <c r="A677">
        <v>2025</v>
      </c>
      <c r="B677">
        <v>4</v>
      </c>
      <c r="C677">
        <v>8807</v>
      </c>
      <c r="D677">
        <v>190</v>
      </c>
      <c r="E677" t="s">
        <v>10</v>
      </c>
      <c r="F677">
        <v>3449904</v>
      </c>
      <c r="G677" s="1">
        <v>176</v>
      </c>
      <c r="H677" s="2">
        <v>179524</v>
      </c>
      <c r="I677" t="str">
        <f>VLOOKUP(Tabela1[[#This Row],[CO_PAIS]],'[1]nome do paixs'!$A:$B,2,0)</f>
        <v>Coreia do Sul</v>
      </c>
      <c r="J677" t="s">
        <v>12</v>
      </c>
    </row>
    <row r="678" spans="1:10">
      <c r="A678">
        <v>2025</v>
      </c>
      <c r="B678">
        <v>4</v>
      </c>
      <c r="C678">
        <v>8807</v>
      </c>
      <c r="D678">
        <v>87</v>
      </c>
      <c r="E678" t="s">
        <v>10</v>
      </c>
      <c r="F678">
        <v>3424402</v>
      </c>
      <c r="G678" s="1">
        <v>32</v>
      </c>
      <c r="H678" s="2">
        <v>86453</v>
      </c>
      <c r="I678" t="str">
        <f>VLOOKUP(Tabela1[[#This Row],[CO_PAIS]],'[1]nome do paixs'!$A:$B,2,0)</f>
        <v>Bélgica</v>
      </c>
      <c r="J678" t="s">
        <v>13</v>
      </c>
    </row>
    <row r="679" spans="1:10">
      <c r="A679">
        <v>2025</v>
      </c>
      <c r="B679">
        <v>4</v>
      </c>
      <c r="C679">
        <v>8807</v>
      </c>
      <c r="D679">
        <v>249</v>
      </c>
      <c r="E679" t="s">
        <v>10</v>
      </c>
      <c r="F679">
        <v>3424402</v>
      </c>
      <c r="G679" s="1">
        <v>2428</v>
      </c>
      <c r="H679" s="2">
        <v>508608</v>
      </c>
      <c r="I679" t="str">
        <f>VLOOKUP(Tabela1[[#This Row],[CO_PAIS]],'[1]nome do paixs'!$A:$B,2,0)</f>
        <v>Estados Unidos</v>
      </c>
      <c r="J679" t="s">
        <v>13</v>
      </c>
    </row>
    <row r="680" spans="1:10">
      <c r="A680">
        <v>2025</v>
      </c>
      <c r="B680">
        <v>4</v>
      </c>
      <c r="C680">
        <v>8807</v>
      </c>
      <c r="D680">
        <v>399</v>
      </c>
      <c r="E680" t="s">
        <v>10</v>
      </c>
      <c r="F680">
        <v>3454102</v>
      </c>
      <c r="G680" s="1">
        <v>3312</v>
      </c>
      <c r="H680" s="2">
        <v>2114229</v>
      </c>
      <c r="I680" t="str">
        <f>VLOOKUP(Tabela1[[#This Row],[CO_PAIS]],'[1]nome do paixs'!$A:$B,2,0)</f>
        <v>Japão</v>
      </c>
      <c r="J680" t="s">
        <v>11</v>
      </c>
    </row>
    <row r="681" spans="1:10">
      <c r="A681">
        <v>2025</v>
      </c>
      <c r="B681">
        <v>4</v>
      </c>
      <c r="C681">
        <v>8807</v>
      </c>
      <c r="D681">
        <v>455</v>
      </c>
      <c r="E681" t="s">
        <v>10</v>
      </c>
      <c r="F681">
        <v>3454102</v>
      </c>
      <c r="G681" s="1">
        <v>501</v>
      </c>
      <c r="H681" s="2">
        <v>31188</v>
      </c>
      <c r="I681" t="str">
        <f>VLOOKUP(Tabela1[[#This Row],[CO_PAIS]],'[1]nome do paixs'!$A:$B,2,0)</f>
        <v>Malásia</v>
      </c>
      <c r="J681" t="s">
        <v>11</v>
      </c>
    </row>
    <row r="682" spans="1:10">
      <c r="A682">
        <v>2025</v>
      </c>
      <c r="B682">
        <v>4</v>
      </c>
      <c r="C682">
        <v>8807</v>
      </c>
      <c r="D682">
        <v>361</v>
      </c>
      <c r="E682" t="s">
        <v>10</v>
      </c>
      <c r="F682">
        <v>3449904</v>
      </c>
      <c r="G682" s="1">
        <v>714</v>
      </c>
      <c r="H682" s="2">
        <v>349274</v>
      </c>
      <c r="I682" t="str">
        <f>VLOOKUP(Tabela1[[#This Row],[CO_PAIS]],'[1]nome do paixs'!$A:$B,2,0)</f>
        <v>Índia</v>
      </c>
      <c r="J682" t="s">
        <v>12</v>
      </c>
    </row>
    <row r="683" spans="1:10">
      <c r="A683">
        <v>2025</v>
      </c>
      <c r="B683">
        <v>4</v>
      </c>
      <c r="C683">
        <v>8807</v>
      </c>
      <c r="D683">
        <v>607</v>
      </c>
      <c r="E683" t="s">
        <v>10</v>
      </c>
      <c r="F683">
        <v>3449904</v>
      </c>
      <c r="G683" s="1">
        <v>12</v>
      </c>
      <c r="H683" s="2">
        <v>24031</v>
      </c>
      <c r="I683" t="str">
        <f>VLOOKUP(Tabela1[[#This Row],[CO_PAIS]],'[1]nome do paixs'!$A:$B,2,0)</f>
        <v>Portugal</v>
      </c>
      <c r="J683" t="s">
        <v>12</v>
      </c>
    </row>
    <row r="684" spans="1:10">
      <c r="A684">
        <v>2025</v>
      </c>
      <c r="B684">
        <v>4</v>
      </c>
      <c r="C684">
        <v>8807</v>
      </c>
      <c r="D684">
        <v>105</v>
      </c>
      <c r="E684" t="s">
        <v>10</v>
      </c>
      <c r="F684">
        <v>3454102</v>
      </c>
      <c r="G684" s="1">
        <v>5855</v>
      </c>
      <c r="H684" s="2">
        <v>4427329</v>
      </c>
      <c r="I684" t="str">
        <f>VLOOKUP(Tabela1[[#This Row],[CO_PAIS]],'[1]nome do paixs'!$A:$B,2,0)</f>
        <v>Brasil</v>
      </c>
      <c r="J684" t="s">
        <v>11</v>
      </c>
    </row>
    <row r="685" spans="1:10">
      <c r="A685">
        <v>2025</v>
      </c>
      <c r="B685">
        <v>4</v>
      </c>
      <c r="C685">
        <v>8807</v>
      </c>
      <c r="D685">
        <v>386</v>
      </c>
      <c r="E685" t="s">
        <v>10</v>
      </c>
      <c r="F685">
        <v>3449904</v>
      </c>
      <c r="G685" s="1">
        <v>7</v>
      </c>
      <c r="H685" s="2">
        <v>8263</v>
      </c>
      <c r="I685" t="str">
        <f>VLOOKUP(Tabela1[[#This Row],[CO_PAIS]],'[1]nome do paixs'!$A:$B,2,0)</f>
        <v>Itália</v>
      </c>
      <c r="J685" t="s">
        <v>12</v>
      </c>
    </row>
    <row r="686" spans="1:10">
      <c r="A686">
        <v>2025</v>
      </c>
      <c r="B686">
        <v>4</v>
      </c>
      <c r="C686">
        <v>8807</v>
      </c>
      <c r="D686">
        <v>245</v>
      </c>
      <c r="E686" t="s">
        <v>10</v>
      </c>
      <c r="F686">
        <v>3424402</v>
      </c>
      <c r="G686" s="1">
        <v>235</v>
      </c>
      <c r="H686" s="2">
        <v>91799</v>
      </c>
      <c r="I686" t="str">
        <f>VLOOKUP(Tabela1[[#This Row],[CO_PAIS]],'[1]nome do paixs'!$A:$B,2,0)</f>
        <v>Espanha</v>
      </c>
      <c r="J686" t="s">
        <v>13</v>
      </c>
    </row>
    <row r="687" spans="1:10">
      <c r="A687">
        <v>2025</v>
      </c>
      <c r="B687">
        <v>4</v>
      </c>
      <c r="C687">
        <v>8807</v>
      </c>
      <c r="D687">
        <v>249</v>
      </c>
      <c r="E687" t="s">
        <v>10</v>
      </c>
      <c r="F687">
        <v>3449904</v>
      </c>
      <c r="G687" s="1">
        <v>4448</v>
      </c>
      <c r="H687" s="2">
        <v>6351719</v>
      </c>
      <c r="I687" t="str">
        <f>VLOOKUP(Tabela1[[#This Row],[CO_PAIS]],'[1]nome do paixs'!$A:$B,2,0)</f>
        <v>Estados Unidos</v>
      </c>
      <c r="J687" t="s">
        <v>12</v>
      </c>
    </row>
    <row r="688" spans="1:10">
      <c r="A688">
        <v>2025</v>
      </c>
      <c r="B688">
        <v>4</v>
      </c>
      <c r="C688">
        <v>8807</v>
      </c>
      <c r="D688">
        <v>249</v>
      </c>
      <c r="E688" t="s">
        <v>10</v>
      </c>
      <c r="F688">
        <v>3454102</v>
      </c>
      <c r="G688" s="1">
        <v>41099</v>
      </c>
      <c r="H688" s="2">
        <v>8448489</v>
      </c>
      <c r="I688" t="str">
        <f>VLOOKUP(Tabela1[[#This Row],[CO_PAIS]],'[1]nome do paixs'!$A:$B,2,0)</f>
        <v>Estados Unidos</v>
      </c>
      <c r="J688" t="s">
        <v>11</v>
      </c>
    </row>
    <row r="689" spans="1:10">
      <c r="A689">
        <v>2025</v>
      </c>
      <c r="B689">
        <v>4</v>
      </c>
      <c r="C689">
        <v>8807</v>
      </c>
      <c r="D689">
        <v>72</v>
      </c>
      <c r="E689" t="s">
        <v>10</v>
      </c>
      <c r="F689">
        <v>3454102</v>
      </c>
      <c r="G689" s="1">
        <v>6485</v>
      </c>
      <c r="H689" s="2">
        <v>1550979</v>
      </c>
      <c r="I689" t="str">
        <f>VLOOKUP(Tabela1[[#This Row],[CO_PAIS]],'[1]nome do paixs'!$A:$B,2,0)</f>
        <v>Áustria</v>
      </c>
      <c r="J689" t="s">
        <v>11</v>
      </c>
    </row>
    <row r="690" spans="1:10">
      <c r="A690">
        <v>2025</v>
      </c>
      <c r="B690">
        <v>4</v>
      </c>
      <c r="C690">
        <v>8807</v>
      </c>
      <c r="D690">
        <v>149</v>
      </c>
      <c r="E690" t="s">
        <v>10</v>
      </c>
      <c r="F690">
        <v>3449904</v>
      </c>
      <c r="G690" s="1">
        <v>22</v>
      </c>
      <c r="H690" s="2">
        <v>31308</v>
      </c>
      <c r="I690" t="str">
        <f>VLOOKUP(Tabela1[[#This Row],[CO_PAIS]],'[1]nome do paixs'!$A:$B,2,0)</f>
        <v>Canadá</v>
      </c>
      <c r="J690" t="s">
        <v>12</v>
      </c>
    </row>
    <row r="691" spans="1:10">
      <c r="A691">
        <v>2025</v>
      </c>
      <c r="B691">
        <v>4</v>
      </c>
      <c r="C691">
        <v>8807</v>
      </c>
      <c r="D691">
        <v>87</v>
      </c>
      <c r="E691" t="s">
        <v>10</v>
      </c>
      <c r="F691">
        <v>3454102</v>
      </c>
      <c r="G691" s="1">
        <v>2651</v>
      </c>
      <c r="H691" s="2">
        <v>2241638</v>
      </c>
      <c r="I691" t="str">
        <f>VLOOKUP(Tabela1[[#This Row],[CO_PAIS]],'[1]nome do paixs'!$A:$B,2,0)</f>
        <v>Bélgica</v>
      </c>
      <c r="J691" t="s">
        <v>11</v>
      </c>
    </row>
    <row r="692" spans="1:10">
      <c r="A692">
        <v>2025</v>
      </c>
      <c r="B692">
        <v>4</v>
      </c>
      <c r="C692">
        <v>8807</v>
      </c>
      <c r="D692">
        <v>791</v>
      </c>
      <c r="E692" t="s">
        <v>10</v>
      </c>
      <c r="F692">
        <v>3424402</v>
      </c>
      <c r="G692" s="1">
        <v>374</v>
      </c>
      <c r="H692" s="2">
        <v>278964</v>
      </c>
      <c r="I692" t="str">
        <f>VLOOKUP(Tabela1[[#This Row],[CO_PAIS]],'[1]nome do paixs'!$A:$B,2,0)</f>
        <v>Tcheca, República</v>
      </c>
      <c r="J692" t="s">
        <v>13</v>
      </c>
    </row>
    <row r="693" spans="1:10">
      <c r="A693">
        <v>2025</v>
      </c>
      <c r="B693">
        <v>4</v>
      </c>
      <c r="C693">
        <v>8807</v>
      </c>
      <c r="D693">
        <v>275</v>
      </c>
      <c r="E693" t="s">
        <v>10</v>
      </c>
      <c r="F693">
        <v>3449904</v>
      </c>
      <c r="G693" s="1">
        <v>372</v>
      </c>
      <c r="H693" s="2">
        <v>566886</v>
      </c>
      <c r="I693" t="str">
        <f>VLOOKUP(Tabela1[[#This Row],[CO_PAIS]],'[1]nome do paixs'!$A:$B,2,0)</f>
        <v>França</v>
      </c>
      <c r="J693" t="s">
        <v>12</v>
      </c>
    </row>
    <row r="694" spans="1:10">
      <c r="A694">
        <v>2025</v>
      </c>
      <c r="B694">
        <v>4</v>
      </c>
      <c r="C694">
        <v>8807</v>
      </c>
      <c r="D694">
        <v>72</v>
      </c>
      <c r="E694" t="s">
        <v>10</v>
      </c>
      <c r="F694">
        <v>3449904</v>
      </c>
      <c r="G694" s="1">
        <v>49</v>
      </c>
      <c r="H694" s="2">
        <v>39307</v>
      </c>
      <c r="I694" t="str">
        <f>VLOOKUP(Tabela1[[#This Row],[CO_PAIS]],'[1]nome do paixs'!$A:$B,2,0)</f>
        <v>Áustria</v>
      </c>
      <c r="J694" t="s">
        <v>12</v>
      </c>
    </row>
    <row r="695" spans="1:10">
      <c r="A695">
        <v>2025</v>
      </c>
      <c r="B695">
        <v>4</v>
      </c>
      <c r="C695">
        <v>8807</v>
      </c>
      <c r="D695">
        <v>160</v>
      </c>
      <c r="E695" t="s">
        <v>10</v>
      </c>
      <c r="F695">
        <v>3449904</v>
      </c>
      <c r="G695" s="1">
        <v>28</v>
      </c>
      <c r="H695" s="2">
        <v>2344</v>
      </c>
      <c r="I695" t="str">
        <f>VLOOKUP(Tabela1[[#This Row],[CO_PAIS]],'[1]nome do paixs'!$A:$B,2,0)</f>
        <v>China</v>
      </c>
      <c r="J695" t="s">
        <v>12</v>
      </c>
    </row>
    <row r="696" spans="1:10">
      <c r="A696">
        <v>2025</v>
      </c>
      <c r="B696">
        <v>4</v>
      </c>
      <c r="C696">
        <v>8807</v>
      </c>
      <c r="D696">
        <v>607</v>
      </c>
      <c r="E696" t="s">
        <v>10</v>
      </c>
      <c r="F696">
        <v>3454102</v>
      </c>
      <c r="G696" s="1">
        <v>23803</v>
      </c>
      <c r="H696" s="2">
        <v>8069848</v>
      </c>
      <c r="I696" t="str">
        <f>VLOOKUP(Tabela1[[#This Row],[CO_PAIS]],'[1]nome do paixs'!$A:$B,2,0)</f>
        <v>Portugal</v>
      </c>
      <c r="J696" t="s">
        <v>11</v>
      </c>
    </row>
    <row r="697" spans="1:10">
      <c r="A697">
        <v>2025</v>
      </c>
      <c r="B697">
        <v>4</v>
      </c>
      <c r="C697">
        <v>8807</v>
      </c>
      <c r="D697">
        <v>399</v>
      </c>
      <c r="E697" t="s">
        <v>10</v>
      </c>
      <c r="F697">
        <v>3449904</v>
      </c>
      <c r="G697" s="1">
        <v>786</v>
      </c>
      <c r="H697" s="2">
        <v>706217</v>
      </c>
      <c r="I697" t="str">
        <f>VLOOKUP(Tabela1[[#This Row],[CO_PAIS]],'[1]nome do paixs'!$A:$B,2,0)</f>
        <v>Japão</v>
      </c>
      <c r="J697" t="s">
        <v>12</v>
      </c>
    </row>
    <row r="698" spans="1:10">
      <c r="A698">
        <v>2025</v>
      </c>
      <c r="B698">
        <v>4</v>
      </c>
      <c r="C698">
        <v>8807</v>
      </c>
      <c r="D698">
        <v>628</v>
      </c>
      <c r="E698" t="s">
        <v>10</v>
      </c>
      <c r="F698">
        <v>3449904</v>
      </c>
      <c r="G698" s="1">
        <v>671</v>
      </c>
      <c r="H698" s="2">
        <v>874140</v>
      </c>
      <c r="I698" t="str">
        <f>VLOOKUP(Tabela1[[#This Row],[CO_PAIS]],'[1]nome do paixs'!$A:$B,2,0)</f>
        <v>Reino Unido</v>
      </c>
      <c r="J698" t="s">
        <v>12</v>
      </c>
    </row>
    <row r="699" spans="1:10">
      <c r="A699">
        <v>2025</v>
      </c>
      <c r="B699">
        <v>4</v>
      </c>
      <c r="C699">
        <v>8807</v>
      </c>
      <c r="D699">
        <v>105</v>
      </c>
      <c r="E699" t="s">
        <v>10</v>
      </c>
      <c r="F699">
        <v>3449904</v>
      </c>
      <c r="G699" s="1">
        <v>15607</v>
      </c>
      <c r="H699" s="2">
        <v>10657800</v>
      </c>
      <c r="I699" t="str">
        <f>VLOOKUP(Tabela1[[#This Row],[CO_PAIS]],'[1]nome do paixs'!$A:$B,2,0)</f>
        <v>Brasil</v>
      </c>
      <c r="J699" t="s">
        <v>12</v>
      </c>
    </row>
    <row r="700" spans="1:10">
      <c r="A700">
        <v>2025</v>
      </c>
      <c r="B700">
        <v>4</v>
      </c>
      <c r="C700">
        <v>8807</v>
      </c>
      <c r="D700">
        <v>275</v>
      </c>
      <c r="E700" t="s">
        <v>10</v>
      </c>
      <c r="F700">
        <v>3424402</v>
      </c>
      <c r="G700" s="1">
        <v>299</v>
      </c>
      <c r="H700" s="2">
        <v>373234</v>
      </c>
      <c r="I700" t="str">
        <f>VLOOKUP(Tabela1[[#This Row],[CO_PAIS]],'[1]nome do paixs'!$A:$B,2,0)</f>
        <v>França</v>
      </c>
      <c r="J700" t="s">
        <v>13</v>
      </c>
    </row>
    <row r="701" spans="1:10">
      <c r="A701">
        <v>2025</v>
      </c>
      <c r="B701">
        <v>4</v>
      </c>
      <c r="C701">
        <v>8807</v>
      </c>
      <c r="D701">
        <v>149</v>
      </c>
      <c r="E701" t="s">
        <v>10</v>
      </c>
      <c r="F701">
        <v>3454102</v>
      </c>
      <c r="G701" s="1">
        <v>587</v>
      </c>
      <c r="H701" s="2">
        <v>473083</v>
      </c>
      <c r="I701" t="str">
        <f>VLOOKUP(Tabela1[[#This Row],[CO_PAIS]],'[1]nome do paixs'!$A:$B,2,0)</f>
        <v>Canadá</v>
      </c>
      <c r="J701" t="s">
        <v>11</v>
      </c>
    </row>
    <row r="702" spans="1:10">
      <c r="A702">
        <v>2025</v>
      </c>
      <c r="B702">
        <v>4</v>
      </c>
      <c r="C702">
        <v>8807</v>
      </c>
      <c r="D702">
        <v>493</v>
      </c>
      <c r="E702" t="s">
        <v>10</v>
      </c>
      <c r="F702">
        <v>3449904</v>
      </c>
      <c r="G702" s="1">
        <v>2866</v>
      </c>
      <c r="H702" s="2">
        <v>2456883</v>
      </c>
      <c r="I702" t="str">
        <f>VLOOKUP(Tabela1[[#This Row],[CO_PAIS]],'[1]nome do paixs'!$A:$B,2,0)</f>
        <v>México</v>
      </c>
      <c r="J702" t="s">
        <v>12</v>
      </c>
    </row>
    <row r="703" spans="1:10">
      <c r="A703">
        <v>2025</v>
      </c>
      <c r="B703">
        <v>4</v>
      </c>
      <c r="C703">
        <v>8807</v>
      </c>
      <c r="D703">
        <v>827</v>
      </c>
      <c r="E703" t="s">
        <v>10</v>
      </c>
      <c r="F703">
        <v>3449904</v>
      </c>
      <c r="G703" s="1">
        <v>0</v>
      </c>
      <c r="H703" s="2">
        <v>15</v>
      </c>
      <c r="I703" t="str">
        <f>VLOOKUP(Tabela1[[#This Row],[CO_PAIS]],'[1]nome do paixs'!$A:$B,2,0)</f>
        <v>Turquia</v>
      </c>
      <c r="J703" t="s">
        <v>12</v>
      </c>
    </row>
    <row r="704" spans="1:10">
      <c r="A704">
        <v>2025</v>
      </c>
      <c r="B704">
        <v>4</v>
      </c>
      <c r="C704">
        <v>8807</v>
      </c>
      <c r="D704">
        <v>386</v>
      </c>
      <c r="E704" t="s">
        <v>10</v>
      </c>
      <c r="F704">
        <v>3454102</v>
      </c>
      <c r="G704" s="1">
        <v>192</v>
      </c>
      <c r="H704" s="2">
        <v>545133</v>
      </c>
      <c r="I704" t="str">
        <f>VLOOKUP(Tabela1[[#This Row],[CO_PAIS]],'[1]nome do paixs'!$A:$B,2,0)</f>
        <v>Itália</v>
      </c>
      <c r="J704" t="s">
        <v>11</v>
      </c>
    </row>
    <row r="705" spans="1:10">
      <c r="A705">
        <v>2025</v>
      </c>
      <c r="B705">
        <v>4</v>
      </c>
      <c r="C705">
        <v>8807</v>
      </c>
      <c r="D705">
        <v>791</v>
      </c>
      <c r="E705" t="s">
        <v>10</v>
      </c>
      <c r="F705">
        <v>3454102</v>
      </c>
      <c r="G705" s="1">
        <v>1</v>
      </c>
      <c r="H705" s="2">
        <v>6788</v>
      </c>
      <c r="I705" t="str">
        <f>VLOOKUP(Tabela1[[#This Row],[CO_PAIS]],'[1]nome do paixs'!$A:$B,2,0)</f>
        <v>Tcheca, República</v>
      </c>
      <c r="J705" t="s">
        <v>11</v>
      </c>
    </row>
    <row r="706" spans="1:10">
      <c r="A706">
        <v>2025</v>
      </c>
      <c r="B706">
        <v>4</v>
      </c>
      <c r="C706">
        <v>8807</v>
      </c>
      <c r="D706">
        <v>791</v>
      </c>
      <c r="E706" t="s">
        <v>10</v>
      </c>
      <c r="F706">
        <v>3449904</v>
      </c>
      <c r="G706" s="1">
        <v>2</v>
      </c>
      <c r="H706" s="2">
        <v>10615</v>
      </c>
      <c r="I706" t="str">
        <f>VLOOKUP(Tabela1[[#This Row],[CO_PAIS]],'[1]nome do paixs'!$A:$B,2,0)</f>
        <v>Tcheca, República</v>
      </c>
      <c r="J706" t="s">
        <v>12</v>
      </c>
    </row>
    <row r="707" spans="1:10">
      <c r="A707">
        <v>2025</v>
      </c>
      <c r="B707">
        <v>4</v>
      </c>
      <c r="C707">
        <v>8807</v>
      </c>
      <c r="D707">
        <v>741</v>
      </c>
      <c r="E707" t="s">
        <v>10</v>
      </c>
      <c r="F707">
        <v>3449904</v>
      </c>
      <c r="G707" s="1">
        <v>251</v>
      </c>
      <c r="H707" s="2">
        <v>298713</v>
      </c>
      <c r="I707" t="str">
        <f>VLOOKUP(Tabela1[[#This Row],[CO_PAIS]],'[1]nome do paixs'!$A:$B,2,0)</f>
        <v>Singapura</v>
      </c>
      <c r="J707" t="s">
        <v>12</v>
      </c>
    </row>
    <row r="708" spans="1:10">
      <c r="A708">
        <v>2025</v>
      </c>
      <c r="B708">
        <v>4</v>
      </c>
      <c r="C708">
        <v>8807</v>
      </c>
      <c r="D708">
        <v>275</v>
      </c>
      <c r="E708" t="s">
        <v>10</v>
      </c>
      <c r="F708">
        <v>3454102</v>
      </c>
      <c r="G708" s="1">
        <v>1024</v>
      </c>
      <c r="H708" s="2">
        <v>1778233</v>
      </c>
      <c r="I708" t="str">
        <f>VLOOKUP(Tabela1[[#This Row],[CO_PAIS]],'[1]nome do paixs'!$A:$B,2,0)</f>
        <v>França</v>
      </c>
      <c r="J708" t="s">
        <v>11</v>
      </c>
    </row>
    <row r="709" spans="1:10">
      <c r="A709">
        <v>2025</v>
      </c>
      <c r="B709">
        <v>4</v>
      </c>
      <c r="C709">
        <v>8807</v>
      </c>
      <c r="D709">
        <v>375</v>
      </c>
      <c r="E709" t="s">
        <v>10</v>
      </c>
      <c r="F709">
        <v>3449904</v>
      </c>
      <c r="G709" s="1">
        <v>10</v>
      </c>
      <c r="H709" s="2">
        <v>7018</v>
      </c>
      <c r="I709" t="str">
        <f>VLOOKUP(Tabela1[[#This Row],[CO_PAIS]],'[1]nome do paixs'!$A:$B,2,0)</f>
        <v>Irlanda</v>
      </c>
      <c r="J709" t="s">
        <v>12</v>
      </c>
    </row>
    <row r="710" spans="1:10">
      <c r="A710">
        <v>2025</v>
      </c>
      <c r="B710">
        <v>4</v>
      </c>
      <c r="C710">
        <v>8807</v>
      </c>
      <c r="D710">
        <v>87</v>
      </c>
      <c r="E710" t="s">
        <v>10</v>
      </c>
      <c r="F710">
        <v>3449904</v>
      </c>
      <c r="G710" s="1">
        <v>6665</v>
      </c>
      <c r="H710" s="2">
        <v>3325804</v>
      </c>
      <c r="I710" t="str">
        <f>VLOOKUP(Tabela1[[#This Row],[CO_PAIS]],'[1]nome do paixs'!$A:$B,2,0)</f>
        <v>Bélgica</v>
      </c>
      <c r="J710" t="s">
        <v>12</v>
      </c>
    </row>
    <row r="711" spans="1:10">
      <c r="A711">
        <v>2025</v>
      </c>
      <c r="B711">
        <v>4</v>
      </c>
      <c r="C711">
        <v>8807</v>
      </c>
      <c r="D711">
        <v>493</v>
      </c>
      <c r="E711" t="s">
        <v>10</v>
      </c>
      <c r="F711">
        <v>3454102</v>
      </c>
      <c r="G711" s="1">
        <v>23146</v>
      </c>
      <c r="H711" s="2">
        <v>12913760</v>
      </c>
      <c r="I711" t="str">
        <f>VLOOKUP(Tabela1[[#This Row],[CO_PAIS]],'[1]nome do paixs'!$A:$B,2,0)</f>
        <v>México</v>
      </c>
      <c r="J711" t="s">
        <v>11</v>
      </c>
    </row>
    <row r="712" spans="1:10">
      <c r="A712">
        <v>2025</v>
      </c>
      <c r="B712">
        <v>4</v>
      </c>
      <c r="C712">
        <v>8807</v>
      </c>
      <c r="D712">
        <v>245</v>
      </c>
      <c r="E712" t="s">
        <v>10</v>
      </c>
      <c r="F712">
        <v>3454102</v>
      </c>
      <c r="G712" s="1">
        <v>689</v>
      </c>
      <c r="H712" s="2">
        <v>778527</v>
      </c>
      <c r="I712" t="str">
        <f>VLOOKUP(Tabela1[[#This Row],[CO_PAIS]],'[1]nome do paixs'!$A:$B,2,0)</f>
        <v>Espanha</v>
      </c>
      <c r="J712" t="s">
        <v>11</v>
      </c>
    </row>
    <row r="713" spans="1:10">
      <c r="A713">
        <v>2024</v>
      </c>
      <c r="B713">
        <v>4</v>
      </c>
      <c r="C713">
        <v>8807</v>
      </c>
      <c r="D713">
        <v>23</v>
      </c>
      <c r="E713" t="s">
        <v>10</v>
      </c>
      <c r="F713">
        <v>3454102</v>
      </c>
      <c r="G713" s="1">
        <v>9857</v>
      </c>
      <c r="H713" s="2">
        <v>962756</v>
      </c>
      <c r="I713" t="str">
        <f>VLOOKUP(Tabela1[[#This Row],[CO_PAIS]],'[1]nome do paixs'!$A:$B,2,0)</f>
        <v>Alemanha</v>
      </c>
      <c r="J713" t="s">
        <v>11</v>
      </c>
    </row>
    <row r="714" spans="1:10">
      <c r="A714">
        <v>2024</v>
      </c>
      <c r="B714">
        <v>4</v>
      </c>
      <c r="C714">
        <v>8807</v>
      </c>
      <c r="D714">
        <v>190</v>
      </c>
      <c r="E714" t="s">
        <v>10</v>
      </c>
      <c r="F714">
        <v>3449904</v>
      </c>
      <c r="G714" s="1">
        <v>26</v>
      </c>
      <c r="H714" s="2">
        <v>88104</v>
      </c>
      <c r="I714" t="str">
        <f>VLOOKUP(Tabela1[[#This Row],[CO_PAIS]],'[1]nome do paixs'!$A:$B,2,0)</f>
        <v>Coreia do Sul</v>
      </c>
      <c r="J714" t="s">
        <v>12</v>
      </c>
    </row>
    <row r="715" spans="1:10">
      <c r="A715">
        <v>2024</v>
      </c>
      <c r="B715">
        <v>4</v>
      </c>
      <c r="C715">
        <v>8807</v>
      </c>
      <c r="D715">
        <v>72</v>
      </c>
      <c r="E715" t="s">
        <v>10</v>
      </c>
      <c r="F715">
        <v>3449904</v>
      </c>
      <c r="G715" s="1">
        <v>0</v>
      </c>
      <c r="H715" s="2">
        <v>458</v>
      </c>
      <c r="I715" t="str">
        <f>VLOOKUP(Tabela1[[#This Row],[CO_PAIS]],'[1]nome do paixs'!$A:$B,2,0)</f>
        <v>Áustria</v>
      </c>
      <c r="J715" t="s">
        <v>12</v>
      </c>
    </row>
    <row r="716" spans="1:10">
      <c r="A716">
        <v>2024</v>
      </c>
      <c r="B716">
        <v>4</v>
      </c>
      <c r="C716">
        <v>8807</v>
      </c>
      <c r="D716">
        <v>249</v>
      </c>
      <c r="E716" t="s">
        <v>10</v>
      </c>
      <c r="F716">
        <v>3454102</v>
      </c>
      <c r="G716" s="1">
        <v>40848</v>
      </c>
      <c r="H716" s="2">
        <v>10914008</v>
      </c>
      <c r="I716" t="str">
        <f>VLOOKUP(Tabela1[[#This Row],[CO_PAIS]],'[1]nome do paixs'!$A:$B,2,0)</f>
        <v>Estados Unidos</v>
      </c>
      <c r="J716" t="s">
        <v>11</v>
      </c>
    </row>
    <row r="717" spans="1:10">
      <c r="A717">
        <v>2024</v>
      </c>
      <c r="B717">
        <v>4</v>
      </c>
      <c r="C717">
        <v>8807</v>
      </c>
      <c r="D717">
        <v>827</v>
      </c>
      <c r="E717" t="s">
        <v>10</v>
      </c>
      <c r="F717">
        <v>3449904</v>
      </c>
      <c r="G717" s="1">
        <v>0</v>
      </c>
      <c r="H717" s="2">
        <v>66</v>
      </c>
      <c r="I717" t="str">
        <f>VLOOKUP(Tabela1[[#This Row],[CO_PAIS]],'[1]nome do paixs'!$A:$B,2,0)</f>
        <v>Turquia</v>
      </c>
      <c r="J717" t="s">
        <v>12</v>
      </c>
    </row>
    <row r="718" spans="1:10">
      <c r="A718">
        <v>2024</v>
      </c>
      <c r="B718">
        <v>4</v>
      </c>
      <c r="C718">
        <v>8807</v>
      </c>
      <c r="D718">
        <v>23</v>
      </c>
      <c r="E718" t="s">
        <v>10</v>
      </c>
      <c r="F718">
        <v>3449904</v>
      </c>
      <c r="G718" s="1">
        <v>523</v>
      </c>
      <c r="H718" s="2">
        <v>504162</v>
      </c>
      <c r="I718" t="str">
        <f>VLOOKUP(Tabela1[[#This Row],[CO_PAIS]],'[1]nome do paixs'!$A:$B,2,0)</f>
        <v>Alemanha</v>
      </c>
      <c r="J718" t="s">
        <v>12</v>
      </c>
    </row>
    <row r="719" spans="1:10">
      <c r="A719">
        <v>2024</v>
      </c>
      <c r="B719">
        <v>4</v>
      </c>
      <c r="C719">
        <v>8807</v>
      </c>
      <c r="D719">
        <v>676</v>
      </c>
      <c r="E719" t="s">
        <v>10</v>
      </c>
      <c r="F719">
        <v>3454102</v>
      </c>
      <c r="G719" s="1">
        <v>2185</v>
      </c>
      <c r="H719" s="2">
        <v>185309</v>
      </c>
      <c r="I719" t="str">
        <f>VLOOKUP(Tabela1[[#This Row],[CO_PAIS]],'[1]nome do paixs'!$A:$B,2,0)</f>
        <v>Rússia</v>
      </c>
      <c r="J719" t="s">
        <v>11</v>
      </c>
    </row>
    <row r="720" spans="1:10">
      <c r="A720">
        <v>2024</v>
      </c>
      <c r="B720">
        <v>4</v>
      </c>
      <c r="C720">
        <v>8807</v>
      </c>
      <c r="D720">
        <v>375</v>
      </c>
      <c r="E720" t="s">
        <v>10</v>
      </c>
      <c r="F720">
        <v>3454102</v>
      </c>
      <c r="G720" s="1">
        <v>294</v>
      </c>
      <c r="H720" s="2">
        <v>145401</v>
      </c>
      <c r="I720" t="str">
        <f>VLOOKUP(Tabela1[[#This Row],[CO_PAIS]],'[1]nome do paixs'!$A:$B,2,0)</f>
        <v>Irlanda</v>
      </c>
      <c r="J720" t="s">
        <v>11</v>
      </c>
    </row>
    <row r="721" spans="1:10">
      <c r="A721">
        <v>2024</v>
      </c>
      <c r="B721">
        <v>4</v>
      </c>
      <c r="C721">
        <v>8807</v>
      </c>
      <c r="D721">
        <v>628</v>
      </c>
      <c r="E721" t="s">
        <v>10</v>
      </c>
      <c r="F721">
        <v>3449904</v>
      </c>
      <c r="G721" s="1">
        <v>549</v>
      </c>
      <c r="H721" s="2">
        <v>574247</v>
      </c>
      <c r="I721" t="str">
        <f>VLOOKUP(Tabela1[[#This Row],[CO_PAIS]],'[1]nome do paixs'!$A:$B,2,0)</f>
        <v>Reino Unido</v>
      </c>
      <c r="J721" t="s">
        <v>12</v>
      </c>
    </row>
    <row r="722" spans="1:10">
      <c r="A722">
        <v>2024</v>
      </c>
      <c r="B722">
        <v>4</v>
      </c>
      <c r="C722">
        <v>8807</v>
      </c>
      <c r="D722">
        <v>361</v>
      </c>
      <c r="E722" t="s">
        <v>10</v>
      </c>
      <c r="F722">
        <v>3449904</v>
      </c>
      <c r="G722" s="1">
        <v>1895</v>
      </c>
      <c r="H722" s="2">
        <v>998692</v>
      </c>
      <c r="I722" t="str">
        <f>VLOOKUP(Tabela1[[#This Row],[CO_PAIS]],'[1]nome do paixs'!$A:$B,2,0)</f>
        <v>Índia</v>
      </c>
      <c r="J722" t="s">
        <v>12</v>
      </c>
    </row>
    <row r="723" spans="1:10">
      <c r="A723">
        <v>2024</v>
      </c>
      <c r="B723">
        <v>4</v>
      </c>
      <c r="C723">
        <v>8807</v>
      </c>
      <c r="D723">
        <v>386</v>
      </c>
      <c r="E723" t="s">
        <v>10</v>
      </c>
      <c r="F723">
        <v>3454102</v>
      </c>
      <c r="G723" s="1">
        <v>192</v>
      </c>
      <c r="H723" s="2">
        <v>538727</v>
      </c>
      <c r="I723" t="str">
        <f>VLOOKUP(Tabela1[[#This Row],[CO_PAIS]],'[1]nome do paixs'!$A:$B,2,0)</f>
        <v>Itália</v>
      </c>
      <c r="J723" t="s">
        <v>11</v>
      </c>
    </row>
    <row r="724" spans="1:10">
      <c r="A724">
        <v>2024</v>
      </c>
      <c r="B724">
        <v>4</v>
      </c>
      <c r="C724">
        <v>8807</v>
      </c>
      <c r="D724">
        <v>493</v>
      </c>
      <c r="E724" t="s">
        <v>10</v>
      </c>
      <c r="F724">
        <v>3449904</v>
      </c>
      <c r="G724" s="1">
        <v>3104</v>
      </c>
      <c r="H724" s="2">
        <v>2273384</v>
      </c>
      <c r="I724" t="str">
        <f>VLOOKUP(Tabela1[[#This Row],[CO_PAIS]],'[1]nome do paixs'!$A:$B,2,0)</f>
        <v>México</v>
      </c>
      <c r="J724" t="s">
        <v>12</v>
      </c>
    </row>
    <row r="725" spans="1:10">
      <c r="A725">
        <v>2024</v>
      </c>
      <c r="B725">
        <v>4</v>
      </c>
      <c r="C725">
        <v>8807</v>
      </c>
      <c r="D725">
        <v>607</v>
      </c>
      <c r="E725" t="s">
        <v>10</v>
      </c>
      <c r="F725">
        <v>3454102</v>
      </c>
      <c r="G725" s="1">
        <v>26344</v>
      </c>
      <c r="H725" s="2">
        <v>8588615</v>
      </c>
      <c r="I725" t="str">
        <f>VLOOKUP(Tabela1[[#This Row],[CO_PAIS]],'[1]nome do paixs'!$A:$B,2,0)</f>
        <v>Portugal</v>
      </c>
      <c r="J725" t="s">
        <v>11</v>
      </c>
    </row>
    <row r="726" spans="1:10">
      <c r="A726">
        <v>2024</v>
      </c>
      <c r="B726">
        <v>4</v>
      </c>
      <c r="C726">
        <v>8807</v>
      </c>
      <c r="D726">
        <v>87</v>
      </c>
      <c r="E726" t="s">
        <v>10</v>
      </c>
      <c r="F726">
        <v>3454102</v>
      </c>
      <c r="G726" s="1">
        <v>2093</v>
      </c>
      <c r="H726" s="2">
        <v>1872032</v>
      </c>
      <c r="I726" t="str">
        <f>VLOOKUP(Tabela1[[#This Row],[CO_PAIS]],'[1]nome do paixs'!$A:$B,2,0)</f>
        <v>Bélgica</v>
      </c>
      <c r="J726" t="s">
        <v>11</v>
      </c>
    </row>
    <row r="727" spans="1:10">
      <c r="A727">
        <v>2024</v>
      </c>
      <c r="B727">
        <v>4</v>
      </c>
      <c r="C727">
        <v>8807</v>
      </c>
      <c r="D727">
        <v>603</v>
      </c>
      <c r="E727" t="s">
        <v>10</v>
      </c>
      <c r="F727">
        <v>3449904</v>
      </c>
      <c r="G727" s="1">
        <v>49</v>
      </c>
      <c r="H727" s="2">
        <v>10683</v>
      </c>
      <c r="I727" t="str">
        <f>VLOOKUP(Tabela1[[#This Row],[CO_PAIS]],'[1]nome do paixs'!$A:$B,2,0)</f>
        <v>Polônia</v>
      </c>
      <c r="J727" t="s">
        <v>12</v>
      </c>
    </row>
    <row r="728" spans="1:10">
      <c r="A728">
        <v>2024</v>
      </c>
      <c r="B728">
        <v>4</v>
      </c>
      <c r="C728">
        <v>8807</v>
      </c>
      <c r="D728">
        <v>791</v>
      </c>
      <c r="E728" t="s">
        <v>10</v>
      </c>
      <c r="F728">
        <v>3449904</v>
      </c>
      <c r="G728" s="1">
        <v>3</v>
      </c>
      <c r="H728" s="2">
        <v>2762</v>
      </c>
      <c r="I728" t="str">
        <f>VLOOKUP(Tabela1[[#This Row],[CO_PAIS]],'[1]nome do paixs'!$A:$B,2,0)</f>
        <v>Tcheca, República</v>
      </c>
      <c r="J728" t="s">
        <v>12</v>
      </c>
    </row>
    <row r="729" spans="1:10">
      <c r="A729">
        <v>2024</v>
      </c>
      <c r="B729">
        <v>4</v>
      </c>
      <c r="C729">
        <v>8807</v>
      </c>
      <c r="D729">
        <v>767</v>
      </c>
      <c r="E729" t="s">
        <v>10</v>
      </c>
      <c r="F729">
        <v>3449904</v>
      </c>
      <c r="G729" s="1">
        <v>0</v>
      </c>
      <c r="H729" s="2">
        <v>551</v>
      </c>
      <c r="I729" t="str">
        <f>VLOOKUP(Tabela1[[#This Row],[CO_PAIS]],'[1]nome do paixs'!$A:$B,2,0)</f>
        <v>Suíça</v>
      </c>
      <c r="J729" t="s">
        <v>12</v>
      </c>
    </row>
    <row r="730" spans="1:10">
      <c r="A730">
        <v>2024</v>
      </c>
      <c r="B730">
        <v>4</v>
      </c>
      <c r="C730">
        <v>8807</v>
      </c>
      <c r="D730">
        <v>474</v>
      </c>
      <c r="E730" t="s">
        <v>10</v>
      </c>
      <c r="F730">
        <v>3454102</v>
      </c>
      <c r="G730" s="1">
        <v>46</v>
      </c>
      <c r="H730" s="2">
        <v>121164</v>
      </c>
      <c r="I730" t="str">
        <f>VLOOKUP(Tabela1[[#This Row],[CO_PAIS]],'[1]nome do paixs'!$A:$B,2,0)</f>
        <v>Marrocos</v>
      </c>
      <c r="J730" t="s">
        <v>11</v>
      </c>
    </row>
    <row r="731" spans="1:10">
      <c r="A731">
        <v>2024</v>
      </c>
      <c r="B731">
        <v>4</v>
      </c>
      <c r="C731">
        <v>8807</v>
      </c>
      <c r="D731">
        <v>149</v>
      </c>
      <c r="E731" t="s">
        <v>10</v>
      </c>
      <c r="F731">
        <v>3449904</v>
      </c>
      <c r="G731" s="1">
        <v>96</v>
      </c>
      <c r="H731" s="2">
        <v>114876</v>
      </c>
      <c r="I731" t="str">
        <f>VLOOKUP(Tabela1[[#This Row],[CO_PAIS]],'[1]nome do paixs'!$A:$B,2,0)</f>
        <v>Canadá</v>
      </c>
      <c r="J731" t="s">
        <v>12</v>
      </c>
    </row>
    <row r="732" spans="1:10">
      <c r="A732">
        <v>2024</v>
      </c>
      <c r="B732">
        <v>4</v>
      </c>
      <c r="C732">
        <v>8807</v>
      </c>
      <c r="D732">
        <v>105</v>
      </c>
      <c r="E732" t="s">
        <v>10</v>
      </c>
      <c r="F732">
        <v>3454102</v>
      </c>
      <c r="G732" s="1">
        <v>6746</v>
      </c>
      <c r="H732" s="2">
        <v>6576281</v>
      </c>
      <c r="I732" t="str">
        <f>VLOOKUP(Tabela1[[#This Row],[CO_PAIS]],'[1]nome do paixs'!$A:$B,2,0)</f>
        <v>Brasil</v>
      </c>
      <c r="J732" t="s">
        <v>11</v>
      </c>
    </row>
    <row r="733" spans="1:10">
      <c r="A733">
        <v>2024</v>
      </c>
      <c r="B733">
        <v>4</v>
      </c>
      <c r="C733">
        <v>8807</v>
      </c>
      <c r="D733">
        <v>275</v>
      </c>
      <c r="E733" t="s">
        <v>10</v>
      </c>
      <c r="F733">
        <v>3424402</v>
      </c>
      <c r="G733" s="1">
        <v>569</v>
      </c>
      <c r="H733" s="2">
        <v>729065</v>
      </c>
      <c r="I733" t="str">
        <f>VLOOKUP(Tabela1[[#This Row],[CO_PAIS]],'[1]nome do paixs'!$A:$B,2,0)</f>
        <v>França</v>
      </c>
      <c r="J733" t="s">
        <v>13</v>
      </c>
    </row>
    <row r="734" spans="1:10">
      <c r="A734">
        <v>2024</v>
      </c>
      <c r="B734">
        <v>4</v>
      </c>
      <c r="C734">
        <v>8807</v>
      </c>
      <c r="D734">
        <v>461</v>
      </c>
      <c r="E734" t="s">
        <v>10</v>
      </c>
      <c r="F734">
        <v>3449904</v>
      </c>
      <c r="G734" s="1">
        <v>3</v>
      </c>
      <c r="H734" s="2">
        <v>63056</v>
      </c>
      <c r="I734" t="str">
        <f>VLOOKUP(Tabela1[[#This Row],[CO_PAIS]],'[1]nome do paixs'!$A:$B,2,0)</f>
        <v>Maldivas</v>
      </c>
      <c r="J734" t="s">
        <v>12</v>
      </c>
    </row>
    <row r="735" spans="1:10">
      <c r="A735">
        <v>2024</v>
      </c>
      <c r="B735">
        <v>4</v>
      </c>
      <c r="C735">
        <v>8807</v>
      </c>
      <c r="D735">
        <v>791</v>
      </c>
      <c r="E735" t="s">
        <v>10</v>
      </c>
      <c r="F735">
        <v>3424402</v>
      </c>
      <c r="G735" s="1">
        <v>215</v>
      </c>
      <c r="H735" s="2">
        <v>165658</v>
      </c>
      <c r="I735" t="str">
        <f>VLOOKUP(Tabela1[[#This Row],[CO_PAIS]],'[1]nome do paixs'!$A:$B,2,0)</f>
        <v>Tcheca, República</v>
      </c>
      <c r="J735" t="s">
        <v>13</v>
      </c>
    </row>
    <row r="736" spans="1:10">
      <c r="A736">
        <v>2024</v>
      </c>
      <c r="B736">
        <v>4</v>
      </c>
      <c r="C736">
        <v>8807</v>
      </c>
      <c r="D736">
        <v>87</v>
      </c>
      <c r="E736" t="s">
        <v>10</v>
      </c>
      <c r="F736">
        <v>3449904</v>
      </c>
      <c r="G736" s="1">
        <v>2835</v>
      </c>
      <c r="H736" s="2">
        <v>3158525</v>
      </c>
      <c r="I736" t="str">
        <f>VLOOKUP(Tabela1[[#This Row],[CO_PAIS]],'[1]nome do paixs'!$A:$B,2,0)</f>
        <v>Bélgica</v>
      </c>
      <c r="J736" t="s">
        <v>12</v>
      </c>
    </row>
    <row r="737" spans="1:10">
      <c r="A737">
        <v>2024</v>
      </c>
      <c r="B737">
        <v>4</v>
      </c>
      <c r="C737">
        <v>8807</v>
      </c>
      <c r="D737">
        <v>386</v>
      </c>
      <c r="E737" t="s">
        <v>10</v>
      </c>
      <c r="F737">
        <v>3449904</v>
      </c>
      <c r="G737" s="1">
        <v>11</v>
      </c>
      <c r="H737" s="2">
        <v>11010</v>
      </c>
      <c r="I737" t="str">
        <f>VLOOKUP(Tabela1[[#This Row],[CO_PAIS]],'[1]nome do paixs'!$A:$B,2,0)</f>
        <v>Itália</v>
      </c>
      <c r="J737" t="s">
        <v>12</v>
      </c>
    </row>
    <row r="738" spans="1:10">
      <c r="A738">
        <v>2024</v>
      </c>
      <c r="B738">
        <v>4</v>
      </c>
      <c r="C738">
        <v>8807</v>
      </c>
      <c r="D738">
        <v>245</v>
      </c>
      <c r="E738" t="s">
        <v>10</v>
      </c>
      <c r="F738">
        <v>3424402</v>
      </c>
      <c r="G738" s="1">
        <v>264</v>
      </c>
      <c r="H738" s="2">
        <v>76560</v>
      </c>
      <c r="I738" t="str">
        <f>VLOOKUP(Tabela1[[#This Row],[CO_PAIS]],'[1]nome do paixs'!$A:$B,2,0)</f>
        <v>Espanha</v>
      </c>
      <c r="J738" t="s">
        <v>13</v>
      </c>
    </row>
    <row r="739" spans="1:10">
      <c r="A739">
        <v>2024</v>
      </c>
      <c r="B739">
        <v>4</v>
      </c>
      <c r="C739">
        <v>8807</v>
      </c>
      <c r="D739">
        <v>275</v>
      </c>
      <c r="E739" t="s">
        <v>10</v>
      </c>
      <c r="F739">
        <v>3454102</v>
      </c>
      <c r="G739" s="1">
        <v>1316</v>
      </c>
      <c r="H739" s="2">
        <v>1390579</v>
      </c>
      <c r="I739" t="str">
        <f>VLOOKUP(Tabela1[[#This Row],[CO_PAIS]],'[1]nome do paixs'!$A:$B,2,0)</f>
        <v>França</v>
      </c>
      <c r="J739" t="s">
        <v>11</v>
      </c>
    </row>
    <row r="740" spans="1:10">
      <c r="A740">
        <v>2024</v>
      </c>
      <c r="B740">
        <v>4</v>
      </c>
      <c r="C740">
        <v>8807</v>
      </c>
      <c r="D740">
        <v>72</v>
      </c>
      <c r="E740" t="s">
        <v>10</v>
      </c>
      <c r="F740">
        <v>3454102</v>
      </c>
      <c r="G740" s="1">
        <v>9489</v>
      </c>
      <c r="H740" s="2">
        <v>2041033</v>
      </c>
      <c r="I740" t="str">
        <f>VLOOKUP(Tabela1[[#This Row],[CO_PAIS]],'[1]nome do paixs'!$A:$B,2,0)</f>
        <v>Áustria</v>
      </c>
      <c r="J740" t="s">
        <v>11</v>
      </c>
    </row>
    <row r="741" spans="1:10">
      <c r="A741">
        <v>2024</v>
      </c>
      <c r="B741">
        <v>4</v>
      </c>
      <c r="C741">
        <v>8807</v>
      </c>
      <c r="D741">
        <v>87</v>
      </c>
      <c r="E741" t="s">
        <v>10</v>
      </c>
      <c r="F741">
        <v>3424402</v>
      </c>
      <c r="G741" s="1">
        <v>47</v>
      </c>
      <c r="H741" s="2">
        <v>71732</v>
      </c>
      <c r="I741" t="str">
        <f>VLOOKUP(Tabela1[[#This Row],[CO_PAIS]],'[1]nome do paixs'!$A:$B,2,0)</f>
        <v>Bélgica</v>
      </c>
      <c r="J741" t="s">
        <v>13</v>
      </c>
    </row>
    <row r="742" spans="1:10">
      <c r="A742">
        <v>2024</v>
      </c>
      <c r="B742">
        <v>4</v>
      </c>
      <c r="C742">
        <v>8807</v>
      </c>
      <c r="D742">
        <v>493</v>
      </c>
      <c r="E742" t="s">
        <v>10</v>
      </c>
      <c r="F742">
        <v>3454102</v>
      </c>
      <c r="G742" s="1">
        <v>15172</v>
      </c>
      <c r="H742" s="2">
        <v>6472549</v>
      </c>
      <c r="I742" t="str">
        <f>VLOOKUP(Tabela1[[#This Row],[CO_PAIS]],'[1]nome do paixs'!$A:$B,2,0)</f>
        <v>México</v>
      </c>
      <c r="J742" t="s">
        <v>11</v>
      </c>
    </row>
    <row r="743" spans="1:10">
      <c r="A743">
        <v>2024</v>
      </c>
      <c r="B743">
        <v>4</v>
      </c>
      <c r="C743">
        <v>8807</v>
      </c>
      <c r="D743">
        <v>375</v>
      </c>
      <c r="E743" t="s">
        <v>10</v>
      </c>
      <c r="F743">
        <v>3449904</v>
      </c>
      <c r="G743" s="1">
        <v>186</v>
      </c>
      <c r="H743" s="2">
        <v>77581</v>
      </c>
      <c r="I743" t="str">
        <f>VLOOKUP(Tabela1[[#This Row],[CO_PAIS]],'[1]nome do paixs'!$A:$B,2,0)</f>
        <v>Irlanda</v>
      </c>
      <c r="J743" t="s">
        <v>12</v>
      </c>
    </row>
    <row r="744" spans="1:10">
      <c r="A744">
        <v>2024</v>
      </c>
      <c r="B744">
        <v>4</v>
      </c>
      <c r="C744">
        <v>8807</v>
      </c>
      <c r="D744">
        <v>105</v>
      </c>
      <c r="E744" t="s">
        <v>10</v>
      </c>
      <c r="F744">
        <v>3449904</v>
      </c>
      <c r="G744" s="1">
        <v>11701</v>
      </c>
      <c r="H744" s="2">
        <v>7475552</v>
      </c>
      <c r="I744" t="str">
        <f>VLOOKUP(Tabela1[[#This Row],[CO_PAIS]],'[1]nome do paixs'!$A:$B,2,0)</f>
        <v>Brasil</v>
      </c>
      <c r="J744" t="s">
        <v>12</v>
      </c>
    </row>
    <row r="745" spans="1:10">
      <c r="A745">
        <v>2024</v>
      </c>
      <c r="B745">
        <v>4</v>
      </c>
      <c r="C745">
        <v>8807</v>
      </c>
      <c r="D745">
        <v>399</v>
      </c>
      <c r="E745" t="s">
        <v>10</v>
      </c>
      <c r="F745">
        <v>3449904</v>
      </c>
      <c r="G745" s="1">
        <v>175</v>
      </c>
      <c r="H745" s="2">
        <v>163552</v>
      </c>
      <c r="I745" t="str">
        <f>VLOOKUP(Tabela1[[#This Row],[CO_PAIS]],'[1]nome do paixs'!$A:$B,2,0)</f>
        <v>Japão</v>
      </c>
      <c r="J745" t="s">
        <v>12</v>
      </c>
    </row>
    <row r="746" spans="1:10">
      <c r="A746">
        <v>2024</v>
      </c>
      <c r="B746">
        <v>4</v>
      </c>
      <c r="C746">
        <v>8807</v>
      </c>
      <c r="D746">
        <v>249</v>
      </c>
      <c r="E746" t="s">
        <v>10</v>
      </c>
      <c r="F746">
        <v>3449904</v>
      </c>
      <c r="G746" s="1">
        <v>4594</v>
      </c>
      <c r="H746" s="2">
        <v>3873075</v>
      </c>
      <c r="I746" t="str">
        <f>VLOOKUP(Tabela1[[#This Row],[CO_PAIS]],'[1]nome do paixs'!$A:$B,2,0)</f>
        <v>Estados Unidos</v>
      </c>
      <c r="J746" t="s">
        <v>12</v>
      </c>
    </row>
    <row r="747" spans="1:10">
      <c r="A747">
        <v>2024</v>
      </c>
      <c r="B747">
        <v>4</v>
      </c>
      <c r="C747">
        <v>8807</v>
      </c>
      <c r="D747">
        <v>741</v>
      </c>
      <c r="E747" t="s">
        <v>10</v>
      </c>
      <c r="F747">
        <v>3449904</v>
      </c>
      <c r="G747" s="1">
        <v>119</v>
      </c>
      <c r="H747" s="2">
        <v>80330</v>
      </c>
      <c r="I747" t="str">
        <f>VLOOKUP(Tabela1[[#This Row],[CO_PAIS]],'[1]nome do paixs'!$A:$B,2,0)</f>
        <v>Singapura</v>
      </c>
      <c r="J747" t="s">
        <v>12</v>
      </c>
    </row>
    <row r="748" spans="1:10">
      <c r="A748">
        <v>2024</v>
      </c>
      <c r="B748">
        <v>4</v>
      </c>
      <c r="C748">
        <v>8807</v>
      </c>
      <c r="D748">
        <v>245</v>
      </c>
      <c r="E748" t="s">
        <v>10</v>
      </c>
      <c r="F748">
        <v>3449904</v>
      </c>
      <c r="G748" s="1">
        <v>5375</v>
      </c>
      <c r="H748" s="2">
        <v>1979036</v>
      </c>
      <c r="I748" t="str">
        <f>VLOOKUP(Tabela1[[#This Row],[CO_PAIS]],'[1]nome do paixs'!$A:$B,2,0)</f>
        <v>Espanha</v>
      </c>
      <c r="J748" t="s">
        <v>12</v>
      </c>
    </row>
    <row r="749" spans="1:10">
      <c r="A749">
        <v>2024</v>
      </c>
      <c r="B749">
        <v>4</v>
      </c>
      <c r="C749">
        <v>8807</v>
      </c>
      <c r="D749">
        <v>190</v>
      </c>
      <c r="E749" t="s">
        <v>10</v>
      </c>
      <c r="F749">
        <v>3454102</v>
      </c>
      <c r="G749" s="1">
        <v>3428</v>
      </c>
      <c r="H749" s="2">
        <v>2497602</v>
      </c>
      <c r="I749" t="str">
        <f>VLOOKUP(Tabela1[[#This Row],[CO_PAIS]],'[1]nome do paixs'!$A:$B,2,0)</f>
        <v>Coreia do Sul</v>
      </c>
      <c r="J749" t="s">
        <v>11</v>
      </c>
    </row>
    <row r="750" spans="1:10">
      <c r="A750">
        <v>2024</v>
      </c>
      <c r="B750">
        <v>4</v>
      </c>
      <c r="C750">
        <v>8807</v>
      </c>
      <c r="D750">
        <v>628</v>
      </c>
      <c r="E750" t="s">
        <v>10</v>
      </c>
      <c r="F750">
        <v>3454102</v>
      </c>
      <c r="G750" s="1">
        <v>266</v>
      </c>
      <c r="H750" s="2">
        <v>377683</v>
      </c>
      <c r="I750" t="str">
        <f>VLOOKUP(Tabela1[[#This Row],[CO_PAIS]],'[1]nome do paixs'!$A:$B,2,0)</f>
        <v>Reino Unido</v>
      </c>
      <c r="J750" t="s">
        <v>11</v>
      </c>
    </row>
    <row r="751" spans="1:10">
      <c r="A751">
        <v>2024</v>
      </c>
      <c r="B751">
        <v>4</v>
      </c>
      <c r="C751">
        <v>8807</v>
      </c>
      <c r="D751">
        <v>275</v>
      </c>
      <c r="E751" t="s">
        <v>10</v>
      </c>
      <c r="F751">
        <v>3449904</v>
      </c>
      <c r="G751" s="1">
        <v>663</v>
      </c>
      <c r="H751" s="2">
        <v>637642</v>
      </c>
      <c r="I751" t="str">
        <f>VLOOKUP(Tabela1[[#This Row],[CO_PAIS]],'[1]nome do paixs'!$A:$B,2,0)</f>
        <v>França</v>
      </c>
      <c r="J751" t="s">
        <v>12</v>
      </c>
    </row>
    <row r="752" spans="1:10">
      <c r="A752">
        <v>2024</v>
      </c>
      <c r="B752">
        <v>4</v>
      </c>
      <c r="C752">
        <v>8807</v>
      </c>
      <c r="D752">
        <v>607</v>
      </c>
      <c r="E752" t="s">
        <v>10</v>
      </c>
      <c r="F752">
        <v>3449904</v>
      </c>
      <c r="G752" s="1">
        <v>4</v>
      </c>
      <c r="H752" s="2">
        <v>10886</v>
      </c>
      <c r="I752" t="str">
        <f>VLOOKUP(Tabela1[[#This Row],[CO_PAIS]],'[1]nome do paixs'!$A:$B,2,0)</f>
        <v>Portugal</v>
      </c>
      <c r="J752" t="s">
        <v>12</v>
      </c>
    </row>
    <row r="753" spans="1:10">
      <c r="A753">
        <v>2024</v>
      </c>
      <c r="B753">
        <v>4</v>
      </c>
      <c r="C753">
        <v>8807</v>
      </c>
      <c r="D753">
        <v>399</v>
      </c>
      <c r="E753" t="s">
        <v>10</v>
      </c>
      <c r="F753">
        <v>3454102</v>
      </c>
      <c r="G753" s="1">
        <v>1949</v>
      </c>
      <c r="H753" s="2">
        <v>1226584</v>
      </c>
      <c r="I753" t="str">
        <f>VLOOKUP(Tabela1[[#This Row],[CO_PAIS]],'[1]nome do paixs'!$A:$B,2,0)</f>
        <v>Japão</v>
      </c>
      <c r="J753" t="s">
        <v>11</v>
      </c>
    </row>
    <row r="754" spans="1:10">
      <c r="A754">
        <v>2024</v>
      </c>
      <c r="B754">
        <v>4</v>
      </c>
      <c r="C754">
        <v>8807</v>
      </c>
      <c r="D754">
        <v>245</v>
      </c>
      <c r="E754" t="s">
        <v>10</v>
      </c>
      <c r="F754">
        <v>3454102</v>
      </c>
      <c r="G754" s="1">
        <v>980</v>
      </c>
      <c r="H754" s="2">
        <v>721431</v>
      </c>
      <c r="I754" t="str">
        <f>VLOOKUP(Tabela1[[#This Row],[CO_PAIS]],'[1]nome do paixs'!$A:$B,2,0)</f>
        <v>Espanha</v>
      </c>
      <c r="J754" t="s">
        <v>11</v>
      </c>
    </row>
    <row r="755" spans="1:10">
      <c r="A755">
        <v>2024</v>
      </c>
      <c r="B755">
        <v>4</v>
      </c>
      <c r="C755">
        <v>8807</v>
      </c>
      <c r="D755">
        <v>149</v>
      </c>
      <c r="E755" t="s">
        <v>10</v>
      </c>
      <c r="F755">
        <v>3454102</v>
      </c>
      <c r="G755" s="1">
        <v>428</v>
      </c>
      <c r="H755" s="2">
        <v>332790</v>
      </c>
      <c r="I755" t="str">
        <f>VLOOKUP(Tabela1[[#This Row],[CO_PAIS]],'[1]nome do paixs'!$A:$B,2,0)</f>
        <v>Canadá</v>
      </c>
      <c r="J755" t="s">
        <v>11</v>
      </c>
    </row>
    <row r="756" spans="1:10">
      <c r="A756">
        <v>2023</v>
      </c>
      <c r="B756">
        <v>4</v>
      </c>
      <c r="C756">
        <v>8807</v>
      </c>
      <c r="D756">
        <v>105</v>
      </c>
      <c r="E756" t="s">
        <v>10</v>
      </c>
      <c r="F756">
        <v>3454102</v>
      </c>
      <c r="G756" s="1">
        <v>4321</v>
      </c>
      <c r="H756" s="2">
        <v>4177341</v>
      </c>
      <c r="I756" t="str">
        <f>VLOOKUP(Tabela1[[#This Row],[CO_PAIS]],'[1]nome do paixs'!$A:$B,2,0)</f>
        <v>Brasil</v>
      </c>
      <c r="J756" t="s">
        <v>11</v>
      </c>
    </row>
    <row r="757" spans="1:10">
      <c r="A757">
        <v>2023</v>
      </c>
      <c r="B757">
        <v>4</v>
      </c>
      <c r="C757">
        <v>8807</v>
      </c>
      <c r="D757">
        <v>603</v>
      </c>
      <c r="E757" t="s">
        <v>10</v>
      </c>
      <c r="F757">
        <v>3449904</v>
      </c>
      <c r="G757" s="1">
        <v>16</v>
      </c>
      <c r="H757" s="2">
        <v>6829</v>
      </c>
      <c r="I757" t="str">
        <f>VLOOKUP(Tabela1[[#This Row],[CO_PAIS]],'[1]nome do paixs'!$A:$B,2,0)</f>
        <v>Polônia</v>
      </c>
      <c r="J757" t="s">
        <v>12</v>
      </c>
    </row>
    <row r="758" spans="1:10">
      <c r="A758">
        <v>2023</v>
      </c>
      <c r="B758">
        <v>4</v>
      </c>
      <c r="C758">
        <v>8807</v>
      </c>
      <c r="D758">
        <v>455</v>
      </c>
      <c r="E758" t="s">
        <v>10</v>
      </c>
      <c r="F758">
        <v>3454102</v>
      </c>
      <c r="G758" s="1">
        <v>533</v>
      </c>
      <c r="H758" s="2">
        <v>92897</v>
      </c>
      <c r="I758" t="str">
        <f>VLOOKUP(Tabela1[[#This Row],[CO_PAIS]],'[1]nome do paixs'!$A:$B,2,0)</f>
        <v>Malásia</v>
      </c>
      <c r="J758" t="s">
        <v>11</v>
      </c>
    </row>
    <row r="759" spans="1:10">
      <c r="A759">
        <v>2023</v>
      </c>
      <c r="B759">
        <v>4</v>
      </c>
      <c r="C759">
        <v>8807</v>
      </c>
      <c r="D759">
        <v>361</v>
      </c>
      <c r="E759" t="s">
        <v>10</v>
      </c>
      <c r="F759">
        <v>3449904</v>
      </c>
      <c r="G759" s="1">
        <v>530</v>
      </c>
      <c r="H759" s="2">
        <v>242646</v>
      </c>
      <c r="I759" t="str">
        <f>VLOOKUP(Tabela1[[#This Row],[CO_PAIS]],'[1]nome do paixs'!$A:$B,2,0)</f>
        <v>Índia</v>
      </c>
      <c r="J759" t="s">
        <v>12</v>
      </c>
    </row>
    <row r="760" spans="1:10">
      <c r="A760">
        <v>2023</v>
      </c>
      <c r="B760">
        <v>4</v>
      </c>
      <c r="C760">
        <v>8807</v>
      </c>
      <c r="D760">
        <v>249</v>
      </c>
      <c r="E760" t="s">
        <v>10</v>
      </c>
      <c r="F760">
        <v>3424402</v>
      </c>
      <c r="G760" s="1">
        <v>987</v>
      </c>
      <c r="H760" s="2">
        <v>241466</v>
      </c>
      <c r="I760" t="str">
        <f>VLOOKUP(Tabela1[[#This Row],[CO_PAIS]],'[1]nome do paixs'!$A:$B,2,0)</f>
        <v>Estados Unidos</v>
      </c>
      <c r="J760" t="s">
        <v>13</v>
      </c>
    </row>
    <row r="761" spans="1:10">
      <c r="A761">
        <v>2023</v>
      </c>
      <c r="B761">
        <v>4</v>
      </c>
      <c r="C761">
        <v>8807</v>
      </c>
      <c r="D761">
        <v>275</v>
      </c>
      <c r="E761" t="s">
        <v>10</v>
      </c>
      <c r="F761">
        <v>3454102</v>
      </c>
      <c r="G761" s="1">
        <v>1123</v>
      </c>
      <c r="H761" s="2">
        <v>1184885</v>
      </c>
      <c r="I761" t="str">
        <f>VLOOKUP(Tabela1[[#This Row],[CO_PAIS]],'[1]nome do paixs'!$A:$B,2,0)</f>
        <v>França</v>
      </c>
      <c r="J761" t="s">
        <v>11</v>
      </c>
    </row>
    <row r="762" spans="1:10">
      <c r="A762">
        <v>2023</v>
      </c>
      <c r="B762">
        <v>4</v>
      </c>
      <c r="C762">
        <v>8807</v>
      </c>
      <c r="D762">
        <v>399</v>
      </c>
      <c r="E762" t="s">
        <v>10</v>
      </c>
      <c r="F762">
        <v>3454102</v>
      </c>
      <c r="G762" s="1">
        <v>2054</v>
      </c>
      <c r="H762" s="2">
        <v>1375039</v>
      </c>
      <c r="I762" t="str">
        <f>VLOOKUP(Tabela1[[#This Row],[CO_PAIS]],'[1]nome do paixs'!$A:$B,2,0)</f>
        <v>Japão</v>
      </c>
      <c r="J762" t="s">
        <v>11</v>
      </c>
    </row>
    <row r="763" spans="1:10">
      <c r="A763">
        <v>2023</v>
      </c>
      <c r="B763">
        <v>4</v>
      </c>
      <c r="C763">
        <v>8807</v>
      </c>
      <c r="D763">
        <v>245</v>
      </c>
      <c r="E763" t="s">
        <v>10</v>
      </c>
      <c r="F763">
        <v>3449904</v>
      </c>
      <c r="G763" s="1">
        <v>2283</v>
      </c>
      <c r="H763" s="2">
        <v>1003212</v>
      </c>
      <c r="I763" t="str">
        <f>VLOOKUP(Tabela1[[#This Row],[CO_PAIS]],'[1]nome do paixs'!$A:$B,2,0)</f>
        <v>Espanha</v>
      </c>
      <c r="J763" t="s">
        <v>12</v>
      </c>
    </row>
    <row r="764" spans="1:10">
      <c r="A764">
        <v>2023</v>
      </c>
      <c r="B764">
        <v>4</v>
      </c>
      <c r="C764">
        <v>8807</v>
      </c>
      <c r="D764">
        <v>386</v>
      </c>
      <c r="E764" t="s">
        <v>10</v>
      </c>
      <c r="F764">
        <v>3454102</v>
      </c>
      <c r="G764" s="1">
        <v>384</v>
      </c>
      <c r="H764" s="2">
        <v>1017748</v>
      </c>
      <c r="I764" t="str">
        <f>VLOOKUP(Tabela1[[#This Row],[CO_PAIS]],'[1]nome do paixs'!$A:$B,2,0)</f>
        <v>Itália</v>
      </c>
      <c r="J764" t="s">
        <v>11</v>
      </c>
    </row>
    <row r="765" spans="1:10">
      <c r="A765">
        <v>2023</v>
      </c>
      <c r="B765">
        <v>4</v>
      </c>
      <c r="C765">
        <v>8807</v>
      </c>
      <c r="D765">
        <v>105</v>
      </c>
      <c r="E765" t="s">
        <v>10</v>
      </c>
      <c r="F765">
        <v>3449904</v>
      </c>
      <c r="G765" s="1">
        <v>8463</v>
      </c>
      <c r="H765" s="2">
        <v>5410763</v>
      </c>
      <c r="I765" t="str">
        <f>VLOOKUP(Tabela1[[#This Row],[CO_PAIS]],'[1]nome do paixs'!$A:$B,2,0)</f>
        <v>Brasil</v>
      </c>
      <c r="J765" t="s">
        <v>12</v>
      </c>
    </row>
    <row r="766" spans="1:10">
      <c r="A766">
        <v>2023</v>
      </c>
      <c r="B766">
        <v>4</v>
      </c>
      <c r="C766">
        <v>8807</v>
      </c>
      <c r="D766">
        <v>375</v>
      </c>
      <c r="E766" t="s">
        <v>10</v>
      </c>
      <c r="F766">
        <v>3454102</v>
      </c>
      <c r="G766" s="1">
        <v>13</v>
      </c>
      <c r="H766" s="2">
        <v>9949</v>
      </c>
      <c r="I766" t="str">
        <f>VLOOKUP(Tabela1[[#This Row],[CO_PAIS]],'[1]nome do paixs'!$A:$B,2,0)</f>
        <v>Irlanda</v>
      </c>
      <c r="J766" t="s">
        <v>11</v>
      </c>
    </row>
    <row r="767" spans="1:10">
      <c r="A767">
        <v>2023</v>
      </c>
      <c r="B767">
        <v>4</v>
      </c>
      <c r="C767">
        <v>8807</v>
      </c>
      <c r="D767">
        <v>628</v>
      </c>
      <c r="E767" t="s">
        <v>10</v>
      </c>
      <c r="F767">
        <v>3454102</v>
      </c>
      <c r="G767" s="1">
        <v>205</v>
      </c>
      <c r="H767" s="2">
        <v>332442</v>
      </c>
      <c r="I767" t="str">
        <f>VLOOKUP(Tabela1[[#This Row],[CO_PAIS]],'[1]nome do paixs'!$A:$B,2,0)</f>
        <v>Reino Unido</v>
      </c>
      <c r="J767" t="s">
        <v>11</v>
      </c>
    </row>
    <row r="768" spans="1:10">
      <c r="A768">
        <v>2023</v>
      </c>
      <c r="B768">
        <v>4</v>
      </c>
      <c r="C768">
        <v>8807</v>
      </c>
      <c r="D768">
        <v>275</v>
      </c>
      <c r="E768" t="s">
        <v>10</v>
      </c>
      <c r="F768">
        <v>3449904</v>
      </c>
      <c r="G768" s="1">
        <v>224</v>
      </c>
      <c r="H768" s="2">
        <v>255144</v>
      </c>
      <c r="I768" t="str">
        <f>VLOOKUP(Tabela1[[#This Row],[CO_PAIS]],'[1]nome do paixs'!$A:$B,2,0)</f>
        <v>França</v>
      </c>
      <c r="J768" t="s">
        <v>12</v>
      </c>
    </row>
    <row r="769" spans="1:10">
      <c r="A769">
        <v>2023</v>
      </c>
      <c r="B769">
        <v>4</v>
      </c>
      <c r="C769">
        <v>8807</v>
      </c>
      <c r="D769">
        <v>791</v>
      </c>
      <c r="E769" t="s">
        <v>10</v>
      </c>
      <c r="F769">
        <v>3454102</v>
      </c>
      <c r="G769" s="1">
        <v>0</v>
      </c>
      <c r="H769" s="2">
        <v>2821</v>
      </c>
      <c r="I769" t="str">
        <f>VLOOKUP(Tabela1[[#This Row],[CO_PAIS]],'[1]nome do paixs'!$A:$B,2,0)</f>
        <v>Tcheca, República</v>
      </c>
      <c r="J769" t="s">
        <v>11</v>
      </c>
    </row>
    <row r="770" spans="1:10">
      <c r="A770">
        <v>2023</v>
      </c>
      <c r="B770">
        <v>4</v>
      </c>
      <c r="C770">
        <v>8807</v>
      </c>
      <c r="D770">
        <v>676</v>
      </c>
      <c r="E770" t="s">
        <v>10</v>
      </c>
      <c r="F770">
        <v>3454102</v>
      </c>
      <c r="G770" s="1">
        <v>3318</v>
      </c>
      <c r="H770" s="2">
        <v>355048</v>
      </c>
      <c r="I770" t="str">
        <f>VLOOKUP(Tabela1[[#This Row],[CO_PAIS]],'[1]nome do paixs'!$A:$B,2,0)</f>
        <v>Rússia</v>
      </c>
      <c r="J770" t="s">
        <v>11</v>
      </c>
    </row>
    <row r="771" spans="1:10">
      <c r="A771">
        <v>2023</v>
      </c>
      <c r="B771">
        <v>4</v>
      </c>
      <c r="C771">
        <v>8807</v>
      </c>
      <c r="D771">
        <v>275</v>
      </c>
      <c r="E771" t="s">
        <v>10</v>
      </c>
      <c r="F771">
        <v>3424402</v>
      </c>
      <c r="G771" s="1">
        <v>278</v>
      </c>
      <c r="H771" s="2">
        <v>368069</v>
      </c>
      <c r="I771" t="str">
        <f>VLOOKUP(Tabela1[[#This Row],[CO_PAIS]],'[1]nome do paixs'!$A:$B,2,0)</f>
        <v>França</v>
      </c>
      <c r="J771" t="s">
        <v>13</v>
      </c>
    </row>
    <row r="772" spans="1:10">
      <c r="A772">
        <v>2023</v>
      </c>
      <c r="B772">
        <v>4</v>
      </c>
      <c r="C772">
        <v>8807</v>
      </c>
      <c r="D772">
        <v>741</v>
      </c>
      <c r="E772" t="s">
        <v>10</v>
      </c>
      <c r="F772">
        <v>3449904</v>
      </c>
      <c r="G772" s="1">
        <v>175</v>
      </c>
      <c r="H772" s="2">
        <v>186202</v>
      </c>
      <c r="I772" t="str">
        <f>VLOOKUP(Tabela1[[#This Row],[CO_PAIS]],'[1]nome do paixs'!$A:$B,2,0)</f>
        <v>Singapura</v>
      </c>
      <c r="J772" t="s">
        <v>12</v>
      </c>
    </row>
    <row r="773" spans="1:10">
      <c r="A773">
        <v>2023</v>
      </c>
      <c r="B773">
        <v>4</v>
      </c>
      <c r="C773">
        <v>8807</v>
      </c>
      <c r="D773">
        <v>493</v>
      </c>
      <c r="E773" t="s">
        <v>10</v>
      </c>
      <c r="F773">
        <v>3449904</v>
      </c>
      <c r="G773" s="1">
        <v>2569</v>
      </c>
      <c r="H773" s="2">
        <v>1328687</v>
      </c>
      <c r="I773" t="str">
        <f>VLOOKUP(Tabela1[[#This Row],[CO_PAIS]],'[1]nome do paixs'!$A:$B,2,0)</f>
        <v>México</v>
      </c>
      <c r="J773" t="s">
        <v>12</v>
      </c>
    </row>
    <row r="774" spans="1:10">
      <c r="A774">
        <v>2023</v>
      </c>
      <c r="B774">
        <v>4</v>
      </c>
      <c r="C774">
        <v>8807</v>
      </c>
      <c r="D774">
        <v>72</v>
      </c>
      <c r="E774" t="s">
        <v>10</v>
      </c>
      <c r="F774">
        <v>3454102</v>
      </c>
      <c r="G774" s="1">
        <v>849</v>
      </c>
      <c r="H774" s="2">
        <v>1124297</v>
      </c>
      <c r="I774" t="str">
        <f>VLOOKUP(Tabela1[[#This Row],[CO_PAIS]],'[1]nome do paixs'!$A:$B,2,0)</f>
        <v>Áustria</v>
      </c>
      <c r="J774" t="s">
        <v>11</v>
      </c>
    </row>
    <row r="775" spans="1:10">
      <c r="A775">
        <v>2023</v>
      </c>
      <c r="B775">
        <v>4</v>
      </c>
      <c r="C775">
        <v>8807</v>
      </c>
      <c r="D775">
        <v>628</v>
      </c>
      <c r="E775" t="s">
        <v>10</v>
      </c>
      <c r="F775">
        <v>3449904</v>
      </c>
      <c r="G775" s="1">
        <v>531</v>
      </c>
      <c r="H775" s="2">
        <v>717026</v>
      </c>
      <c r="I775" t="str">
        <f>VLOOKUP(Tabela1[[#This Row],[CO_PAIS]],'[1]nome do paixs'!$A:$B,2,0)</f>
        <v>Reino Unido</v>
      </c>
      <c r="J775" t="s">
        <v>12</v>
      </c>
    </row>
    <row r="776" spans="1:10">
      <c r="A776">
        <v>2023</v>
      </c>
      <c r="B776">
        <v>4</v>
      </c>
      <c r="C776">
        <v>8807</v>
      </c>
      <c r="D776">
        <v>87</v>
      </c>
      <c r="E776" t="s">
        <v>10</v>
      </c>
      <c r="F776">
        <v>3424402</v>
      </c>
      <c r="G776" s="1">
        <v>2</v>
      </c>
      <c r="H776" s="2">
        <v>4343</v>
      </c>
      <c r="I776" t="str">
        <f>VLOOKUP(Tabela1[[#This Row],[CO_PAIS]],'[1]nome do paixs'!$A:$B,2,0)</f>
        <v>Bélgica</v>
      </c>
      <c r="J776" t="s">
        <v>13</v>
      </c>
    </row>
    <row r="777" spans="1:10">
      <c r="A777">
        <v>2023</v>
      </c>
      <c r="B777">
        <v>4</v>
      </c>
      <c r="C777">
        <v>8807</v>
      </c>
      <c r="D777">
        <v>461</v>
      </c>
      <c r="E777" t="s">
        <v>10</v>
      </c>
      <c r="F777">
        <v>3449904</v>
      </c>
      <c r="G777" s="1">
        <v>1</v>
      </c>
      <c r="H777" s="2">
        <v>55174</v>
      </c>
      <c r="I777" t="str">
        <f>VLOOKUP(Tabela1[[#This Row],[CO_PAIS]],'[1]nome do paixs'!$A:$B,2,0)</f>
        <v>Maldivas</v>
      </c>
      <c r="J777" t="s">
        <v>12</v>
      </c>
    </row>
    <row r="778" spans="1:10">
      <c r="A778">
        <v>2023</v>
      </c>
      <c r="B778">
        <v>4</v>
      </c>
      <c r="C778">
        <v>8807</v>
      </c>
      <c r="D778">
        <v>386</v>
      </c>
      <c r="E778" t="s">
        <v>10</v>
      </c>
      <c r="F778">
        <v>3449904</v>
      </c>
      <c r="G778" s="1">
        <v>10</v>
      </c>
      <c r="H778" s="2">
        <v>11493</v>
      </c>
      <c r="I778" t="str">
        <f>VLOOKUP(Tabela1[[#This Row],[CO_PAIS]],'[1]nome do paixs'!$A:$B,2,0)</f>
        <v>Itália</v>
      </c>
      <c r="J778" t="s">
        <v>12</v>
      </c>
    </row>
    <row r="779" spans="1:10">
      <c r="A779">
        <v>2023</v>
      </c>
      <c r="B779">
        <v>4</v>
      </c>
      <c r="C779">
        <v>8807</v>
      </c>
      <c r="D779">
        <v>190</v>
      </c>
      <c r="E779" t="s">
        <v>10</v>
      </c>
      <c r="F779">
        <v>3449904</v>
      </c>
      <c r="G779" s="1">
        <v>1</v>
      </c>
      <c r="H779" s="2">
        <v>2152</v>
      </c>
      <c r="I779" t="str">
        <f>VLOOKUP(Tabela1[[#This Row],[CO_PAIS]],'[1]nome do paixs'!$A:$B,2,0)</f>
        <v>Coreia do Sul</v>
      </c>
      <c r="J779" t="s">
        <v>12</v>
      </c>
    </row>
    <row r="780" spans="1:10">
      <c r="A780">
        <v>2023</v>
      </c>
      <c r="B780">
        <v>4</v>
      </c>
      <c r="C780">
        <v>8807</v>
      </c>
      <c r="D780">
        <v>190</v>
      </c>
      <c r="E780" t="s">
        <v>10</v>
      </c>
      <c r="F780">
        <v>3424402</v>
      </c>
      <c r="G780" s="1">
        <v>14</v>
      </c>
      <c r="H780" s="2">
        <v>4952</v>
      </c>
      <c r="I780" t="str">
        <f>VLOOKUP(Tabela1[[#This Row],[CO_PAIS]],'[1]nome do paixs'!$A:$B,2,0)</f>
        <v>Coreia do Sul</v>
      </c>
      <c r="J780" t="s">
        <v>13</v>
      </c>
    </row>
    <row r="781" spans="1:10">
      <c r="A781">
        <v>2023</v>
      </c>
      <c r="B781">
        <v>4</v>
      </c>
      <c r="C781">
        <v>8807</v>
      </c>
      <c r="D781">
        <v>607</v>
      </c>
      <c r="E781" t="s">
        <v>10</v>
      </c>
      <c r="F781">
        <v>3449904</v>
      </c>
      <c r="G781" s="1">
        <v>6</v>
      </c>
      <c r="H781" s="2">
        <v>10478</v>
      </c>
      <c r="I781" t="str">
        <f>VLOOKUP(Tabela1[[#This Row],[CO_PAIS]],'[1]nome do paixs'!$A:$B,2,0)</f>
        <v>Portugal</v>
      </c>
      <c r="J781" t="s">
        <v>12</v>
      </c>
    </row>
    <row r="782" spans="1:10">
      <c r="A782">
        <v>2023</v>
      </c>
      <c r="B782">
        <v>4</v>
      </c>
      <c r="C782">
        <v>8807</v>
      </c>
      <c r="D782">
        <v>23</v>
      </c>
      <c r="E782" t="s">
        <v>10</v>
      </c>
      <c r="F782">
        <v>3449904</v>
      </c>
      <c r="G782" s="1">
        <v>164</v>
      </c>
      <c r="H782" s="2">
        <v>305451</v>
      </c>
      <c r="I782" t="str">
        <f>VLOOKUP(Tabela1[[#This Row],[CO_PAIS]],'[1]nome do paixs'!$A:$B,2,0)</f>
        <v>Alemanha</v>
      </c>
      <c r="J782" t="s">
        <v>12</v>
      </c>
    </row>
    <row r="783" spans="1:10">
      <c r="A783">
        <v>2023</v>
      </c>
      <c r="B783">
        <v>4</v>
      </c>
      <c r="C783">
        <v>8807</v>
      </c>
      <c r="D783">
        <v>87</v>
      </c>
      <c r="E783" t="s">
        <v>10</v>
      </c>
      <c r="F783">
        <v>3454102</v>
      </c>
      <c r="G783" s="1">
        <v>2153</v>
      </c>
      <c r="H783" s="2">
        <v>2153805</v>
      </c>
      <c r="I783" t="str">
        <f>VLOOKUP(Tabela1[[#This Row],[CO_PAIS]],'[1]nome do paixs'!$A:$B,2,0)</f>
        <v>Bélgica</v>
      </c>
      <c r="J783" t="s">
        <v>11</v>
      </c>
    </row>
    <row r="784" spans="1:10">
      <c r="A784">
        <v>2023</v>
      </c>
      <c r="B784">
        <v>4</v>
      </c>
      <c r="C784">
        <v>8807</v>
      </c>
      <c r="D784">
        <v>87</v>
      </c>
      <c r="E784" t="s">
        <v>10</v>
      </c>
      <c r="F784">
        <v>3449904</v>
      </c>
      <c r="G784" s="1">
        <v>1030</v>
      </c>
      <c r="H784" s="2">
        <v>1106039</v>
      </c>
      <c r="I784" t="str">
        <f>VLOOKUP(Tabela1[[#This Row],[CO_PAIS]],'[1]nome do paixs'!$A:$B,2,0)</f>
        <v>Bélgica</v>
      </c>
      <c r="J784" t="s">
        <v>12</v>
      </c>
    </row>
    <row r="785" spans="1:10">
      <c r="A785">
        <v>2023</v>
      </c>
      <c r="B785">
        <v>4</v>
      </c>
      <c r="C785">
        <v>8807</v>
      </c>
      <c r="D785">
        <v>676</v>
      </c>
      <c r="E785" t="s">
        <v>10</v>
      </c>
      <c r="F785">
        <v>3449904</v>
      </c>
      <c r="G785" s="1">
        <v>15</v>
      </c>
      <c r="H785" s="2">
        <v>19878</v>
      </c>
      <c r="I785" t="str">
        <f>VLOOKUP(Tabela1[[#This Row],[CO_PAIS]],'[1]nome do paixs'!$A:$B,2,0)</f>
        <v>Rússia</v>
      </c>
      <c r="J785" t="s">
        <v>12</v>
      </c>
    </row>
    <row r="786" spans="1:10">
      <c r="A786">
        <v>2023</v>
      </c>
      <c r="B786">
        <v>4</v>
      </c>
      <c r="C786">
        <v>8807</v>
      </c>
      <c r="D786">
        <v>791</v>
      </c>
      <c r="E786" t="s">
        <v>10</v>
      </c>
      <c r="F786">
        <v>3449904</v>
      </c>
      <c r="G786" s="1">
        <v>13</v>
      </c>
      <c r="H786" s="2">
        <v>28353</v>
      </c>
      <c r="I786" t="str">
        <f>VLOOKUP(Tabela1[[#This Row],[CO_PAIS]],'[1]nome do paixs'!$A:$B,2,0)</f>
        <v>Tcheca, República</v>
      </c>
      <c r="J786" t="s">
        <v>12</v>
      </c>
    </row>
    <row r="787" spans="1:10">
      <c r="A787">
        <v>2023</v>
      </c>
      <c r="B787">
        <v>4</v>
      </c>
      <c r="C787">
        <v>8807</v>
      </c>
      <c r="D787">
        <v>149</v>
      </c>
      <c r="E787" t="s">
        <v>10</v>
      </c>
      <c r="F787">
        <v>3454102</v>
      </c>
      <c r="G787" s="1">
        <v>0</v>
      </c>
      <c r="H787" s="2">
        <v>2473</v>
      </c>
      <c r="I787" t="str">
        <f>VLOOKUP(Tabela1[[#This Row],[CO_PAIS]],'[1]nome do paixs'!$A:$B,2,0)</f>
        <v>Canadá</v>
      </c>
      <c r="J787" t="s">
        <v>11</v>
      </c>
    </row>
    <row r="788" spans="1:10">
      <c r="A788">
        <v>2023</v>
      </c>
      <c r="B788">
        <v>4</v>
      </c>
      <c r="C788">
        <v>8807</v>
      </c>
      <c r="D788">
        <v>474</v>
      </c>
      <c r="E788" t="s">
        <v>10</v>
      </c>
      <c r="F788">
        <v>3454102</v>
      </c>
      <c r="G788" s="1">
        <v>46</v>
      </c>
      <c r="H788" s="2">
        <v>85167</v>
      </c>
      <c r="I788" t="str">
        <f>VLOOKUP(Tabela1[[#This Row],[CO_PAIS]],'[1]nome do paixs'!$A:$B,2,0)</f>
        <v>Marrocos</v>
      </c>
      <c r="J788" t="s">
        <v>11</v>
      </c>
    </row>
    <row r="789" spans="1:10">
      <c r="A789">
        <v>2023</v>
      </c>
      <c r="B789">
        <v>4</v>
      </c>
      <c r="C789">
        <v>8807</v>
      </c>
      <c r="D789">
        <v>190</v>
      </c>
      <c r="E789" t="s">
        <v>10</v>
      </c>
      <c r="F789">
        <v>3454102</v>
      </c>
      <c r="G789" s="1">
        <v>3621</v>
      </c>
      <c r="H789" s="2">
        <v>3488828</v>
      </c>
      <c r="I789" t="str">
        <f>VLOOKUP(Tabela1[[#This Row],[CO_PAIS]],'[1]nome do paixs'!$A:$B,2,0)</f>
        <v>Coreia do Sul</v>
      </c>
      <c r="J789" t="s">
        <v>11</v>
      </c>
    </row>
    <row r="790" spans="1:10">
      <c r="A790">
        <v>2023</v>
      </c>
      <c r="B790">
        <v>4</v>
      </c>
      <c r="C790">
        <v>8807</v>
      </c>
      <c r="D790">
        <v>607</v>
      </c>
      <c r="E790" t="s">
        <v>10</v>
      </c>
      <c r="F790">
        <v>3454102</v>
      </c>
      <c r="G790" s="1">
        <v>8637</v>
      </c>
      <c r="H790" s="2">
        <v>2916017</v>
      </c>
      <c r="I790" t="str">
        <f>VLOOKUP(Tabela1[[#This Row],[CO_PAIS]],'[1]nome do paixs'!$A:$B,2,0)</f>
        <v>Portugal</v>
      </c>
      <c r="J790" t="s">
        <v>11</v>
      </c>
    </row>
    <row r="791" spans="1:10">
      <c r="A791">
        <v>2023</v>
      </c>
      <c r="B791">
        <v>4</v>
      </c>
      <c r="C791">
        <v>8807</v>
      </c>
      <c r="D791">
        <v>474</v>
      </c>
      <c r="E791" t="s">
        <v>10</v>
      </c>
      <c r="F791">
        <v>3449904</v>
      </c>
      <c r="G791" s="1">
        <v>3</v>
      </c>
      <c r="H791" s="2">
        <v>8044</v>
      </c>
      <c r="I791" t="str">
        <f>VLOOKUP(Tabela1[[#This Row],[CO_PAIS]],'[1]nome do paixs'!$A:$B,2,0)</f>
        <v>Marrocos</v>
      </c>
      <c r="J791" t="s">
        <v>12</v>
      </c>
    </row>
    <row r="792" spans="1:10">
      <c r="A792">
        <v>2023</v>
      </c>
      <c r="B792">
        <v>4</v>
      </c>
      <c r="C792">
        <v>8807</v>
      </c>
      <c r="D792">
        <v>149</v>
      </c>
      <c r="E792" t="s">
        <v>10</v>
      </c>
      <c r="F792">
        <v>3449904</v>
      </c>
      <c r="G792" s="1">
        <v>44</v>
      </c>
      <c r="H792" s="2">
        <v>26514</v>
      </c>
      <c r="I792" t="str">
        <f>VLOOKUP(Tabela1[[#This Row],[CO_PAIS]],'[1]nome do paixs'!$A:$B,2,0)</f>
        <v>Canadá</v>
      </c>
      <c r="J792" t="s">
        <v>12</v>
      </c>
    </row>
    <row r="793" spans="1:10">
      <c r="A793">
        <v>2023</v>
      </c>
      <c r="B793">
        <v>4</v>
      </c>
      <c r="C793">
        <v>8807</v>
      </c>
      <c r="D793">
        <v>399</v>
      </c>
      <c r="E793" t="s">
        <v>10</v>
      </c>
      <c r="F793">
        <v>3449904</v>
      </c>
      <c r="G793" s="1">
        <v>394</v>
      </c>
      <c r="H793" s="2">
        <v>380568</v>
      </c>
      <c r="I793" t="str">
        <f>VLOOKUP(Tabela1[[#This Row],[CO_PAIS]],'[1]nome do paixs'!$A:$B,2,0)</f>
        <v>Japão</v>
      </c>
      <c r="J793" t="s">
        <v>12</v>
      </c>
    </row>
    <row r="794" spans="1:10">
      <c r="A794">
        <v>2023</v>
      </c>
      <c r="B794">
        <v>4</v>
      </c>
      <c r="C794">
        <v>8807</v>
      </c>
      <c r="D794">
        <v>23</v>
      </c>
      <c r="E794" t="s">
        <v>10</v>
      </c>
      <c r="F794">
        <v>3454102</v>
      </c>
      <c r="G794" s="1">
        <v>3821</v>
      </c>
      <c r="H794" s="2">
        <v>378083</v>
      </c>
      <c r="I794" t="str">
        <f>VLOOKUP(Tabela1[[#This Row],[CO_PAIS]],'[1]nome do paixs'!$A:$B,2,0)</f>
        <v>Alemanha</v>
      </c>
      <c r="J794" t="s">
        <v>11</v>
      </c>
    </row>
    <row r="795" spans="1:10">
      <c r="A795">
        <v>2023</v>
      </c>
      <c r="B795">
        <v>4</v>
      </c>
      <c r="C795">
        <v>8807</v>
      </c>
      <c r="D795">
        <v>245</v>
      </c>
      <c r="E795" t="s">
        <v>10</v>
      </c>
      <c r="F795">
        <v>3424402</v>
      </c>
      <c r="G795" s="1">
        <v>71</v>
      </c>
      <c r="H795" s="2">
        <v>34515</v>
      </c>
      <c r="I795" t="str">
        <f>VLOOKUP(Tabela1[[#This Row],[CO_PAIS]],'[1]nome do paixs'!$A:$B,2,0)</f>
        <v>Espanha</v>
      </c>
      <c r="J795" t="s">
        <v>13</v>
      </c>
    </row>
    <row r="796" spans="1:10">
      <c r="A796">
        <v>2023</v>
      </c>
      <c r="B796">
        <v>4</v>
      </c>
      <c r="C796">
        <v>8807</v>
      </c>
      <c r="D796">
        <v>72</v>
      </c>
      <c r="E796" t="s">
        <v>10</v>
      </c>
      <c r="F796">
        <v>3449904</v>
      </c>
      <c r="G796" s="1">
        <v>0</v>
      </c>
      <c r="H796" s="2">
        <v>567</v>
      </c>
      <c r="I796" t="str">
        <f>VLOOKUP(Tabela1[[#This Row],[CO_PAIS]],'[1]nome do paixs'!$A:$B,2,0)</f>
        <v>Áustria</v>
      </c>
      <c r="J796" t="s">
        <v>12</v>
      </c>
    </row>
    <row r="797" spans="1:10">
      <c r="A797">
        <v>2023</v>
      </c>
      <c r="B797">
        <v>4</v>
      </c>
      <c r="C797">
        <v>8807</v>
      </c>
      <c r="D797">
        <v>791</v>
      </c>
      <c r="E797" t="s">
        <v>10</v>
      </c>
      <c r="F797">
        <v>3424402</v>
      </c>
      <c r="G797" s="1">
        <v>157</v>
      </c>
      <c r="H797" s="2">
        <v>134795</v>
      </c>
      <c r="I797" t="str">
        <f>VLOOKUP(Tabela1[[#This Row],[CO_PAIS]],'[1]nome do paixs'!$A:$B,2,0)</f>
        <v>Tcheca, República</v>
      </c>
      <c r="J797" t="s">
        <v>13</v>
      </c>
    </row>
    <row r="798" spans="1:10">
      <c r="A798">
        <v>2023</v>
      </c>
      <c r="B798">
        <v>4</v>
      </c>
      <c r="C798">
        <v>8807</v>
      </c>
      <c r="D798">
        <v>827</v>
      </c>
      <c r="E798" t="s">
        <v>10</v>
      </c>
      <c r="F798">
        <v>3449904</v>
      </c>
      <c r="G798" s="1">
        <v>1</v>
      </c>
      <c r="H798" s="2">
        <v>2305</v>
      </c>
      <c r="I798" t="str">
        <f>VLOOKUP(Tabela1[[#This Row],[CO_PAIS]],'[1]nome do paixs'!$A:$B,2,0)</f>
        <v>Turquia</v>
      </c>
      <c r="J798" t="s">
        <v>12</v>
      </c>
    </row>
    <row r="799" spans="1:10">
      <c r="A799">
        <v>2023</v>
      </c>
      <c r="B799">
        <v>4</v>
      </c>
      <c r="C799">
        <v>8807</v>
      </c>
      <c r="D799">
        <v>249</v>
      </c>
      <c r="E799" t="s">
        <v>10</v>
      </c>
      <c r="F799">
        <v>3454102</v>
      </c>
      <c r="G799" s="1">
        <v>26700</v>
      </c>
      <c r="H799" s="2">
        <v>5205357</v>
      </c>
      <c r="I799" t="str">
        <f>VLOOKUP(Tabela1[[#This Row],[CO_PAIS]],'[1]nome do paixs'!$A:$B,2,0)</f>
        <v>Estados Unidos</v>
      </c>
      <c r="J799" t="s">
        <v>11</v>
      </c>
    </row>
    <row r="800" spans="1:10">
      <c r="A800">
        <v>2023</v>
      </c>
      <c r="B800">
        <v>4</v>
      </c>
      <c r="C800">
        <v>8807</v>
      </c>
      <c r="D800">
        <v>245</v>
      </c>
      <c r="E800" t="s">
        <v>10</v>
      </c>
      <c r="F800">
        <v>3454102</v>
      </c>
      <c r="G800" s="1">
        <v>2031</v>
      </c>
      <c r="H800" s="2">
        <v>1302316</v>
      </c>
      <c r="I800" t="str">
        <f>VLOOKUP(Tabela1[[#This Row],[CO_PAIS]],'[1]nome do paixs'!$A:$B,2,0)</f>
        <v>Espanha</v>
      </c>
      <c r="J800" t="s">
        <v>11</v>
      </c>
    </row>
    <row r="801" spans="1:10">
      <c r="A801">
        <v>2023</v>
      </c>
      <c r="B801">
        <v>4</v>
      </c>
      <c r="C801">
        <v>8807</v>
      </c>
      <c r="D801">
        <v>249</v>
      </c>
      <c r="E801" t="s">
        <v>10</v>
      </c>
      <c r="F801">
        <v>3449904</v>
      </c>
      <c r="G801" s="1">
        <v>3716</v>
      </c>
      <c r="H801" s="2">
        <v>3575622</v>
      </c>
      <c r="I801" t="str">
        <f>VLOOKUP(Tabela1[[#This Row],[CO_PAIS]],'[1]nome do paixs'!$A:$B,2,0)</f>
        <v>Estados Unidos</v>
      </c>
      <c r="J801" t="s">
        <v>12</v>
      </c>
    </row>
    <row r="802" spans="1:10">
      <c r="A802">
        <v>2023</v>
      </c>
      <c r="B802">
        <v>4</v>
      </c>
      <c r="C802">
        <v>8807</v>
      </c>
      <c r="D802">
        <v>493</v>
      </c>
      <c r="E802" t="s">
        <v>10</v>
      </c>
      <c r="F802">
        <v>3454102</v>
      </c>
      <c r="G802" s="1">
        <v>11221</v>
      </c>
      <c r="H802" s="2">
        <v>5231581</v>
      </c>
      <c r="I802" t="str">
        <f>VLOOKUP(Tabela1[[#This Row],[CO_PAIS]],'[1]nome do paixs'!$A:$B,2,0)</f>
        <v>México</v>
      </c>
      <c r="J802" t="s">
        <v>11</v>
      </c>
    </row>
    <row r="803" spans="1:10">
      <c r="A803">
        <v>2023</v>
      </c>
      <c r="B803">
        <v>4</v>
      </c>
      <c r="C803">
        <v>8807</v>
      </c>
      <c r="D803">
        <v>741</v>
      </c>
      <c r="E803" t="s">
        <v>10</v>
      </c>
      <c r="F803">
        <v>3454102</v>
      </c>
      <c r="G803" s="1">
        <v>2</v>
      </c>
      <c r="H803" s="2">
        <v>3586</v>
      </c>
      <c r="I803" t="str">
        <f>VLOOKUP(Tabela1[[#This Row],[CO_PAIS]],'[1]nome do paixs'!$A:$B,2,0)</f>
        <v>Singapura</v>
      </c>
      <c r="J803" t="s">
        <v>11</v>
      </c>
    </row>
    <row r="804" spans="1:10">
      <c r="A804">
        <v>2022</v>
      </c>
      <c r="B804">
        <v>4</v>
      </c>
      <c r="C804">
        <v>8807</v>
      </c>
      <c r="D804">
        <v>493</v>
      </c>
      <c r="E804" t="s">
        <v>10</v>
      </c>
      <c r="F804">
        <v>3449904</v>
      </c>
      <c r="G804" s="1">
        <v>422</v>
      </c>
      <c r="H804" s="2">
        <v>462993</v>
      </c>
      <c r="I804" t="str">
        <f>VLOOKUP(Tabela1[[#This Row],[CO_PAIS]],'[1]nome do paixs'!$A:$B,2,0)</f>
        <v>México</v>
      </c>
      <c r="J804" t="s">
        <v>12</v>
      </c>
    </row>
    <row r="805" spans="1:10">
      <c r="A805">
        <v>2022</v>
      </c>
      <c r="B805">
        <v>4</v>
      </c>
      <c r="C805">
        <v>8807</v>
      </c>
      <c r="D805">
        <v>607</v>
      </c>
      <c r="E805" t="s">
        <v>10</v>
      </c>
      <c r="F805">
        <v>3454102</v>
      </c>
      <c r="G805" s="1">
        <v>16651</v>
      </c>
      <c r="H805" s="2">
        <v>4157525</v>
      </c>
      <c r="I805" t="str">
        <f>VLOOKUP(Tabela1[[#This Row],[CO_PAIS]],'[1]nome do paixs'!$A:$B,2,0)</f>
        <v>Portugal</v>
      </c>
      <c r="J805" t="s">
        <v>11</v>
      </c>
    </row>
    <row r="806" spans="1:10">
      <c r="A806">
        <v>2022</v>
      </c>
      <c r="B806">
        <v>4</v>
      </c>
      <c r="C806">
        <v>8807</v>
      </c>
      <c r="D806">
        <v>607</v>
      </c>
      <c r="E806" t="s">
        <v>10</v>
      </c>
      <c r="F806">
        <v>3449904</v>
      </c>
      <c r="G806" s="1">
        <v>22</v>
      </c>
      <c r="H806" s="2">
        <v>63242</v>
      </c>
      <c r="I806" t="str">
        <f>VLOOKUP(Tabela1[[#This Row],[CO_PAIS]],'[1]nome do paixs'!$A:$B,2,0)</f>
        <v>Portugal</v>
      </c>
      <c r="J806" t="s">
        <v>12</v>
      </c>
    </row>
    <row r="807" spans="1:10">
      <c r="A807">
        <v>2022</v>
      </c>
      <c r="B807">
        <v>4</v>
      </c>
      <c r="C807">
        <v>8807</v>
      </c>
      <c r="D807">
        <v>628</v>
      </c>
      <c r="E807" t="s">
        <v>10</v>
      </c>
      <c r="F807">
        <v>3449904</v>
      </c>
      <c r="G807" s="1">
        <v>455</v>
      </c>
      <c r="H807" s="2">
        <v>275154</v>
      </c>
      <c r="I807" t="str">
        <f>VLOOKUP(Tabela1[[#This Row],[CO_PAIS]],'[1]nome do paixs'!$A:$B,2,0)</f>
        <v>Reino Unido</v>
      </c>
      <c r="J807" t="s">
        <v>12</v>
      </c>
    </row>
    <row r="808" spans="1:10">
      <c r="A808">
        <v>2022</v>
      </c>
      <c r="B808">
        <v>4</v>
      </c>
      <c r="C808">
        <v>8807</v>
      </c>
      <c r="D808">
        <v>72</v>
      </c>
      <c r="E808" t="s">
        <v>10</v>
      </c>
      <c r="F808">
        <v>3449904</v>
      </c>
      <c r="G808" s="1">
        <v>48</v>
      </c>
      <c r="H808" s="2">
        <v>8807</v>
      </c>
      <c r="I808" t="str">
        <f>VLOOKUP(Tabela1[[#This Row],[CO_PAIS]],'[1]nome do paixs'!$A:$B,2,0)</f>
        <v>Áustria</v>
      </c>
      <c r="J808" t="s">
        <v>12</v>
      </c>
    </row>
    <row r="809" spans="1:10">
      <c r="A809">
        <v>2022</v>
      </c>
      <c r="B809">
        <v>4</v>
      </c>
      <c r="C809">
        <v>8807</v>
      </c>
      <c r="D809">
        <v>474</v>
      </c>
      <c r="E809" t="s">
        <v>10</v>
      </c>
      <c r="F809">
        <v>3449904</v>
      </c>
      <c r="G809" s="1">
        <v>1</v>
      </c>
      <c r="H809" s="2">
        <v>8044</v>
      </c>
      <c r="I809" t="str">
        <f>VLOOKUP(Tabela1[[#This Row],[CO_PAIS]],'[1]nome do paixs'!$A:$B,2,0)</f>
        <v>Marrocos</v>
      </c>
      <c r="J809" t="s">
        <v>12</v>
      </c>
    </row>
    <row r="810" spans="1:10">
      <c r="A810">
        <v>2022</v>
      </c>
      <c r="B810">
        <v>4</v>
      </c>
      <c r="C810">
        <v>8807</v>
      </c>
      <c r="D810">
        <v>375</v>
      </c>
      <c r="E810" t="s">
        <v>10</v>
      </c>
      <c r="F810">
        <v>3454102</v>
      </c>
      <c r="G810" s="1">
        <v>82</v>
      </c>
      <c r="H810" s="2">
        <v>27531</v>
      </c>
      <c r="I810" t="str">
        <f>VLOOKUP(Tabela1[[#This Row],[CO_PAIS]],'[1]nome do paixs'!$A:$B,2,0)</f>
        <v>Irlanda</v>
      </c>
      <c r="J810" t="s">
        <v>11</v>
      </c>
    </row>
    <row r="811" spans="1:10">
      <c r="A811">
        <v>2022</v>
      </c>
      <c r="B811">
        <v>4</v>
      </c>
      <c r="C811">
        <v>8807</v>
      </c>
      <c r="D811">
        <v>245</v>
      </c>
      <c r="E811" t="s">
        <v>10</v>
      </c>
      <c r="F811">
        <v>3424402</v>
      </c>
      <c r="G811" s="1">
        <v>270</v>
      </c>
      <c r="H811" s="2">
        <v>86564</v>
      </c>
      <c r="I811" t="str">
        <f>VLOOKUP(Tabela1[[#This Row],[CO_PAIS]],'[1]nome do paixs'!$A:$B,2,0)</f>
        <v>Espanha</v>
      </c>
      <c r="J811" t="s">
        <v>13</v>
      </c>
    </row>
    <row r="812" spans="1:10">
      <c r="A812">
        <v>2022</v>
      </c>
      <c r="B812">
        <v>4</v>
      </c>
      <c r="C812">
        <v>8807</v>
      </c>
      <c r="D812">
        <v>105</v>
      </c>
      <c r="E812" t="s">
        <v>10</v>
      </c>
      <c r="F812">
        <v>3449904</v>
      </c>
      <c r="G812" s="1">
        <v>10631</v>
      </c>
      <c r="H812" s="2">
        <v>6805166</v>
      </c>
      <c r="I812" t="str">
        <f>VLOOKUP(Tabela1[[#This Row],[CO_PAIS]],'[1]nome do paixs'!$A:$B,2,0)</f>
        <v>Brasil</v>
      </c>
      <c r="J812" t="s">
        <v>12</v>
      </c>
    </row>
    <row r="813" spans="1:10">
      <c r="A813">
        <v>2022</v>
      </c>
      <c r="B813">
        <v>4</v>
      </c>
      <c r="C813">
        <v>8803</v>
      </c>
      <c r="D813">
        <v>493</v>
      </c>
      <c r="E813" t="s">
        <v>10</v>
      </c>
      <c r="F813">
        <v>3454102</v>
      </c>
      <c r="G813" s="1">
        <v>588</v>
      </c>
      <c r="H813" s="2">
        <v>288865</v>
      </c>
      <c r="I813" t="str">
        <f>VLOOKUP(Tabela1[[#This Row],[CO_PAIS]],'[1]nome do paixs'!$A:$B,2,0)</f>
        <v>México</v>
      </c>
      <c r="J813" t="s">
        <v>11</v>
      </c>
    </row>
    <row r="814" spans="1:10">
      <c r="A814">
        <v>2022</v>
      </c>
      <c r="B814">
        <v>4</v>
      </c>
      <c r="C814">
        <v>8807</v>
      </c>
      <c r="D814">
        <v>474</v>
      </c>
      <c r="E814" t="s">
        <v>10</v>
      </c>
      <c r="F814">
        <v>3454102</v>
      </c>
      <c r="G814" s="1">
        <v>184</v>
      </c>
      <c r="H814" s="2">
        <v>348863</v>
      </c>
      <c r="I814" t="str">
        <f>VLOOKUP(Tabela1[[#This Row],[CO_PAIS]],'[1]nome do paixs'!$A:$B,2,0)</f>
        <v>Marrocos</v>
      </c>
      <c r="J814" t="s">
        <v>11</v>
      </c>
    </row>
    <row r="815" spans="1:10">
      <c r="A815">
        <v>2022</v>
      </c>
      <c r="B815">
        <v>4</v>
      </c>
      <c r="C815">
        <v>8803</v>
      </c>
      <c r="D815">
        <v>249</v>
      </c>
      <c r="E815" t="s">
        <v>10</v>
      </c>
      <c r="F815">
        <v>3449904</v>
      </c>
      <c r="G815" s="1">
        <v>0</v>
      </c>
      <c r="H815" s="2">
        <v>684</v>
      </c>
      <c r="I815" t="str">
        <f>VLOOKUP(Tabela1[[#This Row],[CO_PAIS]],'[1]nome do paixs'!$A:$B,2,0)</f>
        <v>Estados Unidos</v>
      </c>
      <c r="J815" t="s">
        <v>12</v>
      </c>
    </row>
    <row r="816" spans="1:10">
      <c r="A816">
        <v>2022</v>
      </c>
      <c r="B816">
        <v>4</v>
      </c>
      <c r="C816">
        <v>8807</v>
      </c>
      <c r="D816">
        <v>628</v>
      </c>
      <c r="E816" t="s">
        <v>10</v>
      </c>
      <c r="F816">
        <v>3454102</v>
      </c>
      <c r="G816" s="1">
        <v>80</v>
      </c>
      <c r="H816" s="2">
        <v>15430</v>
      </c>
      <c r="I816" t="str">
        <f>VLOOKUP(Tabela1[[#This Row],[CO_PAIS]],'[1]nome do paixs'!$A:$B,2,0)</f>
        <v>Reino Unido</v>
      </c>
      <c r="J816" t="s">
        <v>11</v>
      </c>
    </row>
    <row r="817" spans="1:10">
      <c r="A817">
        <v>2022</v>
      </c>
      <c r="B817">
        <v>4</v>
      </c>
      <c r="C817">
        <v>8807</v>
      </c>
      <c r="D817">
        <v>87</v>
      </c>
      <c r="E817" t="s">
        <v>10</v>
      </c>
      <c r="F817">
        <v>3424402</v>
      </c>
      <c r="G817" s="1">
        <v>12</v>
      </c>
      <c r="H817" s="2">
        <v>32342</v>
      </c>
      <c r="I817" t="str">
        <f>VLOOKUP(Tabela1[[#This Row],[CO_PAIS]],'[1]nome do paixs'!$A:$B,2,0)</f>
        <v>Bélgica</v>
      </c>
      <c r="J817" t="s">
        <v>13</v>
      </c>
    </row>
    <row r="818" spans="1:10">
      <c r="A818">
        <v>2022</v>
      </c>
      <c r="B818">
        <v>4</v>
      </c>
      <c r="C818">
        <v>8803</v>
      </c>
      <c r="D818">
        <v>275</v>
      </c>
      <c r="E818" t="s">
        <v>10</v>
      </c>
      <c r="F818">
        <v>3449904</v>
      </c>
      <c r="G818" s="1">
        <v>20</v>
      </c>
      <c r="H818" s="2">
        <v>22995</v>
      </c>
      <c r="I818" t="str">
        <f>VLOOKUP(Tabela1[[#This Row],[CO_PAIS]],'[1]nome do paixs'!$A:$B,2,0)</f>
        <v>França</v>
      </c>
      <c r="J818" t="s">
        <v>12</v>
      </c>
    </row>
    <row r="819" spans="1:10">
      <c r="A819">
        <v>2022</v>
      </c>
      <c r="B819">
        <v>4</v>
      </c>
      <c r="C819">
        <v>8807</v>
      </c>
      <c r="D819">
        <v>361</v>
      </c>
      <c r="E819" t="s">
        <v>10</v>
      </c>
      <c r="F819">
        <v>3449904</v>
      </c>
      <c r="G819" s="1">
        <v>488</v>
      </c>
      <c r="H819" s="2">
        <v>219537</v>
      </c>
      <c r="I819" t="str">
        <f>VLOOKUP(Tabela1[[#This Row],[CO_PAIS]],'[1]nome do paixs'!$A:$B,2,0)</f>
        <v>Índia</v>
      </c>
      <c r="J819" t="s">
        <v>12</v>
      </c>
    </row>
    <row r="820" spans="1:10">
      <c r="A820">
        <v>2022</v>
      </c>
      <c r="B820">
        <v>4</v>
      </c>
      <c r="C820">
        <v>8807</v>
      </c>
      <c r="D820">
        <v>493</v>
      </c>
      <c r="E820" t="s">
        <v>10</v>
      </c>
      <c r="F820">
        <v>3454102</v>
      </c>
      <c r="G820" s="1">
        <v>7492</v>
      </c>
      <c r="H820" s="2">
        <v>3268968</v>
      </c>
      <c r="I820" t="str">
        <f>VLOOKUP(Tabela1[[#This Row],[CO_PAIS]],'[1]nome do paixs'!$A:$B,2,0)</f>
        <v>México</v>
      </c>
      <c r="J820" t="s">
        <v>11</v>
      </c>
    </row>
    <row r="821" spans="1:10">
      <c r="A821">
        <v>2022</v>
      </c>
      <c r="B821">
        <v>4</v>
      </c>
      <c r="C821">
        <v>8807</v>
      </c>
      <c r="D821">
        <v>190</v>
      </c>
      <c r="E821" t="s">
        <v>10</v>
      </c>
      <c r="F821">
        <v>3449904</v>
      </c>
      <c r="G821" s="1">
        <v>0</v>
      </c>
      <c r="H821" s="2">
        <v>489</v>
      </c>
      <c r="I821" t="str">
        <f>VLOOKUP(Tabela1[[#This Row],[CO_PAIS]],'[1]nome do paixs'!$A:$B,2,0)</f>
        <v>Coreia do Sul</v>
      </c>
      <c r="J821" t="s">
        <v>12</v>
      </c>
    </row>
    <row r="822" spans="1:10">
      <c r="A822">
        <v>2022</v>
      </c>
      <c r="B822">
        <v>4</v>
      </c>
      <c r="C822">
        <v>8807</v>
      </c>
      <c r="D822">
        <v>386</v>
      </c>
      <c r="E822" t="s">
        <v>10</v>
      </c>
      <c r="F822">
        <v>3454102</v>
      </c>
      <c r="G822" s="1">
        <v>384</v>
      </c>
      <c r="H822" s="2">
        <v>1008374</v>
      </c>
      <c r="I822" t="str">
        <f>VLOOKUP(Tabela1[[#This Row],[CO_PAIS]],'[1]nome do paixs'!$A:$B,2,0)</f>
        <v>Itália</v>
      </c>
      <c r="J822" t="s">
        <v>11</v>
      </c>
    </row>
    <row r="823" spans="1:10">
      <c r="A823">
        <v>2022</v>
      </c>
      <c r="B823">
        <v>4</v>
      </c>
      <c r="C823">
        <v>8807</v>
      </c>
      <c r="D823">
        <v>386</v>
      </c>
      <c r="E823" t="s">
        <v>10</v>
      </c>
      <c r="F823">
        <v>3449904</v>
      </c>
      <c r="G823" s="1">
        <v>8</v>
      </c>
      <c r="H823" s="2">
        <v>8437</v>
      </c>
      <c r="I823" t="str">
        <f>VLOOKUP(Tabela1[[#This Row],[CO_PAIS]],'[1]nome do paixs'!$A:$B,2,0)</f>
        <v>Itália</v>
      </c>
      <c r="J823" t="s">
        <v>12</v>
      </c>
    </row>
    <row r="824" spans="1:10">
      <c r="A824">
        <v>2022</v>
      </c>
      <c r="B824">
        <v>4</v>
      </c>
      <c r="C824">
        <v>8807</v>
      </c>
      <c r="D824">
        <v>23</v>
      </c>
      <c r="E824" t="s">
        <v>10</v>
      </c>
      <c r="F824">
        <v>3454102</v>
      </c>
      <c r="G824" s="1">
        <v>3043</v>
      </c>
      <c r="H824" s="2">
        <v>1262667</v>
      </c>
      <c r="I824" t="str">
        <f>VLOOKUP(Tabela1[[#This Row],[CO_PAIS]],'[1]nome do paixs'!$A:$B,2,0)</f>
        <v>Alemanha</v>
      </c>
      <c r="J824" t="s">
        <v>11</v>
      </c>
    </row>
    <row r="825" spans="1:10">
      <c r="A825">
        <v>2022</v>
      </c>
      <c r="B825">
        <v>4</v>
      </c>
      <c r="C825">
        <v>8807</v>
      </c>
      <c r="D825">
        <v>149</v>
      </c>
      <c r="E825" t="s">
        <v>10</v>
      </c>
      <c r="F825">
        <v>3454102</v>
      </c>
      <c r="G825" s="1">
        <v>281</v>
      </c>
      <c r="H825" s="2">
        <v>203957</v>
      </c>
      <c r="I825" t="str">
        <f>VLOOKUP(Tabela1[[#This Row],[CO_PAIS]],'[1]nome do paixs'!$A:$B,2,0)</f>
        <v>Canadá</v>
      </c>
      <c r="J825" t="s">
        <v>11</v>
      </c>
    </row>
    <row r="826" spans="1:10">
      <c r="A826">
        <v>2022</v>
      </c>
      <c r="B826">
        <v>4</v>
      </c>
      <c r="C826">
        <v>8803</v>
      </c>
      <c r="D826">
        <v>249</v>
      </c>
      <c r="E826" t="s">
        <v>10</v>
      </c>
      <c r="F826">
        <v>3454102</v>
      </c>
      <c r="G826" s="1">
        <v>512</v>
      </c>
      <c r="H826" s="2">
        <v>223440</v>
      </c>
      <c r="I826" t="str">
        <f>VLOOKUP(Tabela1[[#This Row],[CO_PAIS]],'[1]nome do paixs'!$A:$B,2,0)</f>
        <v>Estados Unidos</v>
      </c>
      <c r="J826" t="s">
        <v>11</v>
      </c>
    </row>
    <row r="827" spans="1:10">
      <c r="A827">
        <v>2022</v>
      </c>
      <c r="B827">
        <v>4</v>
      </c>
      <c r="C827">
        <v>8807</v>
      </c>
      <c r="D827">
        <v>249</v>
      </c>
      <c r="E827" t="s">
        <v>10</v>
      </c>
      <c r="F827">
        <v>3449904</v>
      </c>
      <c r="G827" s="1">
        <v>4451</v>
      </c>
      <c r="H827" s="2">
        <v>3785053</v>
      </c>
      <c r="I827" t="str">
        <f>VLOOKUP(Tabela1[[#This Row],[CO_PAIS]],'[1]nome do paixs'!$A:$B,2,0)</f>
        <v>Estados Unidos</v>
      </c>
      <c r="J827" t="s">
        <v>12</v>
      </c>
    </row>
    <row r="828" spans="1:10">
      <c r="A828">
        <v>2022</v>
      </c>
      <c r="B828">
        <v>4</v>
      </c>
      <c r="C828">
        <v>8807</v>
      </c>
      <c r="D828">
        <v>245</v>
      </c>
      <c r="E828" t="s">
        <v>10</v>
      </c>
      <c r="F828">
        <v>3449904</v>
      </c>
      <c r="G828" s="1">
        <v>1832</v>
      </c>
      <c r="H828" s="2">
        <v>221078</v>
      </c>
      <c r="I828" t="str">
        <f>VLOOKUP(Tabela1[[#This Row],[CO_PAIS]],'[1]nome do paixs'!$A:$B,2,0)</f>
        <v>Espanha</v>
      </c>
      <c r="J828" t="s">
        <v>12</v>
      </c>
    </row>
    <row r="829" spans="1:10">
      <c r="A829">
        <v>2022</v>
      </c>
      <c r="B829">
        <v>4</v>
      </c>
      <c r="C829">
        <v>8807</v>
      </c>
      <c r="D829">
        <v>399</v>
      </c>
      <c r="E829" t="s">
        <v>10</v>
      </c>
      <c r="F829">
        <v>3454102</v>
      </c>
      <c r="G829" s="1">
        <v>3772</v>
      </c>
      <c r="H829" s="2">
        <v>2408119</v>
      </c>
      <c r="I829" t="str">
        <f>VLOOKUP(Tabela1[[#This Row],[CO_PAIS]],'[1]nome do paixs'!$A:$B,2,0)</f>
        <v>Japão</v>
      </c>
      <c r="J829" t="s">
        <v>11</v>
      </c>
    </row>
    <row r="830" spans="1:10">
      <c r="A830">
        <v>2022</v>
      </c>
      <c r="B830">
        <v>4</v>
      </c>
      <c r="C830">
        <v>8807</v>
      </c>
      <c r="D830">
        <v>676</v>
      </c>
      <c r="E830" t="s">
        <v>10</v>
      </c>
      <c r="F830">
        <v>3454102</v>
      </c>
      <c r="G830" s="1">
        <v>1281</v>
      </c>
      <c r="H830" s="2">
        <v>101315</v>
      </c>
      <c r="I830" t="str">
        <f>VLOOKUP(Tabela1[[#This Row],[CO_PAIS]],'[1]nome do paixs'!$A:$B,2,0)</f>
        <v>Rússia</v>
      </c>
      <c r="J830" t="s">
        <v>11</v>
      </c>
    </row>
    <row r="831" spans="1:10">
      <c r="A831">
        <v>2022</v>
      </c>
      <c r="B831">
        <v>4</v>
      </c>
      <c r="C831">
        <v>8807</v>
      </c>
      <c r="D831">
        <v>275</v>
      </c>
      <c r="E831" t="s">
        <v>10</v>
      </c>
      <c r="F831">
        <v>3449904</v>
      </c>
      <c r="G831" s="1">
        <v>233</v>
      </c>
      <c r="H831" s="2">
        <v>238317</v>
      </c>
      <c r="I831" t="str">
        <f>VLOOKUP(Tabela1[[#This Row],[CO_PAIS]],'[1]nome do paixs'!$A:$B,2,0)</f>
        <v>França</v>
      </c>
      <c r="J831" t="s">
        <v>12</v>
      </c>
    </row>
    <row r="832" spans="1:10">
      <c r="A832">
        <v>2022</v>
      </c>
      <c r="B832">
        <v>4</v>
      </c>
      <c r="C832">
        <v>8807</v>
      </c>
      <c r="D832">
        <v>791</v>
      </c>
      <c r="E832" t="s">
        <v>10</v>
      </c>
      <c r="F832">
        <v>3424402</v>
      </c>
      <c r="G832" s="1">
        <v>272</v>
      </c>
      <c r="H832" s="2">
        <v>189837</v>
      </c>
      <c r="I832" t="str">
        <f>VLOOKUP(Tabela1[[#This Row],[CO_PAIS]],'[1]nome do paixs'!$A:$B,2,0)</f>
        <v>Tcheca, República</v>
      </c>
      <c r="J832" t="s">
        <v>13</v>
      </c>
    </row>
    <row r="833" spans="1:10">
      <c r="A833">
        <v>2022</v>
      </c>
      <c r="B833">
        <v>4</v>
      </c>
      <c r="C833">
        <v>8807</v>
      </c>
      <c r="D833">
        <v>87</v>
      </c>
      <c r="E833" t="s">
        <v>10</v>
      </c>
      <c r="F833">
        <v>3454102</v>
      </c>
      <c r="G833" s="1">
        <v>1028</v>
      </c>
      <c r="H833" s="2">
        <v>957435</v>
      </c>
      <c r="I833" t="str">
        <f>VLOOKUP(Tabela1[[#This Row],[CO_PAIS]],'[1]nome do paixs'!$A:$B,2,0)</f>
        <v>Bélgica</v>
      </c>
      <c r="J833" t="s">
        <v>11</v>
      </c>
    </row>
    <row r="834" spans="1:10">
      <c r="A834">
        <v>2022</v>
      </c>
      <c r="B834">
        <v>4</v>
      </c>
      <c r="C834">
        <v>8803</v>
      </c>
      <c r="D834">
        <v>275</v>
      </c>
      <c r="E834" t="s">
        <v>10</v>
      </c>
      <c r="F834">
        <v>3424402</v>
      </c>
      <c r="G834" s="1">
        <v>2</v>
      </c>
      <c r="H834" s="2">
        <v>503</v>
      </c>
      <c r="I834" t="str">
        <f>VLOOKUP(Tabela1[[#This Row],[CO_PAIS]],'[1]nome do paixs'!$A:$B,2,0)</f>
        <v>França</v>
      </c>
      <c r="J834" t="s">
        <v>13</v>
      </c>
    </row>
    <row r="835" spans="1:10">
      <c r="A835">
        <v>2022</v>
      </c>
      <c r="B835">
        <v>4</v>
      </c>
      <c r="C835">
        <v>8803</v>
      </c>
      <c r="D835">
        <v>245</v>
      </c>
      <c r="E835" t="s">
        <v>10</v>
      </c>
      <c r="F835">
        <v>3449904</v>
      </c>
      <c r="G835" s="1">
        <v>683</v>
      </c>
      <c r="H835" s="2">
        <v>131640</v>
      </c>
      <c r="I835" t="str">
        <f>VLOOKUP(Tabela1[[#This Row],[CO_PAIS]],'[1]nome do paixs'!$A:$B,2,0)</f>
        <v>Espanha</v>
      </c>
      <c r="J835" t="s">
        <v>12</v>
      </c>
    </row>
    <row r="836" spans="1:10">
      <c r="A836">
        <v>2022</v>
      </c>
      <c r="B836">
        <v>4</v>
      </c>
      <c r="C836">
        <v>8803</v>
      </c>
      <c r="D836">
        <v>23</v>
      </c>
      <c r="E836" t="s">
        <v>10</v>
      </c>
      <c r="F836">
        <v>3454102</v>
      </c>
      <c r="G836" s="1">
        <v>1288</v>
      </c>
      <c r="H836" s="2">
        <v>57068</v>
      </c>
      <c r="I836" t="str">
        <f>VLOOKUP(Tabela1[[#This Row],[CO_PAIS]],'[1]nome do paixs'!$A:$B,2,0)</f>
        <v>Alemanha</v>
      </c>
      <c r="J836" t="s">
        <v>11</v>
      </c>
    </row>
    <row r="837" spans="1:10">
      <c r="A837">
        <v>2022</v>
      </c>
      <c r="B837">
        <v>4</v>
      </c>
      <c r="C837">
        <v>8803</v>
      </c>
      <c r="D837">
        <v>493</v>
      </c>
      <c r="E837" t="s">
        <v>10</v>
      </c>
      <c r="F837">
        <v>3449904</v>
      </c>
      <c r="G837" s="1">
        <v>5</v>
      </c>
      <c r="H837" s="2">
        <v>1444</v>
      </c>
      <c r="I837" t="str">
        <f>VLOOKUP(Tabela1[[#This Row],[CO_PAIS]],'[1]nome do paixs'!$A:$B,2,0)</f>
        <v>México</v>
      </c>
      <c r="J837" t="s">
        <v>12</v>
      </c>
    </row>
    <row r="838" spans="1:10">
      <c r="A838">
        <v>2022</v>
      </c>
      <c r="B838">
        <v>4</v>
      </c>
      <c r="C838">
        <v>8807</v>
      </c>
      <c r="D838">
        <v>245</v>
      </c>
      <c r="E838" t="s">
        <v>10</v>
      </c>
      <c r="F838">
        <v>3454102</v>
      </c>
      <c r="G838" s="1">
        <v>814</v>
      </c>
      <c r="H838" s="2">
        <v>651004</v>
      </c>
      <c r="I838" t="str">
        <f>VLOOKUP(Tabela1[[#This Row],[CO_PAIS]],'[1]nome do paixs'!$A:$B,2,0)</f>
        <v>Espanha</v>
      </c>
      <c r="J838" t="s">
        <v>11</v>
      </c>
    </row>
    <row r="839" spans="1:10">
      <c r="A839">
        <v>2022</v>
      </c>
      <c r="B839">
        <v>4</v>
      </c>
      <c r="C839">
        <v>8807</v>
      </c>
      <c r="D839">
        <v>249</v>
      </c>
      <c r="E839" t="s">
        <v>10</v>
      </c>
      <c r="F839">
        <v>3424402</v>
      </c>
      <c r="G839" s="1">
        <v>1376</v>
      </c>
      <c r="H839" s="2">
        <v>266398</v>
      </c>
      <c r="I839" t="str">
        <f>VLOOKUP(Tabela1[[#This Row],[CO_PAIS]],'[1]nome do paixs'!$A:$B,2,0)</f>
        <v>Estados Unidos</v>
      </c>
      <c r="J839" t="s">
        <v>13</v>
      </c>
    </row>
    <row r="840" spans="1:10">
      <c r="A840">
        <v>2022</v>
      </c>
      <c r="B840">
        <v>4</v>
      </c>
      <c r="C840">
        <v>8807</v>
      </c>
      <c r="D840">
        <v>375</v>
      </c>
      <c r="E840" t="s">
        <v>10</v>
      </c>
      <c r="F840">
        <v>3449904</v>
      </c>
      <c r="G840" s="1">
        <v>6</v>
      </c>
      <c r="H840" s="2">
        <v>540</v>
      </c>
      <c r="I840" t="str">
        <f>VLOOKUP(Tabela1[[#This Row],[CO_PAIS]],'[1]nome do paixs'!$A:$B,2,0)</f>
        <v>Irlanda</v>
      </c>
      <c r="J840" t="s">
        <v>12</v>
      </c>
    </row>
    <row r="841" spans="1:10">
      <c r="A841">
        <v>2022</v>
      </c>
      <c r="B841">
        <v>4</v>
      </c>
      <c r="C841">
        <v>8807</v>
      </c>
      <c r="D841">
        <v>827</v>
      </c>
      <c r="E841" t="s">
        <v>10</v>
      </c>
      <c r="F841">
        <v>3449904</v>
      </c>
      <c r="G841" s="1">
        <v>0</v>
      </c>
      <c r="H841" s="2">
        <v>576</v>
      </c>
      <c r="I841" t="str">
        <f>VLOOKUP(Tabela1[[#This Row],[CO_PAIS]],'[1]nome do paixs'!$A:$B,2,0)</f>
        <v>Turquia</v>
      </c>
      <c r="J841" t="s">
        <v>12</v>
      </c>
    </row>
    <row r="842" spans="1:10">
      <c r="A842">
        <v>2022</v>
      </c>
      <c r="B842">
        <v>4</v>
      </c>
      <c r="C842">
        <v>8807</v>
      </c>
      <c r="D842">
        <v>275</v>
      </c>
      <c r="E842" t="s">
        <v>10</v>
      </c>
      <c r="F842">
        <v>3424402</v>
      </c>
      <c r="G842" s="1">
        <v>332</v>
      </c>
      <c r="H842" s="2">
        <v>384581</v>
      </c>
      <c r="I842" t="str">
        <f>VLOOKUP(Tabela1[[#This Row],[CO_PAIS]],'[1]nome do paixs'!$A:$B,2,0)</f>
        <v>França</v>
      </c>
      <c r="J842" t="s">
        <v>13</v>
      </c>
    </row>
    <row r="843" spans="1:10">
      <c r="A843">
        <v>2022</v>
      </c>
      <c r="B843">
        <v>4</v>
      </c>
      <c r="C843">
        <v>8807</v>
      </c>
      <c r="D843">
        <v>455</v>
      </c>
      <c r="E843" t="s">
        <v>10</v>
      </c>
      <c r="F843">
        <v>3454102</v>
      </c>
      <c r="G843" s="1">
        <v>945</v>
      </c>
      <c r="H843" s="2">
        <v>93997</v>
      </c>
      <c r="I843" t="str">
        <f>VLOOKUP(Tabela1[[#This Row],[CO_PAIS]],'[1]nome do paixs'!$A:$B,2,0)</f>
        <v>Malásia</v>
      </c>
      <c r="J843" t="s">
        <v>11</v>
      </c>
    </row>
    <row r="844" spans="1:10">
      <c r="A844">
        <v>2022</v>
      </c>
      <c r="B844">
        <v>4</v>
      </c>
      <c r="C844">
        <v>8807</v>
      </c>
      <c r="D844">
        <v>72</v>
      </c>
      <c r="E844" t="s">
        <v>10</v>
      </c>
      <c r="F844">
        <v>3454102</v>
      </c>
      <c r="G844" s="1">
        <v>152</v>
      </c>
      <c r="H844" s="2">
        <v>228831</v>
      </c>
      <c r="I844" t="str">
        <f>VLOOKUP(Tabela1[[#This Row],[CO_PAIS]],'[1]nome do paixs'!$A:$B,2,0)</f>
        <v>Áustria</v>
      </c>
      <c r="J844" t="s">
        <v>11</v>
      </c>
    </row>
    <row r="845" spans="1:10">
      <c r="A845">
        <v>2022</v>
      </c>
      <c r="B845">
        <v>4</v>
      </c>
      <c r="C845">
        <v>8807</v>
      </c>
      <c r="D845">
        <v>676</v>
      </c>
      <c r="E845" t="s">
        <v>10</v>
      </c>
      <c r="F845">
        <v>3449904</v>
      </c>
      <c r="G845" s="1">
        <v>18</v>
      </c>
      <c r="H845" s="2">
        <v>11136</v>
      </c>
      <c r="I845" t="str">
        <f>VLOOKUP(Tabela1[[#This Row],[CO_PAIS]],'[1]nome do paixs'!$A:$B,2,0)</f>
        <v>Rússia</v>
      </c>
      <c r="J845" t="s">
        <v>12</v>
      </c>
    </row>
    <row r="846" spans="1:10">
      <c r="A846">
        <v>2022</v>
      </c>
      <c r="B846">
        <v>4</v>
      </c>
      <c r="C846">
        <v>8807</v>
      </c>
      <c r="D846">
        <v>149</v>
      </c>
      <c r="E846" t="s">
        <v>10</v>
      </c>
      <c r="F846">
        <v>3449904</v>
      </c>
      <c r="G846" s="1">
        <v>679</v>
      </c>
      <c r="H846" s="2">
        <v>44650</v>
      </c>
      <c r="I846" t="str">
        <f>VLOOKUP(Tabela1[[#This Row],[CO_PAIS]],'[1]nome do paixs'!$A:$B,2,0)</f>
        <v>Canadá</v>
      </c>
      <c r="J846" t="s">
        <v>12</v>
      </c>
    </row>
    <row r="847" spans="1:10">
      <c r="A847">
        <v>2022</v>
      </c>
      <c r="B847">
        <v>4</v>
      </c>
      <c r="C847">
        <v>8807</v>
      </c>
      <c r="D847">
        <v>741</v>
      </c>
      <c r="E847" t="s">
        <v>10</v>
      </c>
      <c r="F847">
        <v>3449904</v>
      </c>
      <c r="G847" s="1">
        <v>127</v>
      </c>
      <c r="H847" s="2">
        <v>132377</v>
      </c>
      <c r="I847" t="str">
        <f>VLOOKUP(Tabela1[[#This Row],[CO_PAIS]],'[1]nome do paixs'!$A:$B,2,0)</f>
        <v>Singapura</v>
      </c>
      <c r="J847" t="s">
        <v>12</v>
      </c>
    </row>
    <row r="848" spans="1:10">
      <c r="A848">
        <v>2022</v>
      </c>
      <c r="B848">
        <v>4</v>
      </c>
      <c r="C848">
        <v>8807</v>
      </c>
      <c r="D848">
        <v>23</v>
      </c>
      <c r="E848" t="s">
        <v>10</v>
      </c>
      <c r="F848">
        <v>3449904</v>
      </c>
      <c r="G848" s="1">
        <v>39</v>
      </c>
      <c r="H848" s="2">
        <v>51988</v>
      </c>
      <c r="I848" t="str">
        <f>VLOOKUP(Tabela1[[#This Row],[CO_PAIS]],'[1]nome do paixs'!$A:$B,2,0)</f>
        <v>Alemanha</v>
      </c>
      <c r="J848" t="s">
        <v>12</v>
      </c>
    </row>
    <row r="849" spans="1:10">
      <c r="A849">
        <v>2022</v>
      </c>
      <c r="B849">
        <v>4</v>
      </c>
      <c r="C849">
        <v>8807</v>
      </c>
      <c r="D849">
        <v>87</v>
      </c>
      <c r="E849" t="s">
        <v>10</v>
      </c>
      <c r="F849">
        <v>3449904</v>
      </c>
      <c r="G849" s="1">
        <v>1947</v>
      </c>
      <c r="H849" s="2">
        <v>1525631</v>
      </c>
      <c r="I849" t="str">
        <f>VLOOKUP(Tabela1[[#This Row],[CO_PAIS]],'[1]nome do paixs'!$A:$B,2,0)</f>
        <v>Bélgica</v>
      </c>
      <c r="J849" t="s">
        <v>12</v>
      </c>
    </row>
    <row r="850" spans="1:10">
      <c r="A850">
        <v>2022</v>
      </c>
      <c r="B850">
        <v>4</v>
      </c>
      <c r="C850">
        <v>8807</v>
      </c>
      <c r="D850">
        <v>399</v>
      </c>
      <c r="E850" t="s">
        <v>10</v>
      </c>
      <c r="F850">
        <v>3449904</v>
      </c>
      <c r="G850" s="1">
        <v>467</v>
      </c>
      <c r="H850" s="2">
        <v>465249</v>
      </c>
      <c r="I850" t="str">
        <f>VLOOKUP(Tabela1[[#This Row],[CO_PAIS]],'[1]nome do paixs'!$A:$B,2,0)</f>
        <v>Japão</v>
      </c>
      <c r="J850" t="s">
        <v>12</v>
      </c>
    </row>
    <row r="851" spans="1:10">
      <c r="A851">
        <v>2022</v>
      </c>
      <c r="B851">
        <v>4</v>
      </c>
      <c r="C851">
        <v>8807</v>
      </c>
      <c r="D851">
        <v>249</v>
      </c>
      <c r="E851" t="s">
        <v>10</v>
      </c>
      <c r="F851">
        <v>3454102</v>
      </c>
      <c r="G851" s="1">
        <v>16765</v>
      </c>
      <c r="H851" s="2">
        <v>4156742</v>
      </c>
      <c r="I851" t="str">
        <f>VLOOKUP(Tabela1[[#This Row],[CO_PAIS]],'[1]nome do paixs'!$A:$B,2,0)</f>
        <v>Estados Unidos</v>
      </c>
      <c r="J851" t="s">
        <v>11</v>
      </c>
    </row>
    <row r="852" spans="1:10">
      <c r="A852">
        <v>2022</v>
      </c>
      <c r="B852">
        <v>4</v>
      </c>
      <c r="C852">
        <v>8803</v>
      </c>
      <c r="D852">
        <v>399</v>
      </c>
      <c r="E852" t="s">
        <v>10</v>
      </c>
      <c r="F852">
        <v>3454102</v>
      </c>
      <c r="G852" s="1">
        <v>440</v>
      </c>
      <c r="H852" s="2">
        <v>478228</v>
      </c>
      <c r="I852" t="str">
        <f>VLOOKUP(Tabela1[[#This Row],[CO_PAIS]],'[1]nome do paixs'!$A:$B,2,0)</f>
        <v>Japão</v>
      </c>
      <c r="J852" t="s">
        <v>11</v>
      </c>
    </row>
    <row r="853" spans="1:10">
      <c r="A853">
        <v>2022</v>
      </c>
      <c r="B853">
        <v>4</v>
      </c>
      <c r="C853">
        <v>8807</v>
      </c>
      <c r="D853">
        <v>105</v>
      </c>
      <c r="E853" t="s">
        <v>10</v>
      </c>
      <c r="F853">
        <v>3454102</v>
      </c>
      <c r="G853" s="1">
        <v>3733</v>
      </c>
      <c r="H853" s="2">
        <v>2843229</v>
      </c>
      <c r="I853" t="str">
        <f>VLOOKUP(Tabela1[[#This Row],[CO_PAIS]],'[1]nome do paixs'!$A:$B,2,0)</f>
        <v>Brasil</v>
      </c>
      <c r="J853" t="s">
        <v>11</v>
      </c>
    </row>
    <row r="854" spans="1:10">
      <c r="A854">
        <v>2022</v>
      </c>
      <c r="B854">
        <v>4</v>
      </c>
      <c r="C854">
        <v>8807</v>
      </c>
      <c r="D854">
        <v>275</v>
      </c>
      <c r="E854" t="s">
        <v>10</v>
      </c>
      <c r="F854">
        <v>3454102</v>
      </c>
      <c r="G854" s="1">
        <v>2847</v>
      </c>
      <c r="H854" s="2">
        <v>4692270</v>
      </c>
      <c r="I854" t="str">
        <f>VLOOKUP(Tabela1[[#This Row],[CO_PAIS]],'[1]nome do paixs'!$A:$B,2,0)</f>
        <v>França</v>
      </c>
      <c r="J854" t="s">
        <v>11</v>
      </c>
    </row>
    <row r="855" spans="1:10">
      <c r="A855">
        <v>2022</v>
      </c>
      <c r="B855">
        <v>4</v>
      </c>
      <c r="C855">
        <v>8807</v>
      </c>
      <c r="D855">
        <v>190</v>
      </c>
      <c r="E855" t="s">
        <v>10</v>
      </c>
      <c r="F855">
        <v>3454102</v>
      </c>
      <c r="G855" s="1">
        <v>2292</v>
      </c>
      <c r="H855" s="2">
        <v>2236132</v>
      </c>
      <c r="I855" t="str">
        <f>VLOOKUP(Tabela1[[#This Row],[CO_PAIS]],'[1]nome do paixs'!$A:$B,2,0)</f>
        <v>Coreia do Sul</v>
      </c>
      <c r="J855" t="s">
        <v>11</v>
      </c>
    </row>
    <row r="856" spans="1:10">
      <c r="A856">
        <v>2021</v>
      </c>
      <c r="B856">
        <v>4</v>
      </c>
      <c r="C856">
        <v>8803</v>
      </c>
      <c r="D856">
        <v>399</v>
      </c>
      <c r="E856" t="s">
        <v>10</v>
      </c>
      <c r="F856">
        <v>3449904</v>
      </c>
      <c r="G856" s="1">
        <v>343</v>
      </c>
      <c r="H856" s="2">
        <v>339984</v>
      </c>
      <c r="I856" t="str">
        <f>VLOOKUP(Tabela1[[#This Row],[CO_PAIS]],'[1]nome do paixs'!$A:$B,2,0)</f>
        <v>Japão</v>
      </c>
      <c r="J856" t="s">
        <v>12</v>
      </c>
    </row>
    <row r="857" spans="1:10">
      <c r="A857">
        <v>2021</v>
      </c>
      <c r="B857">
        <v>4</v>
      </c>
      <c r="C857">
        <v>8803</v>
      </c>
      <c r="D857">
        <v>190</v>
      </c>
      <c r="E857" t="s">
        <v>10</v>
      </c>
      <c r="F857">
        <v>3454102</v>
      </c>
      <c r="G857" s="1">
        <v>1141</v>
      </c>
      <c r="H857" s="2">
        <v>1010984</v>
      </c>
      <c r="I857" t="str">
        <f>VLOOKUP(Tabela1[[#This Row],[CO_PAIS]],'[1]nome do paixs'!$A:$B,2,0)</f>
        <v>Coreia do Sul</v>
      </c>
      <c r="J857" t="s">
        <v>11</v>
      </c>
    </row>
    <row r="858" spans="1:10">
      <c r="A858">
        <v>2021</v>
      </c>
      <c r="B858">
        <v>4</v>
      </c>
      <c r="C858">
        <v>8803</v>
      </c>
      <c r="D858">
        <v>190</v>
      </c>
      <c r="E858" t="s">
        <v>10</v>
      </c>
      <c r="F858">
        <v>3424402</v>
      </c>
      <c r="G858" s="1">
        <v>1220</v>
      </c>
      <c r="H858" s="2">
        <v>179078</v>
      </c>
      <c r="I858" t="str">
        <f>VLOOKUP(Tabela1[[#This Row],[CO_PAIS]],'[1]nome do paixs'!$A:$B,2,0)</f>
        <v>Coreia do Sul</v>
      </c>
      <c r="J858" t="s">
        <v>13</v>
      </c>
    </row>
    <row r="859" spans="1:10">
      <c r="A859">
        <v>2021</v>
      </c>
      <c r="B859">
        <v>4</v>
      </c>
      <c r="C859">
        <v>8803</v>
      </c>
      <c r="D859">
        <v>791</v>
      </c>
      <c r="E859" t="s">
        <v>10</v>
      </c>
      <c r="F859">
        <v>3449904</v>
      </c>
      <c r="G859" s="1">
        <v>0</v>
      </c>
      <c r="H859" s="2">
        <v>2073</v>
      </c>
      <c r="I859" t="str">
        <f>VLOOKUP(Tabela1[[#This Row],[CO_PAIS]],'[1]nome do paixs'!$A:$B,2,0)</f>
        <v>Tcheca, República</v>
      </c>
      <c r="J859" t="s">
        <v>12</v>
      </c>
    </row>
    <row r="860" spans="1:10">
      <c r="A860">
        <v>2021</v>
      </c>
      <c r="B860">
        <v>4</v>
      </c>
      <c r="C860">
        <v>8803</v>
      </c>
      <c r="D860">
        <v>607</v>
      </c>
      <c r="E860" t="s">
        <v>10</v>
      </c>
      <c r="F860">
        <v>3454102</v>
      </c>
      <c r="G860" s="1">
        <v>7357</v>
      </c>
      <c r="H860" s="2">
        <v>2493842</v>
      </c>
      <c r="I860" t="str">
        <f>VLOOKUP(Tabela1[[#This Row],[CO_PAIS]],'[1]nome do paixs'!$A:$B,2,0)</f>
        <v>Portugal</v>
      </c>
      <c r="J860" t="s">
        <v>11</v>
      </c>
    </row>
    <row r="861" spans="1:10">
      <c r="A861">
        <v>2021</v>
      </c>
      <c r="B861">
        <v>4</v>
      </c>
      <c r="C861">
        <v>8803</v>
      </c>
      <c r="D861">
        <v>607</v>
      </c>
      <c r="E861" t="s">
        <v>10</v>
      </c>
      <c r="F861">
        <v>3449904</v>
      </c>
      <c r="G861" s="1">
        <v>1</v>
      </c>
      <c r="H861" s="2">
        <v>2732</v>
      </c>
      <c r="I861" t="str">
        <f>VLOOKUP(Tabela1[[#This Row],[CO_PAIS]],'[1]nome do paixs'!$A:$B,2,0)</f>
        <v>Portugal</v>
      </c>
      <c r="J861" t="s">
        <v>12</v>
      </c>
    </row>
    <row r="862" spans="1:10">
      <c r="A862">
        <v>2021</v>
      </c>
      <c r="B862">
        <v>4</v>
      </c>
      <c r="C862">
        <v>8803</v>
      </c>
      <c r="D862">
        <v>23</v>
      </c>
      <c r="E862" t="s">
        <v>10</v>
      </c>
      <c r="F862">
        <v>3424402</v>
      </c>
      <c r="G862" s="1">
        <v>0</v>
      </c>
      <c r="H862" s="2">
        <v>2117</v>
      </c>
      <c r="I862" t="str">
        <f>VLOOKUP(Tabela1[[#This Row],[CO_PAIS]],'[1]nome do paixs'!$A:$B,2,0)</f>
        <v>Alemanha</v>
      </c>
      <c r="J862" t="s">
        <v>13</v>
      </c>
    </row>
    <row r="863" spans="1:10">
      <c r="A863">
        <v>2021</v>
      </c>
      <c r="B863">
        <v>4</v>
      </c>
      <c r="C863">
        <v>8803</v>
      </c>
      <c r="D863">
        <v>676</v>
      </c>
      <c r="E863" t="s">
        <v>10</v>
      </c>
      <c r="F863">
        <v>3449904</v>
      </c>
      <c r="G863" s="1">
        <v>39</v>
      </c>
      <c r="H863" s="2">
        <v>30706</v>
      </c>
      <c r="I863" t="str">
        <f>VLOOKUP(Tabela1[[#This Row],[CO_PAIS]],'[1]nome do paixs'!$A:$B,2,0)</f>
        <v>Rússia</v>
      </c>
      <c r="J863" t="s">
        <v>12</v>
      </c>
    </row>
    <row r="864" spans="1:10">
      <c r="A864">
        <v>2021</v>
      </c>
      <c r="B864">
        <v>4</v>
      </c>
      <c r="C864">
        <v>8803</v>
      </c>
      <c r="D864">
        <v>105</v>
      </c>
      <c r="E864" t="s">
        <v>10</v>
      </c>
      <c r="F864">
        <v>3449904</v>
      </c>
      <c r="G864" s="1">
        <v>2191</v>
      </c>
      <c r="H864" s="2">
        <v>1088876</v>
      </c>
      <c r="I864" t="str">
        <f>VLOOKUP(Tabela1[[#This Row],[CO_PAIS]],'[1]nome do paixs'!$A:$B,2,0)</f>
        <v>Brasil</v>
      </c>
      <c r="J864" t="s">
        <v>12</v>
      </c>
    </row>
    <row r="865" spans="1:10">
      <c r="A865">
        <v>2021</v>
      </c>
      <c r="B865">
        <v>4</v>
      </c>
      <c r="C865">
        <v>8803</v>
      </c>
      <c r="D865">
        <v>72</v>
      </c>
      <c r="E865" t="s">
        <v>10</v>
      </c>
      <c r="F865">
        <v>3449904</v>
      </c>
      <c r="G865" s="1">
        <v>19</v>
      </c>
      <c r="H865" s="2">
        <v>24064</v>
      </c>
      <c r="I865" t="str">
        <f>VLOOKUP(Tabela1[[#This Row],[CO_PAIS]],'[1]nome do paixs'!$A:$B,2,0)</f>
        <v>Áustria</v>
      </c>
      <c r="J865" t="s">
        <v>12</v>
      </c>
    </row>
    <row r="866" spans="1:10">
      <c r="A866">
        <v>2021</v>
      </c>
      <c r="B866">
        <v>4</v>
      </c>
      <c r="C866">
        <v>8803</v>
      </c>
      <c r="D866">
        <v>245</v>
      </c>
      <c r="E866" t="s">
        <v>10</v>
      </c>
      <c r="F866">
        <v>3454102</v>
      </c>
      <c r="G866" s="1">
        <v>1152</v>
      </c>
      <c r="H866" s="2">
        <v>815025</v>
      </c>
      <c r="I866" t="str">
        <f>VLOOKUP(Tabela1[[#This Row],[CO_PAIS]],'[1]nome do paixs'!$A:$B,2,0)</f>
        <v>Espanha</v>
      </c>
      <c r="J866" t="s">
        <v>11</v>
      </c>
    </row>
    <row r="867" spans="1:10">
      <c r="A867">
        <v>2021</v>
      </c>
      <c r="B867">
        <v>4</v>
      </c>
      <c r="C867">
        <v>8803</v>
      </c>
      <c r="D867">
        <v>23</v>
      </c>
      <c r="E867" t="s">
        <v>10</v>
      </c>
      <c r="F867">
        <v>3449904</v>
      </c>
      <c r="G867" s="1">
        <v>140</v>
      </c>
      <c r="H867" s="2">
        <v>169724</v>
      </c>
      <c r="I867" t="str">
        <f>VLOOKUP(Tabela1[[#This Row],[CO_PAIS]],'[1]nome do paixs'!$A:$B,2,0)</f>
        <v>Alemanha</v>
      </c>
      <c r="J867" t="s">
        <v>12</v>
      </c>
    </row>
    <row r="868" spans="1:10">
      <c r="A868">
        <v>2021</v>
      </c>
      <c r="B868">
        <v>4</v>
      </c>
      <c r="C868">
        <v>8803</v>
      </c>
      <c r="D868">
        <v>149</v>
      </c>
      <c r="E868" t="s">
        <v>10</v>
      </c>
      <c r="F868">
        <v>3454102</v>
      </c>
      <c r="G868" s="1">
        <v>2144</v>
      </c>
      <c r="H868" s="2">
        <v>674364</v>
      </c>
      <c r="I868" t="str">
        <f>VLOOKUP(Tabela1[[#This Row],[CO_PAIS]],'[1]nome do paixs'!$A:$B,2,0)</f>
        <v>Canadá</v>
      </c>
      <c r="J868" t="s">
        <v>11</v>
      </c>
    </row>
    <row r="869" spans="1:10">
      <c r="A869">
        <v>2021</v>
      </c>
      <c r="B869">
        <v>4</v>
      </c>
      <c r="C869">
        <v>8803</v>
      </c>
      <c r="D869">
        <v>375</v>
      </c>
      <c r="E869" t="s">
        <v>10</v>
      </c>
      <c r="F869">
        <v>3449904</v>
      </c>
      <c r="G869" s="1">
        <v>42</v>
      </c>
      <c r="H869" s="2">
        <v>13753</v>
      </c>
      <c r="I869" t="str">
        <f>VLOOKUP(Tabela1[[#This Row],[CO_PAIS]],'[1]nome do paixs'!$A:$B,2,0)</f>
        <v>Irlanda</v>
      </c>
      <c r="J869" t="s">
        <v>12</v>
      </c>
    </row>
    <row r="870" spans="1:10">
      <c r="A870">
        <v>2021</v>
      </c>
      <c r="B870">
        <v>4</v>
      </c>
      <c r="C870">
        <v>8803</v>
      </c>
      <c r="D870">
        <v>386</v>
      </c>
      <c r="E870" t="s">
        <v>10</v>
      </c>
      <c r="F870">
        <v>3449904</v>
      </c>
      <c r="G870" s="1">
        <v>19</v>
      </c>
      <c r="H870" s="2">
        <v>107831</v>
      </c>
      <c r="I870" t="str">
        <f>VLOOKUP(Tabela1[[#This Row],[CO_PAIS]],'[1]nome do paixs'!$A:$B,2,0)</f>
        <v>Itália</v>
      </c>
      <c r="J870" t="s">
        <v>12</v>
      </c>
    </row>
    <row r="871" spans="1:10">
      <c r="A871">
        <v>2021</v>
      </c>
      <c r="B871">
        <v>4</v>
      </c>
      <c r="C871">
        <v>8803</v>
      </c>
      <c r="D871">
        <v>628</v>
      </c>
      <c r="E871" t="s">
        <v>10</v>
      </c>
      <c r="F871">
        <v>3449904</v>
      </c>
      <c r="G871" s="1">
        <v>512</v>
      </c>
      <c r="H871" s="2">
        <v>433547</v>
      </c>
      <c r="I871" t="str">
        <f>VLOOKUP(Tabela1[[#This Row],[CO_PAIS]],'[1]nome do paixs'!$A:$B,2,0)</f>
        <v>Reino Unido</v>
      </c>
      <c r="J871" t="s">
        <v>12</v>
      </c>
    </row>
    <row r="872" spans="1:10">
      <c r="A872">
        <v>2021</v>
      </c>
      <c r="B872">
        <v>4</v>
      </c>
      <c r="C872">
        <v>8803</v>
      </c>
      <c r="D872">
        <v>105</v>
      </c>
      <c r="E872" t="s">
        <v>10</v>
      </c>
      <c r="F872">
        <v>3454102</v>
      </c>
      <c r="G872" s="1">
        <v>3313</v>
      </c>
      <c r="H872" s="2">
        <v>2327146</v>
      </c>
      <c r="I872" t="str">
        <f>VLOOKUP(Tabela1[[#This Row],[CO_PAIS]],'[1]nome do paixs'!$A:$B,2,0)</f>
        <v>Brasil</v>
      </c>
      <c r="J872" t="s">
        <v>11</v>
      </c>
    </row>
    <row r="873" spans="1:10">
      <c r="A873">
        <v>2021</v>
      </c>
      <c r="B873">
        <v>4</v>
      </c>
      <c r="C873">
        <v>8803</v>
      </c>
      <c r="D873">
        <v>474</v>
      </c>
      <c r="E873" t="s">
        <v>10</v>
      </c>
      <c r="F873">
        <v>3454102</v>
      </c>
      <c r="G873" s="1">
        <v>46</v>
      </c>
      <c r="H873" s="2">
        <v>80597</v>
      </c>
      <c r="I873" t="str">
        <f>VLOOKUP(Tabela1[[#This Row],[CO_PAIS]],'[1]nome do paixs'!$A:$B,2,0)</f>
        <v>Marrocos</v>
      </c>
      <c r="J873" t="s">
        <v>11</v>
      </c>
    </row>
    <row r="874" spans="1:10">
      <c r="A874">
        <v>2021</v>
      </c>
      <c r="B874">
        <v>4</v>
      </c>
      <c r="C874">
        <v>8803</v>
      </c>
      <c r="D874">
        <v>628</v>
      </c>
      <c r="E874" t="s">
        <v>10</v>
      </c>
      <c r="F874">
        <v>3454102</v>
      </c>
      <c r="G874" s="1">
        <v>211</v>
      </c>
      <c r="H874" s="2">
        <v>121180</v>
      </c>
      <c r="I874" t="str">
        <f>VLOOKUP(Tabela1[[#This Row],[CO_PAIS]],'[1]nome do paixs'!$A:$B,2,0)</f>
        <v>Reino Unido</v>
      </c>
      <c r="J874" t="s">
        <v>11</v>
      </c>
    </row>
    <row r="875" spans="1:10">
      <c r="A875">
        <v>2021</v>
      </c>
      <c r="B875">
        <v>4</v>
      </c>
      <c r="C875">
        <v>8803</v>
      </c>
      <c r="D875">
        <v>249</v>
      </c>
      <c r="E875" t="s">
        <v>10</v>
      </c>
      <c r="F875">
        <v>3454102</v>
      </c>
      <c r="G875" s="1">
        <v>17116</v>
      </c>
      <c r="H875" s="2">
        <v>7452771</v>
      </c>
      <c r="I875" t="str">
        <f>VLOOKUP(Tabela1[[#This Row],[CO_PAIS]],'[1]nome do paixs'!$A:$B,2,0)</f>
        <v>Estados Unidos</v>
      </c>
      <c r="J875" t="s">
        <v>11</v>
      </c>
    </row>
    <row r="876" spans="1:10">
      <c r="A876">
        <v>2021</v>
      </c>
      <c r="B876">
        <v>4</v>
      </c>
      <c r="C876">
        <v>8803</v>
      </c>
      <c r="D876">
        <v>386</v>
      </c>
      <c r="E876" t="s">
        <v>10</v>
      </c>
      <c r="F876">
        <v>3454102</v>
      </c>
      <c r="G876" s="1">
        <v>576</v>
      </c>
      <c r="H876" s="2">
        <v>1473028</v>
      </c>
      <c r="I876" t="str">
        <f>VLOOKUP(Tabela1[[#This Row],[CO_PAIS]],'[1]nome do paixs'!$A:$B,2,0)</f>
        <v>Itália</v>
      </c>
      <c r="J876" t="s">
        <v>11</v>
      </c>
    </row>
    <row r="877" spans="1:10">
      <c r="A877">
        <v>2021</v>
      </c>
      <c r="B877">
        <v>4</v>
      </c>
      <c r="C877">
        <v>8803</v>
      </c>
      <c r="D877">
        <v>275</v>
      </c>
      <c r="E877" t="s">
        <v>10</v>
      </c>
      <c r="F877">
        <v>3424402</v>
      </c>
      <c r="G877" s="1">
        <v>82</v>
      </c>
      <c r="H877" s="2">
        <v>196976</v>
      </c>
      <c r="I877" t="str">
        <f>VLOOKUP(Tabela1[[#This Row],[CO_PAIS]],'[1]nome do paixs'!$A:$B,2,0)</f>
        <v>França</v>
      </c>
      <c r="J877" t="s">
        <v>13</v>
      </c>
    </row>
    <row r="878" spans="1:10">
      <c r="A878">
        <v>2021</v>
      </c>
      <c r="B878">
        <v>4</v>
      </c>
      <c r="C878">
        <v>8803</v>
      </c>
      <c r="D878">
        <v>375</v>
      </c>
      <c r="E878" t="s">
        <v>10</v>
      </c>
      <c r="F878">
        <v>3454102</v>
      </c>
      <c r="G878" s="1">
        <v>37</v>
      </c>
      <c r="H878" s="2">
        <v>9987</v>
      </c>
      <c r="I878" t="str">
        <f>VLOOKUP(Tabela1[[#This Row],[CO_PAIS]],'[1]nome do paixs'!$A:$B,2,0)</f>
        <v>Irlanda</v>
      </c>
      <c r="J878" t="s">
        <v>11</v>
      </c>
    </row>
    <row r="879" spans="1:10">
      <c r="A879">
        <v>2021</v>
      </c>
      <c r="B879">
        <v>4</v>
      </c>
      <c r="C879">
        <v>8803</v>
      </c>
      <c r="D879">
        <v>23</v>
      </c>
      <c r="E879" t="s">
        <v>10</v>
      </c>
      <c r="F879">
        <v>3454102</v>
      </c>
      <c r="G879" s="1">
        <v>11099</v>
      </c>
      <c r="H879" s="2">
        <v>899843</v>
      </c>
      <c r="I879" t="str">
        <f>VLOOKUP(Tabela1[[#This Row],[CO_PAIS]],'[1]nome do paixs'!$A:$B,2,0)</f>
        <v>Alemanha</v>
      </c>
      <c r="J879" t="s">
        <v>11</v>
      </c>
    </row>
    <row r="880" spans="1:10">
      <c r="A880">
        <v>2021</v>
      </c>
      <c r="B880">
        <v>4</v>
      </c>
      <c r="C880">
        <v>8803</v>
      </c>
      <c r="D880">
        <v>72</v>
      </c>
      <c r="E880" t="s">
        <v>10</v>
      </c>
      <c r="F880">
        <v>3454102</v>
      </c>
      <c r="G880" s="1">
        <v>27917</v>
      </c>
      <c r="H880" s="2">
        <v>1010137</v>
      </c>
      <c r="I880" t="str">
        <f>VLOOKUP(Tabela1[[#This Row],[CO_PAIS]],'[1]nome do paixs'!$A:$B,2,0)</f>
        <v>Áustria</v>
      </c>
      <c r="J880" t="s">
        <v>11</v>
      </c>
    </row>
    <row r="881" spans="1:10">
      <c r="A881">
        <v>2021</v>
      </c>
      <c r="B881">
        <v>4</v>
      </c>
      <c r="C881">
        <v>8803</v>
      </c>
      <c r="D881">
        <v>190</v>
      </c>
      <c r="E881" t="s">
        <v>10</v>
      </c>
      <c r="F881">
        <v>3449904</v>
      </c>
      <c r="G881" s="1">
        <v>10</v>
      </c>
      <c r="H881" s="2">
        <v>12786</v>
      </c>
      <c r="I881" t="str">
        <f>VLOOKUP(Tabela1[[#This Row],[CO_PAIS]],'[1]nome do paixs'!$A:$B,2,0)</f>
        <v>Coreia do Sul</v>
      </c>
      <c r="J881" t="s">
        <v>12</v>
      </c>
    </row>
    <row r="882" spans="1:10">
      <c r="A882">
        <v>2021</v>
      </c>
      <c r="B882">
        <v>4</v>
      </c>
      <c r="C882">
        <v>8803</v>
      </c>
      <c r="D882">
        <v>493</v>
      </c>
      <c r="E882" t="s">
        <v>10</v>
      </c>
      <c r="F882">
        <v>3454102</v>
      </c>
      <c r="G882" s="1">
        <v>4382</v>
      </c>
      <c r="H882" s="2">
        <v>2101477</v>
      </c>
      <c r="I882" t="str">
        <f>VLOOKUP(Tabela1[[#This Row],[CO_PAIS]],'[1]nome do paixs'!$A:$B,2,0)</f>
        <v>México</v>
      </c>
      <c r="J882" t="s">
        <v>11</v>
      </c>
    </row>
    <row r="883" spans="1:10">
      <c r="A883">
        <v>2021</v>
      </c>
      <c r="B883">
        <v>4</v>
      </c>
      <c r="C883">
        <v>8803</v>
      </c>
      <c r="D883">
        <v>361</v>
      </c>
      <c r="E883" t="s">
        <v>10</v>
      </c>
      <c r="F883">
        <v>3449904</v>
      </c>
      <c r="G883" s="1">
        <v>377</v>
      </c>
      <c r="H883" s="2">
        <v>187584</v>
      </c>
      <c r="I883" t="str">
        <f>VLOOKUP(Tabela1[[#This Row],[CO_PAIS]],'[1]nome do paixs'!$A:$B,2,0)</f>
        <v>Índia</v>
      </c>
      <c r="J883" t="s">
        <v>12</v>
      </c>
    </row>
    <row r="884" spans="1:10">
      <c r="A884">
        <v>2021</v>
      </c>
      <c r="B884">
        <v>4</v>
      </c>
      <c r="C884">
        <v>8803</v>
      </c>
      <c r="D884">
        <v>791</v>
      </c>
      <c r="E884" t="s">
        <v>10</v>
      </c>
      <c r="F884">
        <v>3424402</v>
      </c>
      <c r="G884" s="1">
        <v>155</v>
      </c>
      <c r="H884" s="2">
        <v>155083</v>
      </c>
      <c r="I884" t="str">
        <f>VLOOKUP(Tabela1[[#This Row],[CO_PAIS]],'[1]nome do paixs'!$A:$B,2,0)</f>
        <v>Tcheca, República</v>
      </c>
      <c r="J884" t="s">
        <v>13</v>
      </c>
    </row>
    <row r="885" spans="1:10">
      <c r="A885">
        <v>2021</v>
      </c>
      <c r="B885">
        <v>4</v>
      </c>
      <c r="C885">
        <v>8803</v>
      </c>
      <c r="D885">
        <v>87</v>
      </c>
      <c r="E885" t="s">
        <v>10</v>
      </c>
      <c r="F885">
        <v>3449904</v>
      </c>
      <c r="G885" s="1">
        <v>596</v>
      </c>
      <c r="H885" s="2">
        <v>504981</v>
      </c>
      <c r="I885" t="str">
        <f>VLOOKUP(Tabela1[[#This Row],[CO_PAIS]],'[1]nome do paixs'!$A:$B,2,0)</f>
        <v>Bélgica</v>
      </c>
      <c r="J885" t="s">
        <v>12</v>
      </c>
    </row>
    <row r="886" spans="1:10">
      <c r="A886">
        <v>2021</v>
      </c>
      <c r="B886">
        <v>4</v>
      </c>
      <c r="C886">
        <v>8803</v>
      </c>
      <c r="D886">
        <v>87</v>
      </c>
      <c r="E886" t="s">
        <v>10</v>
      </c>
      <c r="F886">
        <v>3454102</v>
      </c>
      <c r="G886" s="1">
        <v>1180</v>
      </c>
      <c r="H886" s="2">
        <v>1017349</v>
      </c>
      <c r="I886" t="str">
        <f>VLOOKUP(Tabela1[[#This Row],[CO_PAIS]],'[1]nome do paixs'!$A:$B,2,0)</f>
        <v>Bélgica</v>
      </c>
      <c r="J886" t="s">
        <v>11</v>
      </c>
    </row>
    <row r="887" spans="1:10">
      <c r="A887">
        <v>2021</v>
      </c>
      <c r="B887">
        <v>4</v>
      </c>
      <c r="C887">
        <v>8803</v>
      </c>
      <c r="D887">
        <v>603</v>
      </c>
      <c r="E887" t="s">
        <v>10</v>
      </c>
      <c r="F887">
        <v>3449904</v>
      </c>
      <c r="G887" s="1">
        <v>8</v>
      </c>
      <c r="H887" s="2">
        <v>3301</v>
      </c>
      <c r="I887" t="str">
        <f>VLOOKUP(Tabela1[[#This Row],[CO_PAIS]],'[1]nome do paixs'!$A:$B,2,0)</f>
        <v>Polônia</v>
      </c>
      <c r="J887" t="s">
        <v>12</v>
      </c>
    </row>
    <row r="888" spans="1:10">
      <c r="A888">
        <v>2021</v>
      </c>
      <c r="B888">
        <v>4</v>
      </c>
      <c r="C888">
        <v>8803</v>
      </c>
      <c r="D888">
        <v>493</v>
      </c>
      <c r="E888" t="s">
        <v>10</v>
      </c>
      <c r="F888">
        <v>3449904</v>
      </c>
      <c r="G888" s="1">
        <v>1039</v>
      </c>
      <c r="H888" s="2">
        <v>602714</v>
      </c>
      <c r="I888" t="str">
        <f>VLOOKUP(Tabela1[[#This Row],[CO_PAIS]],'[1]nome do paixs'!$A:$B,2,0)</f>
        <v>México</v>
      </c>
      <c r="J888" t="s">
        <v>12</v>
      </c>
    </row>
    <row r="889" spans="1:10">
      <c r="A889">
        <v>2021</v>
      </c>
      <c r="B889">
        <v>4</v>
      </c>
      <c r="C889">
        <v>8803</v>
      </c>
      <c r="D889">
        <v>275</v>
      </c>
      <c r="E889" t="s">
        <v>10</v>
      </c>
      <c r="F889">
        <v>3449904</v>
      </c>
      <c r="G889" s="1">
        <v>127</v>
      </c>
      <c r="H889" s="2">
        <v>156002</v>
      </c>
      <c r="I889" t="str">
        <f>VLOOKUP(Tabela1[[#This Row],[CO_PAIS]],'[1]nome do paixs'!$A:$B,2,0)</f>
        <v>França</v>
      </c>
      <c r="J889" t="s">
        <v>12</v>
      </c>
    </row>
    <row r="890" spans="1:10">
      <c r="A890">
        <v>2021</v>
      </c>
      <c r="B890">
        <v>4</v>
      </c>
      <c r="C890">
        <v>8803</v>
      </c>
      <c r="D890">
        <v>245</v>
      </c>
      <c r="E890" t="s">
        <v>10</v>
      </c>
      <c r="F890">
        <v>3449904</v>
      </c>
      <c r="G890" s="1">
        <v>757</v>
      </c>
      <c r="H890" s="2">
        <v>385240</v>
      </c>
      <c r="I890" t="str">
        <f>VLOOKUP(Tabela1[[#This Row],[CO_PAIS]],'[1]nome do paixs'!$A:$B,2,0)</f>
        <v>Espanha</v>
      </c>
      <c r="J890" t="s">
        <v>12</v>
      </c>
    </row>
    <row r="891" spans="1:10">
      <c r="A891">
        <v>2021</v>
      </c>
      <c r="B891">
        <v>4</v>
      </c>
      <c r="C891">
        <v>8803</v>
      </c>
      <c r="D891">
        <v>741</v>
      </c>
      <c r="E891" t="s">
        <v>10</v>
      </c>
      <c r="F891">
        <v>3449904</v>
      </c>
      <c r="G891" s="1">
        <v>66</v>
      </c>
      <c r="H891" s="2">
        <v>66768</v>
      </c>
      <c r="I891" t="str">
        <f>VLOOKUP(Tabela1[[#This Row],[CO_PAIS]],'[1]nome do paixs'!$A:$B,2,0)</f>
        <v>Singapura</v>
      </c>
      <c r="J891" t="s">
        <v>12</v>
      </c>
    </row>
    <row r="892" spans="1:10">
      <c r="A892">
        <v>2021</v>
      </c>
      <c r="B892">
        <v>4</v>
      </c>
      <c r="C892">
        <v>8803</v>
      </c>
      <c r="D892">
        <v>149</v>
      </c>
      <c r="E892" t="s">
        <v>10</v>
      </c>
      <c r="F892">
        <v>3449904</v>
      </c>
      <c r="G892" s="1">
        <v>18</v>
      </c>
      <c r="H892" s="2">
        <v>13180</v>
      </c>
      <c r="I892" t="str">
        <f>VLOOKUP(Tabela1[[#This Row],[CO_PAIS]],'[1]nome do paixs'!$A:$B,2,0)</f>
        <v>Canadá</v>
      </c>
      <c r="J892" t="s">
        <v>12</v>
      </c>
    </row>
    <row r="893" spans="1:10">
      <c r="A893">
        <v>2021</v>
      </c>
      <c r="B893">
        <v>4</v>
      </c>
      <c r="C893">
        <v>8803</v>
      </c>
      <c r="D893">
        <v>249</v>
      </c>
      <c r="E893" t="s">
        <v>10</v>
      </c>
      <c r="F893">
        <v>3449904</v>
      </c>
      <c r="G893" s="1">
        <v>3045</v>
      </c>
      <c r="H893" s="2">
        <v>2638693</v>
      </c>
      <c r="I893" t="str">
        <f>VLOOKUP(Tabela1[[#This Row],[CO_PAIS]],'[1]nome do paixs'!$A:$B,2,0)</f>
        <v>Estados Unidos</v>
      </c>
      <c r="J893" t="s">
        <v>12</v>
      </c>
    </row>
    <row r="894" spans="1:10">
      <c r="A894">
        <v>2021</v>
      </c>
      <c r="B894">
        <v>4</v>
      </c>
      <c r="C894">
        <v>8803</v>
      </c>
      <c r="D894">
        <v>275</v>
      </c>
      <c r="E894" t="s">
        <v>10</v>
      </c>
      <c r="F894">
        <v>3454102</v>
      </c>
      <c r="G894" s="1">
        <v>1130</v>
      </c>
      <c r="H894" s="2">
        <v>1849539</v>
      </c>
      <c r="I894" t="str">
        <f>VLOOKUP(Tabela1[[#This Row],[CO_PAIS]],'[1]nome do paixs'!$A:$B,2,0)</f>
        <v>França</v>
      </c>
      <c r="J894" t="s">
        <v>11</v>
      </c>
    </row>
    <row r="895" spans="1:10">
      <c r="A895">
        <v>2021</v>
      </c>
      <c r="B895">
        <v>4</v>
      </c>
      <c r="C895">
        <v>8803</v>
      </c>
      <c r="D895">
        <v>399</v>
      </c>
      <c r="E895" t="s">
        <v>10</v>
      </c>
      <c r="F895">
        <v>3454102</v>
      </c>
      <c r="G895" s="1">
        <v>2831</v>
      </c>
      <c r="H895" s="2">
        <v>1868352</v>
      </c>
      <c r="I895" t="str">
        <f>VLOOKUP(Tabela1[[#This Row],[CO_PAIS]],'[1]nome do paixs'!$A:$B,2,0)</f>
        <v>Japão</v>
      </c>
      <c r="J895" t="s">
        <v>11</v>
      </c>
    </row>
    <row r="896" spans="1:10">
      <c r="A896">
        <v>2021</v>
      </c>
      <c r="B896">
        <v>4</v>
      </c>
      <c r="C896">
        <v>8803</v>
      </c>
      <c r="D896">
        <v>827</v>
      </c>
      <c r="E896" t="s">
        <v>10</v>
      </c>
      <c r="F896">
        <v>3449904</v>
      </c>
      <c r="G896" s="1">
        <v>5</v>
      </c>
      <c r="H896" s="2">
        <v>7515</v>
      </c>
      <c r="I896" t="str">
        <f>VLOOKUP(Tabela1[[#This Row],[CO_PAIS]],'[1]nome do paixs'!$A:$B,2,0)</f>
        <v>Turquia</v>
      </c>
      <c r="J896" t="s">
        <v>12</v>
      </c>
    </row>
    <row r="897" spans="1:10">
      <c r="A897">
        <v>2025</v>
      </c>
      <c r="B897">
        <v>5</v>
      </c>
      <c r="C897">
        <v>8807</v>
      </c>
      <c r="D897">
        <v>375</v>
      </c>
      <c r="E897" t="s">
        <v>10</v>
      </c>
      <c r="F897">
        <v>3449904</v>
      </c>
      <c r="G897" s="1">
        <v>4</v>
      </c>
      <c r="H897" s="2">
        <v>1965</v>
      </c>
      <c r="I897" t="str">
        <f>VLOOKUP(Tabela1[[#This Row],[CO_PAIS]],'[1]nome do paixs'!$A:$B,2,0)</f>
        <v>Irlanda</v>
      </c>
      <c r="J897" t="s">
        <v>12</v>
      </c>
    </row>
    <row r="898" spans="1:10">
      <c r="A898">
        <v>2025</v>
      </c>
      <c r="B898">
        <v>5</v>
      </c>
      <c r="C898">
        <v>8807</v>
      </c>
      <c r="D898">
        <v>245</v>
      </c>
      <c r="E898" t="s">
        <v>10</v>
      </c>
      <c r="F898">
        <v>3454102</v>
      </c>
      <c r="G898" s="1">
        <v>1125</v>
      </c>
      <c r="H898" s="2">
        <v>903415</v>
      </c>
      <c r="I898" t="str">
        <f>VLOOKUP(Tabela1[[#This Row],[CO_PAIS]],'[1]nome do paixs'!$A:$B,2,0)</f>
        <v>Espanha</v>
      </c>
      <c r="J898" t="s">
        <v>11</v>
      </c>
    </row>
    <row r="899" spans="1:10">
      <c r="A899">
        <v>2025</v>
      </c>
      <c r="B899">
        <v>5</v>
      </c>
      <c r="C899">
        <v>8807</v>
      </c>
      <c r="D899">
        <v>493</v>
      </c>
      <c r="E899" t="s">
        <v>10</v>
      </c>
      <c r="F899">
        <v>3454102</v>
      </c>
      <c r="G899" s="1">
        <v>10526</v>
      </c>
      <c r="H899" s="2">
        <v>5867797</v>
      </c>
      <c r="I899" t="str">
        <f>VLOOKUP(Tabela1[[#This Row],[CO_PAIS]],'[1]nome do paixs'!$A:$B,2,0)</f>
        <v>México</v>
      </c>
      <c r="J899" t="s">
        <v>11</v>
      </c>
    </row>
    <row r="900" spans="1:10">
      <c r="A900">
        <v>2025</v>
      </c>
      <c r="B900">
        <v>5</v>
      </c>
      <c r="C900">
        <v>8807</v>
      </c>
      <c r="D900">
        <v>386</v>
      </c>
      <c r="E900" t="s">
        <v>10</v>
      </c>
      <c r="F900">
        <v>3454102</v>
      </c>
      <c r="G900" s="1">
        <v>768</v>
      </c>
      <c r="H900" s="2">
        <v>2180974</v>
      </c>
      <c r="I900" t="str">
        <f>VLOOKUP(Tabela1[[#This Row],[CO_PAIS]],'[1]nome do paixs'!$A:$B,2,0)</f>
        <v>Itália</v>
      </c>
      <c r="J900" t="s">
        <v>11</v>
      </c>
    </row>
    <row r="901" spans="1:10">
      <c r="A901">
        <v>2025</v>
      </c>
      <c r="B901">
        <v>5</v>
      </c>
      <c r="C901">
        <v>8807</v>
      </c>
      <c r="D901">
        <v>249</v>
      </c>
      <c r="E901" t="s">
        <v>10</v>
      </c>
      <c r="F901">
        <v>3454102</v>
      </c>
      <c r="G901" s="1">
        <v>65813</v>
      </c>
      <c r="H901" s="2">
        <v>12997743</v>
      </c>
      <c r="I901" t="str">
        <f>VLOOKUP(Tabela1[[#This Row],[CO_PAIS]],'[1]nome do paixs'!$A:$B,2,0)</f>
        <v>Estados Unidos</v>
      </c>
      <c r="J901" t="s">
        <v>11</v>
      </c>
    </row>
    <row r="902" spans="1:10">
      <c r="A902">
        <v>2025</v>
      </c>
      <c r="B902">
        <v>5</v>
      </c>
      <c r="C902">
        <v>8807</v>
      </c>
      <c r="D902">
        <v>767</v>
      </c>
      <c r="E902" t="s">
        <v>10</v>
      </c>
      <c r="F902">
        <v>3449904</v>
      </c>
      <c r="G902" s="1">
        <v>6</v>
      </c>
      <c r="H902" s="2">
        <v>11910</v>
      </c>
      <c r="I902" t="str">
        <f>VLOOKUP(Tabela1[[#This Row],[CO_PAIS]],'[1]nome do paixs'!$A:$B,2,0)</f>
        <v>Suíça</v>
      </c>
      <c r="J902" t="s">
        <v>12</v>
      </c>
    </row>
    <row r="903" spans="1:10">
      <c r="A903">
        <v>2025</v>
      </c>
      <c r="B903">
        <v>5</v>
      </c>
      <c r="C903">
        <v>8807</v>
      </c>
      <c r="D903">
        <v>676</v>
      </c>
      <c r="E903" t="s">
        <v>10</v>
      </c>
      <c r="F903">
        <v>3454102</v>
      </c>
      <c r="G903" s="1">
        <v>7043</v>
      </c>
      <c r="H903" s="2">
        <v>745662</v>
      </c>
      <c r="I903" t="str">
        <f>VLOOKUP(Tabela1[[#This Row],[CO_PAIS]],'[1]nome do paixs'!$A:$B,2,0)</f>
        <v>Rússia</v>
      </c>
      <c r="J903" t="s">
        <v>11</v>
      </c>
    </row>
    <row r="904" spans="1:10">
      <c r="A904">
        <v>2025</v>
      </c>
      <c r="B904">
        <v>5</v>
      </c>
      <c r="C904">
        <v>8807</v>
      </c>
      <c r="D904">
        <v>474</v>
      </c>
      <c r="E904" t="s">
        <v>10</v>
      </c>
      <c r="F904">
        <v>3454102</v>
      </c>
      <c r="G904" s="1">
        <v>272</v>
      </c>
      <c r="H904" s="2">
        <v>742970</v>
      </c>
      <c r="I904" t="str">
        <f>VLOOKUP(Tabela1[[#This Row],[CO_PAIS]],'[1]nome do paixs'!$A:$B,2,0)</f>
        <v>Marrocos</v>
      </c>
      <c r="J904" t="s">
        <v>11</v>
      </c>
    </row>
    <row r="905" spans="1:10">
      <c r="A905">
        <v>2025</v>
      </c>
      <c r="B905">
        <v>5</v>
      </c>
      <c r="C905">
        <v>8807</v>
      </c>
      <c r="D905">
        <v>249</v>
      </c>
      <c r="E905" t="s">
        <v>10</v>
      </c>
      <c r="F905">
        <v>3449904</v>
      </c>
      <c r="G905" s="1">
        <v>4886</v>
      </c>
      <c r="H905" s="2">
        <v>4551205</v>
      </c>
      <c r="I905" t="str">
        <f>VLOOKUP(Tabela1[[#This Row],[CO_PAIS]],'[1]nome do paixs'!$A:$B,2,0)</f>
        <v>Estados Unidos</v>
      </c>
      <c r="J905" t="s">
        <v>12</v>
      </c>
    </row>
    <row r="906" spans="1:10">
      <c r="A906">
        <v>2025</v>
      </c>
      <c r="B906">
        <v>5</v>
      </c>
      <c r="C906">
        <v>8807</v>
      </c>
      <c r="D906">
        <v>361</v>
      </c>
      <c r="E906" t="s">
        <v>10</v>
      </c>
      <c r="F906">
        <v>3449904</v>
      </c>
      <c r="G906" s="1">
        <v>1108</v>
      </c>
      <c r="H906" s="2">
        <v>516805</v>
      </c>
      <c r="I906" t="str">
        <f>VLOOKUP(Tabela1[[#This Row],[CO_PAIS]],'[1]nome do paixs'!$A:$B,2,0)</f>
        <v>Índia</v>
      </c>
      <c r="J906" t="s">
        <v>12</v>
      </c>
    </row>
    <row r="907" spans="1:10">
      <c r="A907">
        <v>2025</v>
      </c>
      <c r="B907">
        <v>5</v>
      </c>
      <c r="C907">
        <v>8807</v>
      </c>
      <c r="D907">
        <v>607</v>
      </c>
      <c r="E907" t="s">
        <v>10</v>
      </c>
      <c r="F907">
        <v>3454102</v>
      </c>
      <c r="G907" s="1">
        <v>20475</v>
      </c>
      <c r="H907" s="2">
        <v>6702988</v>
      </c>
      <c r="I907" t="str">
        <f>VLOOKUP(Tabela1[[#This Row],[CO_PAIS]],'[1]nome do paixs'!$A:$B,2,0)</f>
        <v>Portugal</v>
      </c>
      <c r="J907" t="s">
        <v>11</v>
      </c>
    </row>
    <row r="908" spans="1:10">
      <c r="A908">
        <v>2025</v>
      </c>
      <c r="B908">
        <v>5</v>
      </c>
      <c r="C908">
        <v>8807</v>
      </c>
      <c r="D908">
        <v>628</v>
      </c>
      <c r="E908" t="s">
        <v>10</v>
      </c>
      <c r="F908">
        <v>3454102</v>
      </c>
      <c r="G908" s="1">
        <v>310</v>
      </c>
      <c r="H908" s="2">
        <v>444115</v>
      </c>
      <c r="I908" t="str">
        <f>VLOOKUP(Tabela1[[#This Row],[CO_PAIS]],'[1]nome do paixs'!$A:$B,2,0)</f>
        <v>Reino Unido</v>
      </c>
      <c r="J908" t="s">
        <v>11</v>
      </c>
    </row>
    <row r="909" spans="1:10">
      <c r="A909">
        <v>2025</v>
      </c>
      <c r="B909">
        <v>5</v>
      </c>
      <c r="C909">
        <v>8807</v>
      </c>
      <c r="D909">
        <v>461</v>
      </c>
      <c r="E909" t="s">
        <v>10</v>
      </c>
      <c r="F909">
        <v>3449904</v>
      </c>
      <c r="G909" s="1">
        <v>6</v>
      </c>
      <c r="H909" s="2">
        <v>133994</v>
      </c>
      <c r="I909" t="str">
        <f>VLOOKUP(Tabela1[[#This Row],[CO_PAIS]],'[1]nome do paixs'!$A:$B,2,0)</f>
        <v>Maldivas</v>
      </c>
      <c r="J909" t="s">
        <v>12</v>
      </c>
    </row>
    <row r="910" spans="1:10">
      <c r="A910">
        <v>2025</v>
      </c>
      <c r="B910">
        <v>5</v>
      </c>
      <c r="C910">
        <v>8807</v>
      </c>
      <c r="D910">
        <v>190</v>
      </c>
      <c r="E910" t="s">
        <v>10</v>
      </c>
      <c r="F910">
        <v>3449904</v>
      </c>
      <c r="G910" s="1">
        <v>129</v>
      </c>
      <c r="H910" s="2">
        <v>352950</v>
      </c>
      <c r="I910" t="str">
        <f>VLOOKUP(Tabela1[[#This Row],[CO_PAIS]],'[1]nome do paixs'!$A:$B,2,0)</f>
        <v>Coreia do Sul</v>
      </c>
      <c r="J910" t="s">
        <v>12</v>
      </c>
    </row>
    <row r="911" spans="1:10">
      <c r="A911">
        <v>2025</v>
      </c>
      <c r="B911">
        <v>5</v>
      </c>
      <c r="C911">
        <v>8807</v>
      </c>
      <c r="D911">
        <v>249</v>
      </c>
      <c r="E911" t="s">
        <v>10</v>
      </c>
      <c r="F911">
        <v>3408504</v>
      </c>
      <c r="G911" s="1">
        <v>16</v>
      </c>
      <c r="H911" s="2">
        <v>15016</v>
      </c>
      <c r="I911" t="str">
        <f>VLOOKUP(Tabela1[[#This Row],[CO_PAIS]],'[1]nome do paixs'!$A:$B,2,0)</f>
        <v>Estados Unidos</v>
      </c>
      <c r="J911" t="s">
        <v>14</v>
      </c>
    </row>
    <row r="912" spans="1:10">
      <c r="A912">
        <v>2025</v>
      </c>
      <c r="B912">
        <v>5</v>
      </c>
      <c r="C912">
        <v>8807</v>
      </c>
      <c r="D912">
        <v>791</v>
      </c>
      <c r="E912" t="s">
        <v>10</v>
      </c>
      <c r="F912">
        <v>3449904</v>
      </c>
      <c r="G912" s="1">
        <v>14</v>
      </c>
      <c r="H912" s="2">
        <v>20233</v>
      </c>
      <c r="I912" t="str">
        <f>VLOOKUP(Tabela1[[#This Row],[CO_PAIS]],'[1]nome do paixs'!$A:$B,2,0)</f>
        <v>Tcheca, República</v>
      </c>
      <c r="J912" t="s">
        <v>12</v>
      </c>
    </row>
    <row r="913" spans="1:10">
      <c r="A913">
        <v>2025</v>
      </c>
      <c r="B913">
        <v>5</v>
      </c>
      <c r="C913">
        <v>8807</v>
      </c>
      <c r="D913">
        <v>190</v>
      </c>
      <c r="E913" t="s">
        <v>10</v>
      </c>
      <c r="F913">
        <v>3424402</v>
      </c>
      <c r="G913" s="1">
        <v>98</v>
      </c>
      <c r="H913" s="2">
        <v>38069</v>
      </c>
      <c r="I913" t="str">
        <f>VLOOKUP(Tabela1[[#This Row],[CO_PAIS]],'[1]nome do paixs'!$A:$B,2,0)</f>
        <v>Coreia do Sul</v>
      </c>
      <c r="J913" t="s">
        <v>13</v>
      </c>
    </row>
    <row r="914" spans="1:10">
      <c r="A914">
        <v>2025</v>
      </c>
      <c r="B914">
        <v>5</v>
      </c>
      <c r="C914">
        <v>8807</v>
      </c>
      <c r="D914">
        <v>72</v>
      </c>
      <c r="E914" t="s">
        <v>10</v>
      </c>
      <c r="F914">
        <v>3454102</v>
      </c>
      <c r="G914" s="1">
        <v>21039</v>
      </c>
      <c r="H914" s="2">
        <v>2505387</v>
      </c>
      <c r="I914" t="str">
        <f>VLOOKUP(Tabela1[[#This Row],[CO_PAIS]],'[1]nome do paixs'!$A:$B,2,0)</f>
        <v>Áustria</v>
      </c>
      <c r="J914" t="s">
        <v>11</v>
      </c>
    </row>
    <row r="915" spans="1:10">
      <c r="A915">
        <v>2025</v>
      </c>
      <c r="B915">
        <v>5</v>
      </c>
      <c r="C915">
        <v>8807</v>
      </c>
      <c r="D915">
        <v>190</v>
      </c>
      <c r="E915" t="s">
        <v>10</v>
      </c>
      <c r="F915">
        <v>3454102</v>
      </c>
      <c r="G915" s="1">
        <v>9133</v>
      </c>
      <c r="H915" s="2">
        <v>6689863</v>
      </c>
      <c r="I915" t="str">
        <f>VLOOKUP(Tabela1[[#This Row],[CO_PAIS]],'[1]nome do paixs'!$A:$B,2,0)</f>
        <v>Coreia do Sul</v>
      </c>
      <c r="J915" t="s">
        <v>11</v>
      </c>
    </row>
    <row r="916" spans="1:10">
      <c r="A916">
        <v>2025</v>
      </c>
      <c r="B916">
        <v>5</v>
      </c>
      <c r="C916">
        <v>8807</v>
      </c>
      <c r="D916">
        <v>399</v>
      </c>
      <c r="E916" t="s">
        <v>10</v>
      </c>
      <c r="F916">
        <v>3454102</v>
      </c>
      <c r="G916" s="1">
        <v>5025</v>
      </c>
      <c r="H916" s="2">
        <v>3136372</v>
      </c>
      <c r="I916" t="str">
        <f>VLOOKUP(Tabela1[[#This Row],[CO_PAIS]],'[1]nome do paixs'!$A:$B,2,0)</f>
        <v>Japão</v>
      </c>
      <c r="J916" t="s">
        <v>11</v>
      </c>
    </row>
    <row r="917" spans="1:10">
      <c r="A917">
        <v>2025</v>
      </c>
      <c r="B917">
        <v>5</v>
      </c>
      <c r="C917">
        <v>8807</v>
      </c>
      <c r="D917">
        <v>275</v>
      </c>
      <c r="E917" t="s">
        <v>10</v>
      </c>
      <c r="F917">
        <v>3424402</v>
      </c>
      <c r="G917" s="1">
        <v>239</v>
      </c>
      <c r="H917" s="2">
        <v>448120</v>
      </c>
      <c r="I917" t="str">
        <f>VLOOKUP(Tabela1[[#This Row],[CO_PAIS]],'[1]nome do paixs'!$A:$B,2,0)</f>
        <v>França</v>
      </c>
      <c r="J917" t="s">
        <v>13</v>
      </c>
    </row>
    <row r="918" spans="1:10">
      <c r="A918">
        <v>2025</v>
      </c>
      <c r="B918">
        <v>5</v>
      </c>
      <c r="C918">
        <v>8807</v>
      </c>
      <c r="D918">
        <v>149</v>
      </c>
      <c r="E918" t="s">
        <v>10</v>
      </c>
      <c r="F918">
        <v>3408504</v>
      </c>
      <c r="G918" s="1">
        <v>9</v>
      </c>
      <c r="H918" s="2">
        <v>14077</v>
      </c>
      <c r="I918" t="str">
        <f>VLOOKUP(Tabela1[[#This Row],[CO_PAIS]],'[1]nome do paixs'!$A:$B,2,0)</f>
        <v>Canadá</v>
      </c>
      <c r="J918" t="s">
        <v>14</v>
      </c>
    </row>
    <row r="919" spans="1:10">
      <c r="A919">
        <v>2025</v>
      </c>
      <c r="B919">
        <v>5</v>
      </c>
      <c r="C919">
        <v>8807</v>
      </c>
      <c r="D919">
        <v>245</v>
      </c>
      <c r="E919" t="s">
        <v>10</v>
      </c>
      <c r="F919">
        <v>3424402</v>
      </c>
      <c r="G919" s="1">
        <v>304</v>
      </c>
      <c r="H919" s="2">
        <v>85374</v>
      </c>
      <c r="I919" t="str">
        <f>VLOOKUP(Tabela1[[#This Row],[CO_PAIS]],'[1]nome do paixs'!$A:$B,2,0)</f>
        <v>Espanha</v>
      </c>
      <c r="J919" t="s">
        <v>13</v>
      </c>
    </row>
    <row r="920" spans="1:10">
      <c r="A920">
        <v>2025</v>
      </c>
      <c r="B920">
        <v>5</v>
      </c>
      <c r="C920">
        <v>8807</v>
      </c>
      <c r="D920">
        <v>375</v>
      </c>
      <c r="E920" t="s">
        <v>10</v>
      </c>
      <c r="F920">
        <v>3454102</v>
      </c>
      <c r="G920" s="1">
        <v>212</v>
      </c>
      <c r="H920" s="2">
        <v>77170</v>
      </c>
      <c r="I920" t="str">
        <f>VLOOKUP(Tabela1[[#This Row],[CO_PAIS]],'[1]nome do paixs'!$A:$B,2,0)</f>
        <v>Irlanda</v>
      </c>
      <c r="J920" t="s">
        <v>11</v>
      </c>
    </row>
    <row r="921" spans="1:10">
      <c r="A921">
        <v>2025</v>
      </c>
      <c r="B921">
        <v>5</v>
      </c>
      <c r="C921">
        <v>8807</v>
      </c>
      <c r="D921">
        <v>791</v>
      </c>
      <c r="E921" t="s">
        <v>10</v>
      </c>
      <c r="F921">
        <v>3424402</v>
      </c>
      <c r="G921" s="1">
        <v>299</v>
      </c>
      <c r="H921" s="2">
        <v>218028</v>
      </c>
      <c r="I921" t="str">
        <f>VLOOKUP(Tabela1[[#This Row],[CO_PAIS]],'[1]nome do paixs'!$A:$B,2,0)</f>
        <v>Tcheca, República</v>
      </c>
      <c r="J921" t="s">
        <v>13</v>
      </c>
    </row>
    <row r="922" spans="1:10">
      <c r="A922">
        <v>2025</v>
      </c>
      <c r="B922">
        <v>5</v>
      </c>
      <c r="C922">
        <v>8807</v>
      </c>
      <c r="D922">
        <v>776</v>
      </c>
      <c r="E922" t="s">
        <v>10</v>
      </c>
      <c r="F922">
        <v>3454102</v>
      </c>
      <c r="G922" s="1">
        <v>16</v>
      </c>
      <c r="H922" s="2">
        <v>1228</v>
      </c>
      <c r="I922" t="str">
        <f>VLOOKUP(Tabela1[[#This Row],[CO_PAIS]],'[1]nome do paixs'!$A:$B,2,0)</f>
        <v>Tailândia</v>
      </c>
      <c r="J922" t="s">
        <v>11</v>
      </c>
    </row>
    <row r="923" spans="1:10">
      <c r="A923">
        <v>2025</v>
      </c>
      <c r="B923">
        <v>5</v>
      </c>
      <c r="C923">
        <v>8807</v>
      </c>
      <c r="D923">
        <v>827</v>
      </c>
      <c r="E923" t="s">
        <v>10</v>
      </c>
      <c r="F923">
        <v>3449904</v>
      </c>
      <c r="G923" s="1">
        <v>1</v>
      </c>
      <c r="H923" s="2">
        <v>132</v>
      </c>
      <c r="I923" t="str">
        <f>VLOOKUP(Tabela1[[#This Row],[CO_PAIS]],'[1]nome do paixs'!$A:$B,2,0)</f>
        <v>Turquia</v>
      </c>
      <c r="J923" t="s">
        <v>12</v>
      </c>
    </row>
    <row r="924" spans="1:10">
      <c r="A924">
        <v>2025</v>
      </c>
      <c r="B924">
        <v>5</v>
      </c>
      <c r="C924">
        <v>8807</v>
      </c>
      <c r="D924">
        <v>245</v>
      </c>
      <c r="E924" t="s">
        <v>10</v>
      </c>
      <c r="F924">
        <v>3449904</v>
      </c>
      <c r="G924" s="1">
        <v>5795</v>
      </c>
      <c r="H924" s="2">
        <v>2089338</v>
      </c>
      <c r="I924" t="str">
        <f>VLOOKUP(Tabela1[[#This Row],[CO_PAIS]],'[1]nome do paixs'!$A:$B,2,0)</f>
        <v>Espanha</v>
      </c>
      <c r="J924" t="s">
        <v>12</v>
      </c>
    </row>
    <row r="925" spans="1:10">
      <c r="A925">
        <v>2025</v>
      </c>
      <c r="B925">
        <v>5</v>
      </c>
      <c r="C925">
        <v>8807</v>
      </c>
      <c r="D925">
        <v>23</v>
      </c>
      <c r="E925" t="s">
        <v>10</v>
      </c>
      <c r="F925">
        <v>3449904</v>
      </c>
      <c r="G925" s="1">
        <v>110</v>
      </c>
      <c r="H925" s="2">
        <v>315993</v>
      </c>
      <c r="I925" t="str">
        <f>VLOOKUP(Tabela1[[#This Row],[CO_PAIS]],'[1]nome do paixs'!$A:$B,2,0)</f>
        <v>Alemanha</v>
      </c>
      <c r="J925" t="s">
        <v>12</v>
      </c>
    </row>
    <row r="926" spans="1:10">
      <c r="A926">
        <v>2025</v>
      </c>
      <c r="B926">
        <v>5</v>
      </c>
      <c r="C926">
        <v>8807</v>
      </c>
      <c r="D926">
        <v>149</v>
      </c>
      <c r="E926" t="s">
        <v>10</v>
      </c>
      <c r="F926">
        <v>3449904</v>
      </c>
      <c r="G926" s="1">
        <v>11</v>
      </c>
      <c r="H926" s="2">
        <v>12424</v>
      </c>
      <c r="I926" t="str">
        <f>VLOOKUP(Tabela1[[#This Row],[CO_PAIS]],'[1]nome do paixs'!$A:$B,2,0)</f>
        <v>Canadá</v>
      </c>
      <c r="J926" t="s">
        <v>12</v>
      </c>
    </row>
    <row r="927" spans="1:10">
      <c r="A927">
        <v>2025</v>
      </c>
      <c r="B927">
        <v>5</v>
      </c>
      <c r="C927">
        <v>8807</v>
      </c>
      <c r="D927">
        <v>275</v>
      </c>
      <c r="E927" t="s">
        <v>10</v>
      </c>
      <c r="F927">
        <v>3449904</v>
      </c>
      <c r="G927" s="1">
        <v>449</v>
      </c>
      <c r="H927" s="2">
        <v>629766</v>
      </c>
      <c r="I927" t="str">
        <f>VLOOKUP(Tabela1[[#This Row],[CO_PAIS]],'[1]nome do paixs'!$A:$B,2,0)</f>
        <v>França</v>
      </c>
      <c r="J927" t="s">
        <v>12</v>
      </c>
    </row>
    <row r="928" spans="1:10">
      <c r="A928">
        <v>2025</v>
      </c>
      <c r="B928">
        <v>5</v>
      </c>
      <c r="C928">
        <v>8807</v>
      </c>
      <c r="D928">
        <v>386</v>
      </c>
      <c r="E928" t="s">
        <v>10</v>
      </c>
      <c r="F928">
        <v>3449904</v>
      </c>
      <c r="G928" s="1">
        <v>25</v>
      </c>
      <c r="H928" s="2">
        <v>22220</v>
      </c>
      <c r="I928" t="str">
        <f>VLOOKUP(Tabela1[[#This Row],[CO_PAIS]],'[1]nome do paixs'!$A:$B,2,0)</f>
        <v>Itália</v>
      </c>
      <c r="J928" t="s">
        <v>12</v>
      </c>
    </row>
    <row r="929" spans="1:10">
      <c r="A929">
        <v>2025</v>
      </c>
      <c r="B929">
        <v>5</v>
      </c>
      <c r="C929">
        <v>8807</v>
      </c>
      <c r="D929">
        <v>607</v>
      </c>
      <c r="E929" t="s">
        <v>10</v>
      </c>
      <c r="F929">
        <v>3449904</v>
      </c>
      <c r="G929" s="1">
        <v>22</v>
      </c>
      <c r="H929" s="2">
        <v>38325</v>
      </c>
      <c r="I929" t="str">
        <f>VLOOKUP(Tabela1[[#This Row],[CO_PAIS]],'[1]nome do paixs'!$A:$B,2,0)</f>
        <v>Portugal</v>
      </c>
      <c r="J929" t="s">
        <v>12</v>
      </c>
    </row>
    <row r="930" spans="1:10">
      <c r="A930">
        <v>2025</v>
      </c>
      <c r="B930">
        <v>5</v>
      </c>
      <c r="C930">
        <v>8807</v>
      </c>
      <c r="D930">
        <v>776</v>
      </c>
      <c r="E930" t="s">
        <v>10</v>
      </c>
      <c r="F930">
        <v>3449904</v>
      </c>
      <c r="G930" s="1">
        <v>3</v>
      </c>
      <c r="H930" s="2">
        <v>9216</v>
      </c>
      <c r="I930" t="str">
        <f>VLOOKUP(Tabela1[[#This Row],[CO_PAIS]],'[1]nome do paixs'!$A:$B,2,0)</f>
        <v>Tailândia</v>
      </c>
      <c r="J930" t="s">
        <v>12</v>
      </c>
    </row>
    <row r="931" spans="1:10">
      <c r="A931">
        <v>2025</v>
      </c>
      <c r="B931">
        <v>5</v>
      </c>
      <c r="C931">
        <v>8807</v>
      </c>
      <c r="D931">
        <v>399</v>
      </c>
      <c r="E931" t="s">
        <v>10</v>
      </c>
      <c r="F931">
        <v>3449904</v>
      </c>
      <c r="G931" s="1">
        <v>612</v>
      </c>
      <c r="H931" s="2">
        <v>596566</v>
      </c>
      <c r="I931" t="str">
        <f>VLOOKUP(Tabela1[[#This Row],[CO_PAIS]],'[1]nome do paixs'!$A:$B,2,0)</f>
        <v>Japão</v>
      </c>
      <c r="J931" t="s">
        <v>12</v>
      </c>
    </row>
    <row r="932" spans="1:10">
      <c r="A932">
        <v>2025</v>
      </c>
      <c r="B932">
        <v>5</v>
      </c>
      <c r="C932">
        <v>8807</v>
      </c>
      <c r="D932">
        <v>23</v>
      </c>
      <c r="E932" t="s">
        <v>10</v>
      </c>
      <c r="F932">
        <v>3454102</v>
      </c>
      <c r="G932" s="1">
        <v>21166</v>
      </c>
      <c r="H932" s="2">
        <v>1276299</v>
      </c>
      <c r="I932" t="str">
        <f>VLOOKUP(Tabela1[[#This Row],[CO_PAIS]],'[1]nome do paixs'!$A:$B,2,0)</f>
        <v>Alemanha</v>
      </c>
      <c r="J932" t="s">
        <v>11</v>
      </c>
    </row>
    <row r="933" spans="1:10">
      <c r="A933">
        <v>2025</v>
      </c>
      <c r="B933">
        <v>5</v>
      </c>
      <c r="C933">
        <v>8807</v>
      </c>
      <c r="D933">
        <v>87</v>
      </c>
      <c r="E933" t="s">
        <v>10</v>
      </c>
      <c r="F933">
        <v>3449904</v>
      </c>
      <c r="G933" s="1">
        <v>12127</v>
      </c>
      <c r="H933" s="2">
        <v>6040602</v>
      </c>
      <c r="I933" t="str">
        <f>VLOOKUP(Tabela1[[#This Row],[CO_PAIS]],'[1]nome do paixs'!$A:$B,2,0)</f>
        <v>Bélgica</v>
      </c>
      <c r="J933" t="s">
        <v>12</v>
      </c>
    </row>
    <row r="934" spans="1:10">
      <c r="A934">
        <v>2025</v>
      </c>
      <c r="B934">
        <v>5</v>
      </c>
      <c r="C934">
        <v>8807</v>
      </c>
      <c r="D934">
        <v>87</v>
      </c>
      <c r="E934" t="s">
        <v>10</v>
      </c>
      <c r="F934">
        <v>3454102</v>
      </c>
      <c r="G934" s="1">
        <v>1620</v>
      </c>
      <c r="H934" s="2">
        <v>1507264</v>
      </c>
      <c r="I934" t="str">
        <f>VLOOKUP(Tabela1[[#This Row],[CO_PAIS]],'[1]nome do paixs'!$A:$B,2,0)</f>
        <v>Bélgica</v>
      </c>
      <c r="J934" t="s">
        <v>11</v>
      </c>
    </row>
    <row r="935" spans="1:10">
      <c r="A935">
        <v>2025</v>
      </c>
      <c r="B935">
        <v>5</v>
      </c>
      <c r="C935">
        <v>8807</v>
      </c>
      <c r="D935">
        <v>160</v>
      </c>
      <c r="E935" t="s">
        <v>10</v>
      </c>
      <c r="F935">
        <v>3449904</v>
      </c>
      <c r="G935" s="1">
        <v>19</v>
      </c>
      <c r="H935" s="2">
        <v>3550</v>
      </c>
      <c r="I935" t="str">
        <f>VLOOKUP(Tabela1[[#This Row],[CO_PAIS]],'[1]nome do paixs'!$A:$B,2,0)</f>
        <v>China</v>
      </c>
      <c r="J935" t="s">
        <v>12</v>
      </c>
    </row>
    <row r="936" spans="1:10">
      <c r="A936">
        <v>2025</v>
      </c>
      <c r="B936">
        <v>5</v>
      </c>
      <c r="C936">
        <v>8807</v>
      </c>
      <c r="D936">
        <v>149</v>
      </c>
      <c r="E936" t="s">
        <v>10</v>
      </c>
      <c r="F936">
        <v>3454102</v>
      </c>
      <c r="G936" s="1">
        <v>77</v>
      </c>
      <c r="H936" s="2">
        <v>73929</v>
      </c>
      <c r="I936" t="str">
        <f>VLOOKUP(Tabela1[[#This Row],[CO_PAIS]],'[1]nome do paixs'!$A:$B,2,0)</f>
        <v>Canadá</v>
      </c>
      <c r="J936" t="s">
        <v>11</v>
      </c>
    </row>
    <row r="937" spans="1:10">
      <c r="A937">
        <v>2025</v>
      </c>
      <c r="B937">
        <v>5</v>
      </c>
      <c r="C937">
        <v>8807</v>
      </c>
      <c r="D937">
        <v>87</v>
      </c>
      <c r="E937" t="s">
        <v>10</v>
      </c>
      <c r="F937">
        <v>3424402</v>
      </c>
      <c r="G937" s="1">
        <v>23</v>
      </c>
      <c r="H937" s="2">
        <v>30682</v>
      </c>
      <c r="I937" t="str">
        <f>VLOOKUP(Tabela1[[#This Row],[CO_PAIS]],'[1]nome do paixs'!$A:$B,2,0)</f>
        <v>Bélgica</v>
      </c>
      <c r="J937" t="s">
        <v>13</v>
      </c>
    </row>
    <row r="938" spans="1:10">
      <c r="A938">
        <v>2025</v>
      </c>
      <c r="B938">
        <v>5</v>
      </c>
      <c r="C938">
        <v>8807</v>
      </c>
      <c r="D938">
        <v>493</v>
      </c>
      <c r="E938" t="s">
        <v>10</v>
      </c>
      <c r="F938">
        <v>3449904</v>
      </c>
      <c r="G938" s="1">
        <v>1450</v>
      </c>
      <c r="H938" s="2">
        <v>1048254</v>
      </c>
      <c r="I938" t="str">
        <f>VLOOKUP(Tabela1[[#This Row],[CO_PAIS]],'[1]nome do paixs'!$A:$B,2,0)</f>
        <v>México</v>
      </c>
      <c r="J938" t="s">
        <v>12</v>
      </c>
    </row>
    <row r="939" spans="1:10">
      <c r="A939">
        <v>2025</v>
      </c>
      <c r="B939">
        <v>5</v>
      </c>
      <c r="C939">
        <v>8807</v>
      </c>
      <c r="D939">
        <v>741</v>
      </c>
      <c r="E939" t="s">
        <v>10</v>
      </c>
      <c r="F939">
        <v>3449904</v>
      </c>
      <c r="G939" s="1">
        <v>127</v>
      </c>
      <c r="H939" s="2">
        <v>148140</v>
      </c>
      <c r="I939" t="str">
        <f>VLOOKUP(Tabela1[[#This Row],[CO_PAIS]],'[1]nome do paixs'!$A:$B,2,0)</f>
        <v>Singapura</v>
      </c>
      <c r="J939" t="s">
        <v>12</v>
      </c>
    </row>
    <row r="940" spans="1:10">
      <c r="A940">
        <v>2025</v>
      </c>
      <c r="B940">
        <v>5</v>
      </c>
      <c r="C940">
        <v>8807</v>
      </c>
      <c r="D940">
        <v>493</v>
      </c>
      <c r="E940" t="s">
        <v>10</v>
      </c>
      <c r="F940">
        <v>3424402</v>
      </c>
      <c r="G940" s="1">
        <v>25</v>
      </c>
      <c r="H940" s="2">
        <v>39073</v>
      </c>
      <c r="I940" t="str">
        <f>VLOOKUP(Tabela1[[#This Row],[CO_PAIS]],'[1]nome do paixs'!$A:$B,2,0)</f>
        <v>México</v>
      </c>
      <c r="J940" t="s">
        <v>13</v>
      </c>
    </row>
    <row r="941" spans="1:10">
      <c r="A941">
        <v>2025</v>
      </c>
      <c r="B941">
        <v>5</v>
      </c>
      <c r="C941">
        <v>8807</v>
      </c>
      <c r="D941">
        <v>383</v>
      </c>
      <c r="E941" t="s">
        <v>10</v>
      </c>
      <c r="F941">
        <v>3449904</v>
      </c>
      <c r="G941" s="1">
        <v>3</v>
      </c>
      <c r="H941" s="2">
        <v>6749</v>
      </c>
      <c r="I941" t="str">
        <f>VLOOKUP(Tabela1[[#This Row],[CO_PAIS]],'[1]nome do paixs'!$A:$B,2,0)</f>
        <v>Israel</v>
      </c>
      <c r="J941" t="s">
        <v>12</v>
      </c>
    </row>
    <row r="942" spans="1:10">
      <c r="A942">
        <v>2025</v>
      </c>
      <c r="B942">
        <v>5</v>
      </c>
      <c r="C942">
        <v>8807</v>
      </c>
      <c r="D942">
        <v>249</v>
      </c>
      <c r="E942" t="s">
        <v>10</v>
      </c>
      <c r="F942">
        <v>3424402</v>
      </c>
      <c r="G942" s="1">
        <v>252</v>
      </c>
      <c r="H942" s="2">
        <v>43300</v>
      </c>
      <c r="I942" t="str">
        <f>VLOOKUP(Tabela1[[#This Row],[CO_PAIS]],'[1]nome do paixs'!$A:$B,2,0)</f>
        <v>Estados Unidos</v>
      </c>
      <c r="J942" t="s">
        <v>13</v>
      </c>
    </row>
    <row r="943" spans="1:10">
      <c r="A943">
        <v>2025</v>
      </c>
      <c r="B943">
        <v>5</v>
      </c>
      <c r="C943">
        <v>8807</v>
      </c>
      <c r="D943">
        <v>105</v>
      </c>
      <c r="E943" t="s">
        <v>10</v>
      </c>
      <c r="F943">
        <v>3454102</v>
      </c>
      <c r="G943" s="1">
        <v>7090</v>
      </c>
      <c r="H943" s="2">
        <v>6546144</v>
      </c>
      <c r="I943" t="str">
        <f>VLOOKUP(Tabela1[[#This Row],[CO_PAIS]],'[1]nome do paixs'!$A:$B,2,0)</f>
        <v>Brasil</v>
      </c>
      <c r="J943" t="s">
        <v>11</v>
      </c>
    </row>
    <row r="944" spans="1:10">
      <c r="A944">
        <v>2025</v>
      </c>
      <c r="B944">
        <v>5</v>
      </c>
      <c r="C944">
        <v>8807</v>
      </c>
      <c r="D944">
        <v>628</v>
      </c>
      <c r="E944" t="s">
        <v>10</v>
      </c>
      <c r="F944">
        <v>3449904</v>
      </c>
      <c r="G944" s="1">
        <v>785</v>
      </c>
      <c r="H944" s="2">
        <v>921608</v>
      </c>
      <c r="I944" t="str">
        <f>VLOOKUP(Tabela1[[#This Row],[CO_PAIS]],'[1]nome do paixs'!$A:$B,2,0)</f>
        <v>Reino Unido</v>
      </c>
      <c r="J944" t="s">
        <v>12</v>
      </c>
    </row>
    <row r="945" spans="1:10">
      <c r="A945">
        <v>2025</v>
      </c>
      <c r="B945">
        <v>5</v>
      </c>
      <c r="C945">
        <v>8807</v>
      </c>
      <c r="D945">
        <v>105</v>
      </c>
      <c r="E945" t="s">
        <v>10</v>
      </c>
      <c r="F945">
        <v>3449904</v>
      </c>
      <c r="G945" s="1">
        <v>14478</v>
      </c>
      <c r="H945" s="2">
        <v>10346445</v>
      </c>
      <c r="I945" t="str">
        <f>VLOOKUP(Tabela1[[#This Row],[CO_PAIS]],'[1]nome do paixs'!$A:$B,2,0)</f>
        <v>Brasil</v>
      </c>
      <c r="J945" t="s">
        <v>12</v>
      </c>
    </row>
    <row r="946" spans="1:10">
      <c r="A946">
        <v>2025</v>
      </c>
      <c r="B946">
        <v>5</v>
      </c>
      <c r="C946">
        <v>8807</v>
      </c>
      <c r="D946">
        <v>275</v>
      </c>
      <c r="E946" t="s">
        <v>10</v>
      </c>
      <c r="F946">
        <v>3454102</v>
      </c>
      <c r="G946" s="1">
        <v>3785</v>
      </c>
      <c r="H946" s="2">
        <v>6320660</v>
      </c>
      <c r="I946" t="str">
        <f>VLOOKUP(Tabela1[[#This Row],[CO_PAIS]],'[1]nome do paixs'!$A:$B,2,0)</f>
        <v>França</v>
      </c>
      <c r="J946" t="s">
        <v>11</v>
      </c>
    </row>
    <row r="947" spans="1:10">
      <c r="A947">
        <v>2025</v>
      </c>
      <c r="B947">
        <v>5</v>
      </c>
      <c r="C947">
        <v>8807</v>
      </c>
      <c r="D947">
        <v>72</v>
      </c>
      <c r="E947" t="s">
        <v>10</v>
      </c>
      <c r="F947">
        <v>3449904</v>
      </c>
      <c r="G947" s="1">
        <v>110</v>
      </c>
      <c r="H947" s="2">
        <v>118292</v>
      </c>
      <c r="I947" t="str">
        <f>VLOOKUP(Tabela1[[#This Row],[CO_PAIS]],'[1]nome do paixs'!$A:$B,2,0)</f>
        <v>Áustria</v>
      </c>
      <c r="J947" t="s">
        <v>12</v>
      </c>
    </row>
    <row r="948" spans="1:10">
      <c r="A948">
        <v>2024</v>
      </c>
      <c r="B948">
        <v>5</v>
      </c>
      <c r="C948">
        <v>8807</v>
      </c>
      <c r="D948">
        <v>474</v>
      </c>
      <c r="E948" t="s">
        <v>10</v>
      </c>
      <c r="F948">
        <v>3454102</v>
      </c>
      <c r="G948" s="1">
        <v>184</v>
      </c>
      <c r="H948" s="2">
        <v>484649</v>
      </c>
      <c r="I948" t="str">
        <f>VLOOKUP(Tabela1[[#This Row],[CO_PAIS]],'[1]nome do paixs'!$A:$B,2,0)</f>
        <v>Marrocos</v>
      </c>
      <c r="J948" t="s">
        <v>11</v>
      </c>
    </row>
    <row r="949" spans="1:10">
      <c r="A949">
        <v>2024</v>
      </c>
      <c r="B949">
        <v>5</v>
      </c>
      <c r="C949">
        <v>8807</v>
      </c>
      <c r="D949">
        <v>493</v>
      </c>
      <c r="E949" t="s">
        <v>10</v>
      </c>
      <c r="F949">
        <v>3449904</v>
      </c>
      <c r="G949" s="1">
        <v>3160</v>
      </c>
      <c r="H949" s="2">
        <v>1979909</v>
      </c>
      <c r="I949" t="str">
        <f>VLOOKUP(Tabela1[[#This Row],[CO_PAIS]],'[1]nome do paixs'!$A:$B,2,0)</f>
        <v>México</v>
      </c>
      <c r="J949" t="s">
        <v>12</v>
      </c>
    </row>
    <row r="950" spans="1:10">
      <c r="A950">
        <v>2024</v>
      </c>
      <c r="B950">
        <v>5</v>
      </c>
      <c r="C950">
        <v>8807</v>
      </c>
      <c r="D950">
        <v>607</v>
      </c>
      <c r="E950" t="s">
        <v>10</v>
      </c>
      <c r="F950">
        <v>3454102</v>
      </c>
      <c r="G950" s="1">
        <v>19963</v>
      </c>
      <c r="H950" s="2">
        <v>6801002</v>
      </c>
      <c r="I950" t="str">
        <f>VLOOKUP(Tabela1[[#This Row],[CO_PAIS]],'[1]nome do paixs'!$A:$B,2,0)</f>
        <v>Portugal</v>
      </c>
      <c r="J950" t="s">
        <v>11</v>
      </c>
    </row>
    <row r="951" spans="1:10">
      <c r="A951">
        <v>2024</v>
      </c>
      <c r="B951">
        <v>5</v>
      </c>
      <c r="C951">
        <v>8807</v>
      </c>
      <c r="D951">
        <v>386</v>
      </c>
      <c r="E951" t="s">
        <v>10</v>
      </c>
      <c r="F951">
        <v>3449904</v>
      </c>
      <c r="G951" s="1">
        <v>126</v>
      </c>
      <c r="H951" s="2">
        <v>54935</v>
      </c>
      <c r="I951" t="str">
        <f>VLOOKUP(Tabela1[[#This Row],[CO_PAIS]],'[1]nome do paixs'!$A:$B,2,0)</f>
        <v>Itália</v>
      </c>
      <c r="J951" t="s">
        <v>12</v>
      </c>
    </row>
    <row r="952" spans="1:10">
      <c r="A952">
        <v>2024</v>
      </c>
      <c r="B952">
        <v>5</v>
      </c>
      <c r="C952">
        <v>8807</v>
      </c>
      <c r="D952">
        <v>493</v>
      </c>
      <c r="E952" t="s">
        <v>10</v>
      </c>
      <c r="F952">
        <v>3454102</v>
      </c>
      <c r="G952" s="1">
        <v>11329</v>
      </c>
      <c r="H952" s="2">
        <v>4647669</v>
      </c>
      <c r="I952" t="str">
        <f>VLOOKUP(Tabela1[[#This Row],[CO_PAIS]],'[1]nome do paixs'!$A:$B,2,0)</f>
        <v>México</v>
      </c>
      <c r="J952" t="s">
        <v>11</v>
      </c>
    </row>
    <row r="953" spans="1:10">
      <c r="A953">
        <v>2024</v>
      </c>
      <c r="B953">
        <v>5</v>
      </c>
      <c r="C953">
        <v>8807</v>
      </c>
      <c r="D953">
        <v>375</v>
      </c>
      <c r="E953" t="s">
        <v>10</v>
      </c>
      <c r="F953">
        <v>3449904</v>
      </c>
      <c r="G953" s="1">
        <v>11</v>
      </c>
      <c r="H953" s="2">
        <v>3177</v>
      </c>
      <c r="I953" t="str">
        <f>VLOOKUP(Tabela1[[#This Row],[CO_PAIS]],'[1]nome do paixs'!$A:$B,2,0)</f>
        <v>Irlanda</v>
      </c>
      <c r="J953" t="s">
        <v>12</v>
      </c>
    </row>
    <row r="954" spans="1:10">
      <c r="A954">
        <v>2024</v>
      </c>
      <c r="B954">
        <v>5</v>
      </c>
      <c r="C954">
        <v>8807</v>
      </c>
      <c r="D954">
        <v>249</v>
      </c>
      <c r="E954" t="s">
        <v>10</v>
      </c>
      <c r="F954">
        <v>3449904</v>
      </c>
      <c r="G954" s="1">
        <v>5483</v>
      </c>
      <c r="H954" s="2">
        <v>5309252</v>
      </c>
      <c r="I954" t="str">
        <f>VLOOKUP(Tabela1[[#This Row],[CO_PAIS]],'[1]nome do paixs'!$A:$B,2,0)</f>
        <v>Estados Unidos</v>
      </c>
      <c r="J954" t="s">
        <v>12</v>
      </c>
    </row>
    <row r="955" spans="1:10">
      <c r="A955">
        <v>2024</v>
      </c>
      <c r="B955">
        <v>5</v>
      </c>
      <c r="C955">
        <v>8807</v>
      </c>
      <c r="D955">
        <v>160</v>
      </c>
      <c r="E955" t="s">
        <v>10</v>
      </c>
      <c r="F955">
        <v>3449904</v>
      </c>
      <c r="G955" s="1">
        <v>9</v>
      </c>
      <c r="H955" s="2">
        <v>2050</v>
      </c>
      <c r="I955" t="str">
        <f>VLOOKUP(Tabela1[[#This Row],[CO_PAIS]],'[1]nome do paixs'!$A:$B,2,0)</f>
        <v>China</v>
      </c>
      <c r="J955" t="s">
        <v>12</v>
      </c>
    </row>
    <row r="956" spans="1:10">
      <c r="A956">
        <v>2024</v>
      </c>
      <c r="B956">
        <v>5</v>
      </c>
      <c r="C956">
        <v>8807</v>
      </c>
      <c r="D956">
        <v>275</v>
      </c>
      <c r="E956" t="s">
        <v>10</v>
      </c>
      <c r="F956">
        <v>3449904</v>
      </c>
      <c r="G956" s="1">
        <v>132</v>
      </c>
      <c r="H956" s="2">
        <v>269446</v>
      </c>
      <c r="I956" t="str">
        <f>VLOOKUP(Tabela1[[#This Row],[CO_PAIS]],'[1]nome do paixs'!$A:$B,2,0)</f>
        <v>França</v>
      </c>
      <c r="J956" t="s">
        <v>12</v>
      </c>
    </row>
    <row r="957" spans="1:10">
      <c r="A957">
        <v>2024</v>
      </c>
      <c r="B957">
        <v>5</v>
      </c>
      <c r="C957">
        <v>8807</v>
      </c>
      <c r="D957">
        <v>232</v>
      </c>
      <c r="E957" t="s">
        <v>10</v>
      </c>
      <c r="F957">
        <v>3449904</v>
      </c>
      <c r="G957" s="1">
        <v>1</v>
      </c>
      <c r="H957" s="2">
        <v>21594</v>
      </c>
      <c r="I957" t="str">
        <f>VLOOKUP(Tabela1[[#This Row],[CO_PAIS]],'[1]nome do paixs'!$A:$B,2,0)</f>
        <v>Dinamarca</v>
      </c>
      <c r="J957" t="s">
        <v>12</v>
      </c>
    </row>
    <row r="958" spans="1:10">
      <c r="A958">
        <v>2024</v>
      </c>
      <c r="B958">
        <v>5</v>
      </c>
      <c r="C958">
        <v>8807</v>
      </c>
      <c r="D958">
        <v>105</v>
      </c>
      <c r="E958" t="s">
        <v>10</v>
      </c>
      <c r="F958">
        <v>3454102</v>
      </c>
      <c r="G958" s="1">
        <v>4775</v>
      </c>
      <c r="H958" s="2">
        <v>4446140</v>
      </c>
      <c r="I958" t="str">
        <f>VLOOKUP(Tabela1[[#This Row],[CO_PAIS]],'[1]nome do paixs'!$A:$B,2,0)</f>
        <v>Brasil</v>
      </c>
      <c r="J958" t="s">
        <v>11</v>
      </c>
    </row>
    <row r="959" spans="1:10">
      <c r="A959">
        <v>2024</v>
      </c>
      <c r="B959">
        <v>5</v>
      </c>
      <c r="C959">
        <v>8807</v>
      </c>
      <c r="D959">
        <v>190</v>
      </c>
      <c r="E959" t="s">
        <v>10</v>
      </c>
      <c r="F959">
        <v>3424402</v>
      </c>
      <c r="G959" s="1">
        <v>82</v>
      </c>
      <c r="H959" s="2">
        <v>33682</v>
      </c>
      <c r="I959" t="str">
        <f>VLOOKUP(Tabela1[[#This Row],[CO_PAIS]],'[1]nome do paixs'!$A:$B,2,0)</f>
        <v>Coreia do Sul</v>
      </c>
      <c r="J959" t="s">
        <v>13</v>
      </c>
    </row>
    <row r="960" spans="1:10">
      <c r="A960">
        <v>2024</v>
      </c>
      <c r="B960">
        <v>5</v>
      </c>
      <c r="C960">
        <v>8807</v>
      </c>
      <c r="D960">
        <v>158</v>
      </c>
      <c r="E960" t="s">
        <v>10</v>
      </c>
      <c r="F960">
        <v>3449904</v>
      </c>
      <c r="G960" s="1">
        <v>159</v>
      </c>
      <c r="H960" s="2">
        <v>694017</v>
      </c>
      <c r="I960" t="str">
        <f>VLOOKUP(Tabela1[[#This Row],[CO_PAIS]],'[1]nome do paixs'!$A:$B,2,0)</f>
        <v>Chile</v>
      </c>
      <c r="J960" t="s">
        <v>12</v>
      </c>
    </row>
    <row r="961" spans="1:10">
      <c r="A961">
        <v>2024</v>
      </c>
      <c r="B961">
        <v>5</v>
      </c>
      <c r="C961">
        <v>8807</v>
      </c>
      <c r="D961">
        <v>190</v>
      </c>
      <c r="E961" t="s">
        <v>10</v>
      </c>
      <c r="F961">
        <v>3449904</v>
      </c>
      <c r="G961" s="1">
        <v>45</v>
      </c>
      <c r="H961" s="2">
        <v>250614</v>
      </c>
      <c r="I961" t="str">
        <f>VLOOKUP(Tabela1[[#This Row],[CO_PAIS]],'[1]nome do paixs'!$A:$B,2,0)</f>
        <v>Coreia do Sul</v>
      </c>
      <c r="J961" t="s">
        <v>12</v>
      </c>
    </row>
    <row r="962" spans="1:10">
      <c r="A962">
        <v>2024</v>
      </c>
      <c r="B962">
        <v>5</v>
      </c>
      <c r="C962">
        <v>8807</v>
      </c>
      <c r="D962">
        <v>245</v>
      </c>
      <c r="E962" t="s">
        <v>10</v>
      </c>
      <c r="F962">
        <v>3454102</v>
      </c>
      <c r="G962" s="1">
        <v>316</v>
      </c>
      <c r="H962" s="2">
        <v>365210</v>
      </c>
      <c r="I962" t="str">
        <f>VLOOKUP(Tabela1[[#This Row],[CO_PAIS]],'[1]nome do paixs'!$A:$B,2,0)</f>
        <v>Espanha</v>
      </c>
      <c r="J962" t="s">
        <v>11</v>
      </c>
    </row>
    <row r="963" spans="1:10">
      <c r="A963">
        <v>2024</v>
      </c>
      <c r="B963">
        <v>5</v>
      </c>
      <c r="C963">
        <v>8807</v>
      </c>
      <c r="D963">
        <v>676</v>
      </c>
      <c r="E963" t="s">
        <v>10</v>
      </c>
      <c r="F963">
        <v>3454102</v>
      </c>
      <c r="G963" s="1">
        <v>1408</v>
      </c>
      <c r="H963" s="2">
        <v>131909</v>
      </c>
      <c r="I963" t="str">
        <f>VLOOKUP(Tabela1[[#This Row],[CO_PAIS]],'[1]nome do paixs'!$A:$B,2,0)</f>
        <v>Rússia</v>
      </c>
      <c r="J963" t="s">
        <v>11</v>
      </c>
    </row>
    <row r="964" spans="1:10">
      <c r="A964">
        <v>2024</v>
      </c>
      <c r="B964">
        <v>5</v>
      </c>
      <c r="C964">
        <v>8807</v>
      </c>
      <c r="D964">
        <v>361</v>
      </c>
      <c r="E964" t="s">
        <v>10</v>
      </c>
      <c r="F964">
        <v>3449904</v>
      </c>
      <c r="G964" s="1">
        <v>1039</v>
      </c>
      <c r="H964" s="2">
        <v>538104</v>
      </c>
      <c r="I964" t="str">
        <f>VLOOKUP(Tabela1[[#This Row],[CO_PAIS]],'[1]nome do paixs'!$A:$B,2,0)</f>
        <v>Índia</v>
      </c>
      <c r="J964" t="s">
        <v>12</v>
      </c>
    </row>
    <row r="965" spans="1:10">
      <c r="A965">
        <v>2024</v>
      </c>
      <c r="B965">
        <v>5</v>
      </c>
      <c r="C965">
        <v>8807</v>
      </c>
      <c r="D965">
        <v>249</v>
      </c>
      <c r="E965" t="s">
        <v>10</v>
      </c>
      <c r="F965">
        <v>3424402</v>
      </c>
      <c r="G965" s="1">
        <v>1905</v>
      </c>
      <c r="H965" s="2">
        <v>388663</v>
      </c>
      <c r="I965" t="str">
        <f>VLOOKUP(Tabela1[[#This Row],[CO_PAIS]],'[1]nome do paixs'!$A:$B,2,0)</f>
        <v>Estados Unidos</v>
      </c>
      <c r="J965" t="s">
        <v>13</v>
      </c>
    </row>
    <row r="966" spans="1:10">
      <c r="A966">
        <v>2024</v>
      </c>
      <c r="B966">
        <v>5</v>
      </c>
      <c r="C966">
        <v>8807</v>
      </c>
      <c r="D966">
        <v>607</v>
      </c>
      <c r="E966" t="s">
        <v>10</v>
      </c>
      <c r="F966">
        <v>3449904</v>
      </c>
      <c r="G966" s="1">
        <v>37</v>
      </c>
      <c r="H966" s="2">
        <v>44219</v>
      </c>
      <c r="I966" t="str">
        <f>VLOOKUP(Tabela1[[#This Row],[CO_PAIS]],'[1]nome do paixs'!$A:$B,2,0)</f>
        <v>Portugal</v>
      </c>
      <c r="J966" t="s">
        <v>12</v>
      </c>
    </row>
    <row r="967" spans="1:10">
      <c r="A967">
        <v>2024</v>
      </c>
      <c r="B967">
        <v>5</v>
      </c>
      <c r="C967">
        <v>8807</v>
      </c>
      <c r="D967">
        <v>23</v>
      </c>
      <c r="E967" t="s">
        <v>10</v>
      </c>
      <c r="F967">
        <v>3449904</v>
      </c>
      <c r="G967" s="1">
        <v>669</v>
      </c>
      <c r="H967" s="2">
        <v>670594</v>
      </c>
      <c r="I967" t="str">
        <f>VLOOKUP(Tabela1[[#This Row],[CO_PAIS]],'[1]nome do paixs'!$A:$B,2,0)</f>
        <v>Alemanha</v>
      </c>
      <c r="J967" t="s">
        <v>12</v>
      </c>
    </row>
    <row r="968" spans="1:10">
      <c r="A968">
        <v>2024</v>
      </c>
      <c r="B968">
        <v>5</v>
      </c>
      <c r="C968">
        <v>8807</v>
      </c>
      <c r="D968">
        <v>461</v>
      </c>
      <c r="E968" t="s">
        <v>10</v>
      </c>
      <c r="F968">
        <v>3449904</v>
      </c>
      <c r="G968" s="1">
        <v>0</v>
      </c>
      <c r="H968" s="2">
        <v>7882</v>
      </c>
      <c r="I968" t="str">
        <f>VLOOKUP(Tabela1[[#This Row],[CO_PAIS]],'[1]nome do paixs'!$A:$B,2,0)</f>
        <v>Maldivas</v>
      </c>
      <c r="J968" t="s">
        <v>12</v>
      </c>
    </row>
    <row r="969" spans="1:10">
      <c r="A969">
        <v>2024</v>
      </c>
      <c r="B969">
        <v>5</v>
      </c>
      <c r="C969">
        <v>8807</v>
      </c>
      <c r="D969">
        <v>245</v>
      </c>
      <c r="E969" t="s">
        <v>10</v>
      </c>
      <c r="F969">
        <v>3424402</v>
      </c>
      <c r="G969" s="1">
        <v>328</v>
      </c>
      <c r="H969" s="2">
        <v>94175</v>
      </c>
      <c r="I969" t="str">
        <f>VLOOKUP(Tabela1[[#This Row],[CO_PAIS]],'[1]nome do paixs'!$A:$B,2,0)</f>
        <v>Espanha</v>
      </c>
      <c r="J969" t="s">
        <v>13</v>
      </c>
    </row>
    <row r="970" spans="1:10">
      <c r="A970">
        <v>2024</v>
      </c>
      <c r="B970">
        <v>5</v>
      </c>
      <c r="C970">
        <v>8807</v>
      </c>
      <c r="D970">
        <v>87</v>
      </c>
      <c r="E970" t="s">
        <v>10</v>
      </c>
      <c r="F970">
        <v>3449904</v>
      </c>
      <c r="G970" s="1">
        <v>1890</v>
      </c>
      <c r="H970" s="2">
        <v>1974516</v>
      </c>
      <c r="I970" t="str">
        <f>VLOOKUP(Tabela1[[#This Row],[CO_PAIS]],'[1]nome do paixs'!$A:$B,2,0)</f>
        <v>Bélgica</v>
      </c>
      <c r="J970" t="s">
        <v>12</v>
      </c>
    </row>
    <row r="971" spans="1:10">
      <c r="A971">
        <v>2024</v>
      </c>
      <c r="B971">
        <v>5</v>
      </c>
      <c r="C971">
        <v>8807</v>
      </c>
      <c r="D971">
        <v>149</v>
      </c>
      <c r="E971" t="s">
        <v>10</v>
      </c>
      <c r="F971">
        <v>3454102</v>
      </c>
      <c r="G971" s="1">
        <v>68</v>
      </c>
      <c r="H971" s="2">
        <v>70208</v>
      </c>
      <c r="I971" t="str">
        <f>VLOOKUP(Tabela1[[#This Row],[CO_PAIS]],'[1]nome do paixs'!$A:$B,2,0)</f>
        <v>Canadá</v>
      </c>
      <c r="J971" t="s">
        <v>11</v>
      </c>
    </row>
    <row r="972" spans="1:10">
      <c r="A972">
        <v>2024</v>
      </c>
      <c r="B972">
        <v>5</v>
      </c>
      <c r="C972">
        <v>8807</v>
      </c>
      <c r="D972">
        <v>190</v>
      </c>
      <c r="E972" t="s">
        <v>10</v>
      </c>
      <c r="F972">
        <v>3454102</v>
      </c>
      <c r="G972" s="1">
        <v>3426</v>
      </c>
      <c r="H972" s="2">
        <v>2492519</v>
      </c>
      <c r="I972" t="str">
        <f>VLOOKUP(Tabela1[[#This Row],[CO_PAIS]],'[1]nome do paixs'!$A:$B,2,0)</f>
        <v>Coreia do Sul</v>
      </c>
      <c r="J972" t="s">
        <v>11</v>
      </c>
    </row>
    <row r="973" spans="1:10">
      <c r="A973">
        <v>2024</v>
      </c>
      <c r="B973">
        <v>5</v>
      </c>
      <c r="C973">
        <v>8807</v>
      </c>
      <c r="D973">
        <v>628</v>
      </c>
      <c r="E973" t="s">
        <v>10</v>
      </c>
      <c r="F973">
        <v>3449904</v>
      </c>
      <c r="G973" s="1">
        <v>572</v>
      </c>
      <c r="H973" s="2">
        <v>627801</v>
      </c>
      <c r="I973" t="str">
        <f>VLOOKUP(Tabela1[[#This Row],[CO_PAIS]],'[1]nome do paixs'!$A:$B,2,0)</f>
        <v>Reino Unido</v>
      </c>
      <c r="J973" t="s">
        <v>12</v>
      </c>
    </row>
    <row r="974" spans="1:10">
      <c r="A974">
        <v>2024</v>
      </c>
      <c r="B974">
        <v>5</v>
      </c>
      <c r="C974">
        <v>8807</v>
      </c>
      <c r="D974">
        <v>105</v>
      </c>
      <c r="E974" t="s">
        <v>10</v>
      </c>
      <c r="F974">
        <v>3449904</v>
      </c>
      <c r="G974" s="1">
        <v>8314</v>
      </c>
      <c r="H974" s="2">
        <v>5703389</v>
      </c>
      <c r="I974" t="str">
        <f>VLOOKUP(Tabela1[[#This Row],[CO_PAIS]],'[1]nome do paixs'!$A:$B,2,0)</f>
        <v>Brasil</v>
      </c>
      <c r="J974" t="s">
        <v>12</v>
      </c>
    </row>
    <row r="975" spans="1:10">
      <c r="A975">
        <v>2024</v>
      </c>
      <c r="B975">
        <v>5</v>
      </c>
      <c r="C975">
        <v>8807</v>
      </c>
      <c r="D975">
        <v>72</v>
      </c>
      <c r="E975" t="s">
        <v>10</v>
      </c>
      <c r="F975">
        <v>3449904</v>
      </c>
      <c r="G975" s="1">
        <v>50</v>
      </c>
      <c r="H975" s="2">
        <v>5346</v>
      </c>
      <c r="I975" t="str">
        <f>VLOOKUP(Tabela1[[#This Row],[CO_PAIS]],'[1]nome do paixs'!$A:$B,2,0)</f>
        <v>Áustria</v>
      </c>
      <c r="J975" t="s">
        <v>12</v>
      </c>
    </row>
    <row r="976" spans="1:10">
      <c r="A976">
        <v>2024</v>
      </c>
      <c r="B976">
        <v>5</v>
      </c>
      <c r="C976">
        <v>8807</v>
      </c>
      <c r="D976">
        <v>399</v>
      </c>
      <c r="E976" t="s">
        <v>10</v>
      </c>
      <c r="F976">
        <v>3449904</v>
      </c>
      <c r="G976" s="1">
        <v>301</v>
      </c>
      <c r="H976" s="2">
        <v>343635</v>
      </c>
      <c r="I976" t="str">
        <f>VLOOKUP(Tabela1[[#This Row],[CO_PAIS]],'[1]nome do paixs'!$A:$B,2,0)</f>
        <v>Japão</v>
      </c>
      <c r="J976" t="s">
        <v>12</v>
      </c>
    </row>
    <row r="977" spans="1:10">
      <c r="A977">
        <v>2024</v>
      </c>
      <c r="B977">
        <v>5</v>
      </c>
      <c r="C977">
        <v>8807</v>
      </c>
      <c r="D977">
        <v>275</v>
      </c>
      <c r="E977" t="s">
        <v>10</v>
      </c>
      <c r="F977">
        <v>3454102</v>
      </c>
      <c r="G977" s="1">
        <v>2945</v>
      </c>
      <c r="H977" s="2">
        <v>4013667</v>
      </c>
      <c r="I977" t="str">
        <f>VLOOKUP(Tabela1[[#This Row],[CO_PAIS]],'[1]nome do paixs'!$A:$B,2,0)</f>
        <v>França</v>
      </c>
      <c r="J977" t="s">
        <v>11</v>
      </c>
    </row>
    <row r="978" spans="1:10">
      <c r="A978">
        <v>2024</v>
      </c>
      <c r="B978">
        <v>5</v>
      </c>
      <c r="C978">
        <v>8807</v>
      </c>
      <c r="D978">
        <v>72</v>
      </c>
      <c r="E978" t="s">
        <v>10</v>
      </c>
      <c r="F978">
        <v>3454102</v>
      </c>
      <c r="G978" s="1">
        <v>10258</v>
      </c>
      <c r="H978" s="2">
        <v>1695094</v>
      </c>
      <c r="I978" t="str">
        <f>VLOOKUP(Tabela1[[#This Row],[CO_PAIS]],'[1]nome do paixs'!$A:$B,2,0)</f>
        <v>Áustria</v>
      </c>
      <c r="J978" t="s">
        <v>11</v>
      </c>
    </row>
    <row r="979" spans="1:10">
      <c r="A979">
        <v>2024</v>
      </c>
      <c r="B979">
        <v>5</v>
      </c>
      <c r="C979">
        <v>8807</v>
      </c>
      <c r="D979">
        <v>245</v>
      </c>
      <c r="E979" t="s">
        <v>10</v>
      </c>
      <c r="F979">
        <v>3449904</v>
      </c>
      <c r="G979" s="1">
        <v>4530</v>
      </c>
      <c r="H979" s="2">
        <v>1575305</v>
      </c>
      <c r="I979" t="str">
        <f>VLOOKUP(Tabela1[[#This Row],[CO_PAIS]],'[1]nome do paixs'!$A:$B,2,0)</f>
        <v>Espanha</v>
      </c>
      <c r="J979" t="s">
        <v>12</v>
      </c>
    </row>
    <row r="980" spans="1:10">
      <c r="A980">
        <v>2024</v>
      </c>
      <c r="B980">
        <v>5</v>
      </c>
      <c r="C980">
        <v>8807</v>
      </c>
      <c r="D980">
        <v>23</v>
      </c>
      <c r="E980" t="s">
        <v>10</v>
      </c>
      <c r="F980">
        <v>3424402</v>
      </c>
      <c r="G980" s="1">
        <v>18</v>
      </c>
      <c r="H980" s="2">
        <v>30815</v>
      </c>
      <c r="I980" t="str">
        <f>VLOOKUP(Tabela1[[#This Row],[CO_PAIS]],'[1]nome do paixs'!$A:$B,2,0)</f>
        <v>Alemanha</v>
      </c>
      <c r="J980" t="s">
        <v>13</v>
      </c>
    </row>
    <row r="981" spans="1:10">
      <c r="A981">
        <v>2024</v>
      </c>
      <c r="B981">
        <v>5</v>
      </c>
      <c r="C981">
        <v>8807</v>
      </c>
      <c r="D981">
        <v>87</v>
      </c>
      <c r="E981" t="s">
        <v>10</v>
      </c>
      <c r="F981">
        <v>3454102</v>
      </c>
      <c r="G981" s="1">
        <v>841</v>
      </c>
      <c r="H981" s="2">
        <v>653296</v>
      </c>
      <c r="I981" t="str">
        <f>VLOOKUP(Tabela1[[#This Row],[CO_PAIS]],'[1]nome do paixs'!$A:$B,2,0)</f>
        <v>Bélgica</v>
      </c>
      <c r="J981" t="s">
        <v>11</v>
      </c>
    </row>
    <row r="982" spans="1:10">
      <c r="A982">
        <v>2024</v>
      </c>
      <c r="B982">
        <v>5</v>
      </c>
      <c r="C982">
        <v>8807</v>
      </c>
      <c r="D982">
        <v>399</v>
      </c>
      <c r="E982" t="s">
        <v>10</v>
      </c>
      <c r="F982">
        <v>3454102</v>
      </c>
      <c r="G982" s="1">
        <v>3217</v>
      </c>
      <c r="H982" s="2">
        <v>1743362</v>
      </c>
      <c r="I982" t="str">
        <f>VLOOKUP(Tabela1[[#This Row],[CO_PAIS]],'[1]nome do paixs'!$A:$B,2,0)</f>
        <v>Japão</v>
      </c>
      <c r="J982" t="s">
        <v>11</v>
      </c>
    </row>
    <row r="983" spans="1:10">
      <c r="A983">
        <v>2024</v>
      </c>
      <c r="B983">
        <v>5</v>
      </c>
      <c r="C983">
        <v>8807</v>
      </c>
      <c r="D983">
        <v>603</v>
      </c>
      <c r="E983" t="s">
        <v>10</v>
      </c>
      <c r="F983">
        <v>3449904</v>
      </c>
      <c r="G983" s="1">
        <v>58</v>
      </c>
      <c r="H983" s="2">
        <v>17805</v>
      </c>
      <c r="I983" t="str">
        <f>VLOOKUP(Tabela1[[#This Row],[CO_PAIS]],'[1]nome do paixs'!$A:$B,2,0)</f>
        <v>Polônia</v>
      </c>
      <c r="J983" t="s">
        <v>12</v>
      </c>
    </row>
    <row r="984" spans="1:10">
      <c r="A984">
        <v>2024</v>
      </c>
      <c r="B984">
        <v>5</v>
      </c>
      <c r="C984">
        <v>8807</v>
      </c>
      <c r="D984">
        <v>23</v>
      </c>
      <c r="E984" t="s">
        <v>10</v>
      </c>
      <c r="F984">
        <v>3454102</v>
      </c>
      <c r="G984" s="1">
        <v>22798</v>
      </c>
      <c r="H984" s="2">
        <v>1472933</v>
      </c>
      <c r="I984" t="str">
        <f>VLOOKUP(Tabela1[[#This Row],[CO_PAIS]],'[1]nome do paixs'!$A:$B,2,0)</f>
        <v>Alemanha</v>
      </c>
      <c r="J984" t="s">
        <v>11</v>
      </c>
    </row>
    <row r="985" spans="1:10">
      <c r="A985">
        <v>2024</v>
      </c>
      <c r="B985">
        <v>5</v>
      </c>
      <c r="C985">
        <v>8807</v>
      </c>
      <c r="D985">
        <v>791</v>
      </c>
      <c r="E985" t="s">
        <v>10</v>
      </c>
      <c r="F985">
        <v>3449904</v>
      </c>
      <c r="G985" s="1">
        <v>63</v>
      </c>
      <c r="H985" s="2">
        <v>46546</v>
      </c>
      <c r="I985" t="str">
        <f>VLOOKUP(Tabela1[[#This Row],[CO_PAIS]],'[1]nome do paixs'!$A:$B,2,0)</f>
        <v>Tcheca, República</v>
      </c>
      <c r="J985" t="s">
        <v>12</v>
      </c>
    </row>
    <row r="986" spans="1:10">
      <c r="A986">
        <v>2024</v>
      </c>
      <c r="B986">
        <v>5</v>
      </c>
      <c r="C986">
        <v>8807</v>
      </c>
      <c r="D986">
        <v>249</v>
      </c>
      <c r="E986" t="s">
        <v>10</v>
      </c>
      <c r="F986">
        <v>3454102</v>
      </c>
      <c r="G986" s="1">
        <v>9271</v>
      </c>
      <c r="H986" s="2">
        <v>3905839</v>
      </c>
      <c r="I986" t="str">
        <f>VLOOKUP(Tabela1[[#This Row],[CO_PAIS]],'[1]nome do paixs'!$A:$B,2,0)</f>
        <v>Estados Unidos</v>
      </c>
      <c r="J986" t="s">
        <v>11</v>
      </c>
    </row>
    <row r="987" spans="1:10">
      <c r="A987">
        <v>2024</v>
      </c>
      <c r="B987">
        <v>5</v>
      </c>
      <c r="C987">
        <v>8807</v>
      </c>
      <c r="D987">
        <v>275</v>
      </c>
      <c r="E987" t="s">
        <v>10</v>
      </c>
      <c r="F987">
        <v>3424402</v>
      </c>
      <c r="G987" s="1">
        <v>333</v>
      </c>
      <c r="H987" s="2">
        <v>535356</v>
      </c>
      <c r="I987" t="str">
        <f>VLOOKUP(Tabela1[[#This Row],[CO_PAIS]],'[1]nome do paixs'!$A:$B,2,0)</f>
        <v>França</v>
      </c>
      <c r="J987" t="s">
        <v>13</v>
      </c>
    </row>
    <row r="988" spans="1:10">
      <c r="A988">
        <v>2024</v>
      </c>
      <c r="B988">
        <v>5</v>
      </c>
      <c r="C988">
        <v>8807</v>
      </c>
      <c r="D988">
        <v>386</v>
      </c>
      <c r="E988" t="s">
        <v>10</v>
      </c>
      <c r="F988">
        <v>3454102</v>
      </c>
      <c r="G988" s="1">
        <v>384</v>
      </c>
      <c r="H988" s="2">
        <v>1077433</v>
      </c>
      <c r="I988" t="str">
        <f>VLOOKUP(Tabela1[[#This Row],[CO_PAIS]],'[1]nome do paixs'!$A:$B,2,0)</f>
        <v>Itália</v>
      </c>
      <c r="J988" t="s">
        <v>11</v>
      </c>
    </row>
    <row r="989" spans="1:10">
      <c r="A989">
        <v>2024</v>
      </c>
      <c r="B989">
        <v>5</v>
      </c>
      <c r="C989">
        <v>8807</v>
      </c>
      <c r="D989">
        <v>375</v>
      </c>
      <c r="E989" t="s">
        <v>10</v>
      </c>
      <c r="F989">
        <v>3454102</v>
      </c>
      <c r="G989" s="1">
        <v>51</v>
      </c>
      <c r="H989" s="2">
        <v>8930</v>
      </c>
      <c r="I989" t="str">
        <f>VLOOKUP(Tabela1[[#This Row],[CO_PAIS]],'[1]nome do paixs'!$A:$B,2,0)</f>
        <v>Irlanda</v>
      </c>
      <c r="J989" t="s">
        <v>11</v>
      </c>
    </row>
    <row r="990" spans="1:10">
      <c r="A990">
        <v>2024</v>
      </c>
      <c r="B990">
        <v>5</v>
      </c>
      <c r="C990">
        <v>8807</v>
      </c>
      <c r="D990">
        <v>628</v>
      </c>
      <c r="E990" t="s">
        <v>10</v>
      </c>
      <c r="F990">
        <v>3454102</v>
      </c>
      <c r="G990" s="1">
        <v>144</v>
      </c>
      <c r="H990" s="2">
        <v>165162</v>
      </c>
      <c r="I990" t="str">
        <f>VLOOKUP(Tabela1[[#This Row],[CO_PAIS]],'[1]nome do paixs'!$A:$B,2,0)</f>
        <v>Reino Unido</v>
      </c>
      <c r="J990" t="s">
        <v>11</v>
      </c>
    </row>
    <row r="991" spans="1:10">
      <c r="A991">
        <v>2024</v>
      </c>
      <c r="B991">
        <v>5</v>
      </c>
      <c r="C991">
        <v>8807</v>
      </c>
      <c r="D991">
        <v>791</v>
      </c>
      <c r="E991" t="s">
        <v>10</v>
      </c>
      <c r="F991">
        <v>3424402</v>
      </c>
      <c r="G991" s="1">
        <v>360</v>
      </c>
      <c r="H991" s="2">
        <v>288468</v>
      </c>
      <c r="I991" t="str">
        <f>VLOOKUP(Tabela1[[#This Row],[CO_PAIS]],'[1]nome do paixs'!$A:$B,2,0)</f>
        <v>Tcheca, República</v>
      </c>
      <c r="J991" t="s">
        <v>13</v>
      </c>
    </row>
    <row r="992" spans="1:10">
      <c r="A992">
        <v>2023</v>
      </c>
      <c r="B992">
        <v>5</v>
      </c>
      <c r="C992">
        <v>8807</v>
      </c>
      <c r="D992">
        <v>791</v>
      </c>
      <c r="E992" t="s">
        <v>10</v>
      </c>
      <c r="F992">
        <v>3454102</v>
      </c>
      <c r="G992" s="1">
        <v>0</v>
      </c>
      <c r="H992" s="2">
        <v>2579</v>
      </c>
      <c r="I992" t="str">
        <f>VLOOKUP(Tabela1[[#This Row],[CO_PAIS]],'[1]nome do paixs'!$A:$B,2,0)</f>
        <v>Tcheca, República</v>
      </c>
      <c r="J992" t="s">
        <v>11</v>
      </c>
    </row>
    <row r="993" spans="1:10">
      <c r="A993">
        <v>2023</v>
      </c>
      <c r="B993">
        <v>5</v>
      </c>
      <c r="C993">
        <v>8807</v>
      </c>
      <c r="D993">
        <v>741</v>
      </c>
      <c r="E993" t="s">
        <v>10</v>
      </c>
      <c r="F993">
        <v>3449904</v>
      </c>
      <c r="G993" s="1">
        <v>24</v>
      </c>
      <c r="H993" s="2">
        <v>22184</v>
      </c>
      <c r="I993" t="str">
        <f>VLOOKUP(Tabela1[[#This Row],[CO_PAIS]],'[1]nome do paixs'!$A:$B,2,0)</f>
        <v>Singapura</v>
      </c>
      <c r="J993" t="s">
        <v>12</v>
      </c>
    </row>
    <row r="994" spans="1:10">
      <c r="A994">
        <v>2023</v>
      </c>
      <c r="B994">
        <v>5</v>
      </c>
      <c r="C994">
        <v>8807</v>
      </c>
      <c r="D994">
        <v>190</v>
      </c>
      <c r="E994" t="s">
        <v>10</v>
      </c>
      <c r="F994">
        <v>3454102</v>
      </c>
      <c r="G994" s="1">
        <v>4713</v>
      </c>
      <c r="H994" s="2">
        <v>4411117</v>
      </c>
      <c r="I994" t="str">
        <f>VLOOKUP(Tabela1[[#This Row],[CO_PAIS]],'[1]nome do paixs'!$A:$B,2,0)</f>
        <v>Coreia do Sul</v>
      </c>
      <c r="J994" t="s">
        <v>11</v>
      </c>
    </row>
    <row r="995" spans="1:10">
      <c r="A995">
        <v>2023</v>
      </c>
      <c r="B995">
        <v>5</v>
      </c>
      <c r="C995">
        <v>8807</v>
      </c>
      <c r="D995">
        <v>87</v>
      </c>
      <c r="E995" t="s">
        <v>10</v>
      </c>
      <c r="F995">
        <v>3449904</v>
      </c>
      <c r="G995" s="1">
        <v>1557</v>
      </c>
      <c r="H995" s="2">
        <v>1504846</v>
      </c>
      <c r="I995" t="str">
        <f>VLOOKUP(Tabela1[[#This Row],[CO_PAIS]],'[1]nome do paixs'!$A:$B,2,0)</f>
        <v>Bélgica</v>
      </c>
      <c r="J995" t="s">
        <v>12</v>
      </c>
    </row>
    <row r="996" spans="1:10">
      <c r="A996">
        <v>2023</v>
      </c>
      <c r="B996">
        <v>5</v>
      </c>
      <c r="C996">
        <v>8807</v>
      </c>
      <c r="D996">
        <v>493</v>
      </c>
      <c r="E996" t="s">
        <v>10</v>
      </c>
      <c r="F996">
        <v>3449904</v>
      </c>
      <c r="G996" s="1">
        <v>2036</v>
      </c>
      <c r="H996" s="2">
        <v>957576</v>
      </c>
      <c r="I996" t="str">
        <f>VLOOKUP(Tabela1[[#This Row],[CO_PAIS]],'[1]nome do paixs'!$A:$B,2,0)</f>
        <v>México</v>
      </c>
      <c r="J996" t="s">
        <v>12</v>
      </c>
    </row>
    <row r="997" spans="1:10">
      <c r="A997">
        <v>2023</v>
      </c>
      <c r="B997">
        <v>5</v>
      </c>
      <c r="C997">
        <v>8807</v>
      </c>
      <c r="D997">
        <v>455</v>
      </c>
      <c r="E997" t="s">
        <v>10</v>
      </c>
      <c r="F997">
        <v>3454102</v>
      </c>
      <c r="G997" s="1">
        <v>1473</v>
      </c>
      <c r="H997" s="2">
        <v>123714</v>
      </c>
      <c r="I997" t="str">
        <f>VLOOKUP(Tabela1[[#This Row],[CO_PAIS]],'[1]nome do paixs'!$A:$B,2,0)</f>
        <v>Malásia</v>
      </c>
      <c r="J997" t="s">
        <v>11</v>
      </c>
    </row>
    <row r="998" spans="1:10">
      <c r="A998">
        <v>2023</v>
      </c>
      <c r="B998">
        <v>5</v>
      </c>
      <c r="C998">
        <v>8807</v>
      </c>
      <c r="D998">
        <v>628</v>
      </c>
      <c r="E998" t="s">
        <v>10</v>
      </c>
      <c r="F998">
        <v>3449904</v>
      </c>
      <c r="G998" s="1">
        <v>946</v>
      </c>
      <c r="H998" s="2">
        <v>1169729</v>
      </c>
      <c r="I998" t="str">
        <f>VLOOKUP(Tabela1[[#This Row],[CO_PAIS]],'[1]nome do paixs'!$A:$B,2,0)</f>
        <v>Reino Unido</v>
      </c>
      <c r="J998" t="s">
        <v>12</v>
      </c>
    </row>
    <row r="999" spans="1:10">
      <c r="A999">
        <v>2023</v>
      </c>
      <c r="B999">
        <v>5</v>
      </c>
      <c r="C999">
        <v>8807</v>
      </c>
      <c r="D999">
        <v>607</v>
      </c>
      <c r="E999" t="s">
        <v>10</v>
      </c>
      <c r="F999">
        <v>3449904</v>
      </c>
      <c r="G999" s="1">
        <v>1</v>
      </c>
      <c r="H999" s="2">
        <v>4986</v>
      </c>
      <c r="I999" t="str">
        <f>VLOOKUP(Tabela1[[#This Row],[CO_PAIS]],'[1]nome do paixs'!$A:$B,2,0)</f>
        <v>Portugal</v>
      </c>
      <c r="J999" t="s">
        <v>12</v>
      </c>
    </row>
    <row r="1000" spans="1:10">
      <c r="A1000">
        <v>2023</v>
      </c>
      <c r="B1000">
        <v>5</v>
      </c>
      <c r="C1000">
        <v>8807</v>
      </c>
      <c r="D1000">
        <v>275</v>
      </c>
      <c r="E1000" t="s">
        <v>10</v>
      </c>
      <c r="F1000">
        <v>3449904</v>
      </c>
      <c r="G1000" s="1">
        <v>355</v>
      </c>
      <c r="H1000" s="2">
        <v>311498</v>
      </c>
      <c r="I1000" t="str">
        <f>VLOOKUP(Tabela1[[#This Row],[CO_PAIS]],'[1]nome do paixs'!$A:$B,2,0)</f>
        <v>França</v>
      </c>
      <c r="J1000" t="s">
        <v>12</v>
      </c>
    </row>
    <row r="1001" spans="1:10">
      <c r="A1001">
        <v>2023</v>
      </c>
      <c r="B1001">
        <v>5</v>
      </c>
      <c r="C1001">
        <v>8807</v>
      </c>
      <c r="D1001">
        <v>23</v>
      </c>
      <c r="E1001" t="s">
        <v>10</v>
      </c>
      <c r="F1001">
        <v>3454102</v>
      </c>
      <c r="G1001" s="1">
        <v>25316</v>
      </c>
      <c r="H1001" s="2">
        <v>1592647</v>
      </c>
      <c r="I1001" t="str">
        <f>VLOOKUP(Tabela1[[#This Row],[CO_PAIS]],'[1]nome do paixs'!$A:$B,2,0)</f>
        <v>Alemanha</v>
      </c>
      <c r="J1001" t="s">
        <v>11</v>
      </c>
    </row>
    <row r="1002" spans="1:10">
      <c r="A1002">
        <v>2023</v>
      </c>
      <c r="B1002">
        <v>5</v>
      </c>
      <c r="C1002">
        <v>8807</v>
      </c>
      <c r="D1002">
        <v>791</v>
      </c>
      <c r="E1002" t="s">
        <v>10</v>
      </c>
      <c r="F1002">
        <v>3424402</v>
      </c>
      <c r="G1002" s="1">
        <v>202</v>
      </c>
      <c r="H1002" s="2">
        <v>164738</v>
      </c>
      <c r="I1002" t="str">
        <f>VLOOKUP(Tabela1[[#This Row],[CO_PAIS]],'[1]nome do paixs'!$A:$B,2,0)</f>
        <v>Tcheca, República</v>
      </c>
      <c r="J1002" t="s">
        <v>13</v>
      </c>
    </row>
    <row r="1003" spans="1:10">
      <c r="A1003">
        <v>2023</v>
      </c>
      <c r="B1003">
        <v>5</v>
      </c>
      <c r="C1003">
        <v>8807</v>
      </c>
      <c r="D1003">
        <v>190</v>
      </c>
      <c r="E1003" t="s">
        <v>10</v>
      </c>
      <c r="F1003">
        <v>3449904</v>
      </c>
      <c r="G1003" s="1">
        <v>14</v>
      </c>
      <c r="H1003" s="2">
        <v>18193</v>
      </c>
      <c r="I1003" t="str">
        <f>VLOOKUP(Tabela1[[#This Row],[CO_PAIS]],'[1]nome do paixs'!$A:$B,2,0)</f>
        <v>Coreia do Sul</v>
      </c>
      <c r="J1003" t="s">
        <v>12</v>
      </c>
    </row>
    <row r="1004" spans="1:10">
      <c r="A1004">
        <v>2023</v>
      </c>
      <c r="B1004">
        <v>5</v>
      </c>
      <c r="C1004">
        <v>8807</v>
      </c>
      <c r="D1004">
        <v>827</v>
      </c>
      <c r="E1004" t="s">
        <v>10</v>
      </c>
      <c r="F1004">
        <v>3449904</v>
      </c>
      <c r="G1004" s="1">
        <v>1</v>
      </c>
      <c r="H1004" s="2">
        <v>1484</v>
      </c>
      <c r="I1004" t="str">
        <f>VLOOKUP(Tabela1[[#This Row],[CO_PAIS]],'[1]nome do paixs'!$A:$B,2,0)</f>
        <v>Turquia</v>
      </c>
      <c r="J1004" t="s">
        <v>12</v>
      </c>
    </row>
    <row r="1005" spans="1:10">
      <c r="A1005">
        <v>2023</v>
      </c>
      <c r="B1005">
        <v>5</v>
      </c>
      <c r="C1005">
        <v>8807</v>
      </c>
      <c r="D1005">
        <v>461</v>
      </c>
      <c r="E1005" t="s">
        <v>10</v>
      </c>
      <c r="F1005">
        <v>3449904</v>
      </c>
      <c r="G1005" s="1">
        <v>2</v>
      </c>
      <c r="H1005" s="2">
        <v>31528</v>
      </c>
      <c r="I1005" t="str">
        <f>VLOOKUP(Tabela1[[#This Row],[CO_PAIS]],'[1]nome do paixs'!$A:$B,2,0)</f>
        <v>Maldivas</v>
      </c>
      <c r="J1005" t="s">
        <v>12</v>
      </c>
    </row>
    <row r="1006" spans="1:10">
      <c r="A1006">
        <v>2023</v>
      </c>
      <c r="B1006">
        <v>5</v>
      </c>
      <c r="C1006">
        <v>8807</v>
      </c>
      <c r="D1006">
        <v>23</v>
      </c>
      <c r="E1006" t="s">
        <v>10</v>
      </c>
      <c r="F1006">
        <v>3449904</v>
      </c>
      <c r="G1006" s="1">
        <v>353</v>
      </c>
      <c r="H1006" s="2">
        <v>222944</v>
      </c>
      <c r="I1006" t="str">
        <f>VLOOKUP(Tabela1[[#This Row],[CO_PAIS]],'[1]nome do paixs'!$A:$B,2,0)</f>
        <v>Alemanha</v>
      </c>
      <c r="J1006" t="s">
        <v>12</v>
      </c>
    </row>
    <row r="1007" spans="1:10">
      <c r="A1007">
        <v>2023</v>
      </c>
      <c r="B1007">
        <v>5</v>
      </c>
      <c r="C1007">
        <v>8807</v>
      </c>
      <c r="D1007">
        <v>245</v>
      </c>
      <c r="E1007" t="s">
        <v>10</v>
      </c>
      <c r="F1007">
        <v>3454102</v>
      </c>
      <c r="G1007" s="1">
        <v>576</v>
      </c>
      <c r="H1007" s="2">
        <v>661741</v>
      </c>
      <c r="I1007" t="str">
        <f>VLOOKUP(Tabela1[[#This Row],[CO_PAIS]],'[1]nome do paixs'!$A:$B,2,0)</f>
        <v>Espanha</v>
      </c>
      <c r="J1007" t="s">
        <v>11</v>
      </c>
    </row>
    <row r="1008" spans="1:10">
      <c r="A1008">
        <v>2023</v>
      </c>
      <c r="B1008">
        <v>5</v>
      </c>
      <c r="C1008">
        <v>8807</v>
      </c>
      <c r="D1008">
        <v>474</v>
      </c>
      <c r="E1008" t="s">
        <v>10</v>
      </c>
      <c r="F1008">
        <v>3449904</v>
      </c>
      <c r="G1008" s="1">
        <v>14</v>
      </c>
      <c r="H1008" s="2">
        <v>44404</v>
      </c>
      <c r="I1008" t="str">
        <f>VLOOKUP(Tabela1[[#This Row],[CO_PAIS]],'[1]nome do paixs'!$A:$B,2,0)</f>
        <v>Marrocos</v>
      </c>
      <c r="J1008" t="s">
        <v>12</v>
      </c>
    </row>
    <row r="1009" spans="1:10">
      <c r="A1009">
        <v>2023</v>
      </c>
      <c r="B1009">
        <v>5</v>
      </c>
      <c r="C1009">
        <v>8807</v>
      </c>
      <c r="D1009">
        <v>160</v>
      </c>
      <c r="E1009" t="s">
        <v>10</v>
      </c>
      <c r="F1009">
        <v>3449904</v>
      </c>
      <c r="G1009" s="1">
        <v>0</v>
      </c>
      <c r="H1009" s="2">
        <v>625</v>
      </c>
      <c r="I1009" t="str">
        <f>VLOOKUP(Tabela1[[#This Row],[CO_PAIS]],'[1]nome do paixs'!$A:$B,2,0)</f>
        <v>China</v>
      </c>
      <c r="J1009" t="s">
        <v>12</v>
      </c>
    </row>
    <row r="1010" spans="1:10">
      <c r="A1010">
        <v>2023</v>
      </c>
      <c r="B1010">
        <v>5</v>
      </c>
      <c r="C1010">
        <v>8807</v>
      </c>
      <c r="D1010">
        <v>149</v>
      </c>
      <c r="E1010" t="s">
        <v>10</v>
      </c>
      <c r="F1010">
        <v>3449904</v>
      </c>
      <c r="G1010" s="1">
        <v>26</v>
      </c>
      <c r="H1010" s="2">
        <v>39188</v>
      </c>
      <c r="I1010" t="str">
        <f>VLOOKUP(Tabela1[[#This Row],[CO_PAIS]],'[1]nome do paixs'!$A:$B,2,0)</f>
        <v>Canadá</v>
      </c>
      <c r="J1010" t="s">
        <v>12</v>
      </c>
    </row>
    <row r="1011" spans="1:10">
      <c r="A1011">
        <v>2023</v>
      </c>
      <c r="B1011">
        <v>5</v>
      </c>
      <c r="C1011">
        <v>8807</v>
      </c>
      <c r="D1011">
        <v>72</v>
      </c>
      <c r="E1011" t="s">
        <v>10</v>
      </c>
      <c r="F1011">
        <v>3454102</v>
      </c>
      <c r="G1011" s="1">
        <v>12353</v>
      </c>
      <c r="H1011" s="2">
        <v>1532191</v>
      </c>
      <c r="I1011" t="str">
        <f>VLOOKUP(Tabela1[[#This Row],[CO_PAIS]],'[1]nome do paixs'!$A:$B,2,0)</f>
        <v>Áustria</v>
      </c>
      <c r="J1011" t="s">
        <v>11</v>
      </c>
    </row>
    <row r="1012" spans="1:10">
      <c r="A1012">
        <v>2023</v>
      </c>
      <c r="B1012">
        <v>5</v>
      </c>
      <c r="C1012">
        <v>8807</v>
      </c>
      <c r="D1012">
        <v>628</v>
      </c>
      <c r="E1012" t="s">
        <v>10</v>
      </c>
      <c r="F1012">
        <v>3454102</v>
      </c>
      <c r="G1012" s="1">
        <v>158</v>
      </c>
      <c r="H1012" s="2">
        <v>194300</v>
      </c>
      <c r="I1012" t="str">
        <f>VLOOKUP(Tabela1[[#This Row],[CO_PAIS]],'[1]nome do paixs'!$A:$B,2,0)</f>
        <v>Reino Unido</v>
      </c>
      <c r="J1012" t="s">
        <v>11</v>
      </c>
    </row>
    <row r="1013" spans="1:10">
      <c r="A1013">
        <v>2023</v>
      </c>
      <c r="B1013">
        <v>5</v>
      </c>
      <c r="C1013">
        <v>8807</v>
      </c>
      <c r="D1013">
        <v>361</v>
      </c>
      <c r="E1013" t="s">
        <v>10</v>
      </c>
      <c r="F1013">
        <v>3449904</v>
      </c>
      <c r="G1013" s="1">
        <v>796</v>
      </c>
      <c r="H1013" s="2">
        <v>358740</v>
      </c>
      <c r="I1013" t="str">
        <f>VLOOKUP(Tabela1[[#This Row],[CO_PAIS]],'[1]nome do paixs'!$A:$B,2,0)</f>
        <v>Índia</v>
      </c>
      <c r="J1013" t="s">
        <v>12</v>
      </c>
    </row>
    <row r="1014" spans="1:10">
      <c r="A1014">
        <v>2023</v>
      </c>
      <c r="B1014">
        <v>5</v>
      </c>
      <c r="C1014">
        <v>8807</v>
      </c>
      <c r="D1014">
        <v>386</v>
      </c>
      <c r="E1014" t="s">
        <v>10</v>
      </c>
      <c r="F1014">
        <v>3454102</v>
      </c>
      <c r="G1014" s="1">
        <v>384</v>
      </c>
      <c r="H1014" s="2">
        <v>1044575</v>
      </c>
      <c r="I1014" t="str">
        <f>VLOOKUP(Tabela1[[#This Row],[CO_PAIS]],'[1]nome do paixs'!$A:$B,2,0)</f>
        <v>Itália</v>
      </c>
      <c r="J1014" t="s">
        <v>11</v>
      </c>
    </row>
    <row r="1015" spans="1:10">
      <c r="A1015">
        <v>2023</v>
      </c>
      <c r="B1015">
        <v>5</v>
      </c>
      <c r="C1015">
        <v>8807</v>
      </c>
      <c r="D1015">
        <v>105</v>
      </c>
      <c r="E1015" t="s">
        <v>10</v>
      </c>
      <c r="F1015">
        <v>3454102</v>
      </c>
      <c r="G1015" s="1">
        <v>4204</v>
      </c>
      <c r="H1015" s="2">
        <v>4803908</v>
      </c>
      <c r="I1015" t="str">
        <f>VLOOKUP(Tabela1[[#This Row],[CO_PAIS]],'[1]nome do paixs'!$A:$B,2,0)</f>
        <v>Brasil</v>
      </c>
      <c r="J1015" t="s">
        <v>11</v>
      </c>
    </row>
    <row r="1016" spans="1:10">
      <c r="A1016">
        <v>2023</v>
      </c>
      <c r="B1016">
        <v>5</v>
      </c>
      <c r="C1016">
        <v>8807</v>
      </c>
      <c r="D1016">
        <v>375</v>
      </c>
      <c r="E1016" t="s">
        <v>10</v>
      </c>
      <c r="F1016">
        <v>3449904</v>
      </c>
      <c r="G1016" s="1">
        <v>40</v>
      </c>
      <c r="H1016" s="2">
        <v>11770</v>
      </c>
      <c r="I1016" t="str">
        <f>VLOOKUP(Tabela1[[#This Row],[CO_PAIS]],'[1]nome do paixs'!$A:$B,2,0)</f>
        <v>Irlanda</v>
      </c>
      <c r="J1016" t="s">
        <v>12</v>
      </c>
    </row>
    <row r="1017" spans="1:10">
      <c r="A1017">
        <v>2023</v>
      </c>
      <c r="B1017">
        <v>5</v>
      </c>
      <c r="C1017">
        <v>8807</v>
      </c>
      <c r="D1017">
        <v>105</v>
      </c>
      <c r="E1017" t="s">
        <v>10</v>
      </c>
      <c r="F1017">
        <v>3449904</v>
      </c>
      <c r="G1017" s="1">
        <v>7096</v>
      </c>
      <c r="H1017" s="2">
        <v>5142424</v>
      </c>
      <c r="I1017" t="str">
        <f>VLOOKUP(Tabela1[[#This Row],[CO_PAIS]],'[1]nome do paixs'!$A:$B,2,0)</f>
        <v>Brasil</v>
      </c>
      <c r="J1017" t="s">
        <v>12</v>
      </c>
    </row>
    <row r="1018" spans="1:10">
      <c r="A1018">
        <v>2023</v>
      </c>
      <c r="B1018">
        <v>5</v>
      </c>
      <c r="C1018">
        <v>8807</v>
      </c>
      <c r="D1018">
        <v>399</v>
      </c>
      <c r="E1018" t="s">
        <v>10</v>
      </c>
      <c r="F1018">
        <v>3454102</v>
      </c>
      <c r="G1018" s="1">
        <v>534</v>
      </c>
      <c r="H1018" s="2">
        <v>582146</v>
      </c>
      <c r="I1018" t="str">
        <f>VLOOKUP(Tabela1[[#This Row],[CO_PAIS]],'[1]nome do paixs'!$A:$B,2,0)</f>
        <v>Japão</v>
      </c>
      <c r="J1018" t="s">
        <v>11</v>
      </c>
    </row>
    <row r="1019" spans="1:10">
      <c r="A1019">
        <v>2023</v>
      </c>
      <c r="B1019">
        <v>5</v>
      </c>
      <c r="C1019">
        <v>8807</v>
      </c>
      <c r="D1019">
        <v>676</v>
      </c>
      <c r="E1019" t="s">
        <v>10</v>
      </c>
      <c r="F1019">
        <v>3454102</v>
      </c>
      <c r="G1019" s="1">
        <v>1671</v>
      </c>
      <c r="H1019" s="2">
        <v>149229</v>
      </c>
      <c r="I1019" t="str">
        <f>VLOOKUP(Tabela1[[#This Row],[CO_PAIS]],'[1]nome do paixs'!$A:$B,2,0)</f>
        <v>Rússia</v>
      </c>
      <c r="J1019" t="s">
        <v>11</v>
      </c>
    </row>
    <row r="1020" spans="1:10">
      <c r="A1020">
        <v>2023</v>
      </c>
      <c r="B1020">
        <v>5</v>
      </c>
      <c r="C1020">
        <v>8807</v>
      </c>
      <c r="D1020">
        <v>149</v>
      </c>
      <c r="E1020" t="s">
        <v>10</v>
      </c>
      <c r="F1020">
        <v>3454102</v>
      </c>
      <c r="G1020" s="1">
        <v>281</v>
      </c>
      <c r="H1020" s="2">
        <v>310278</v>
      </c>
      <c r="I1020" t="str">
        <f>VLOOKUP(Tabela1[[#This Row],[CO_PAIS]],'[1]nome do paixs'!$A:$B,2,0)</f>
        <v>Canadá</v>
      </c>
      <c r="J1020" t="s">
        <v>11</v>
      </c>
    </row>
    <row r="1021" spans="1:10">
      <c r="A1021">
        <v>2023</v>
      </c>
      <c r="B1021">
        <v>5</v>
      </c>
      <c r="C1021">
        <v>8807</v>
      </c>
      <c r="D1021">
        <v>603</v>
      </c>
      <c r="E1021" t="s">
        <v>10</v>
      </c>
      <c r="F1021">
        <v>3449904</v>
      </c>
      <c r="G1021" s="1">
        <v>8</v>
      </c>
      <c r="H1021" s="2">
        <v>3415</v>
      </c>
      <c r="I1021" t="str">
        <f>VLOOKUP(Tabela1[[#This Row],[CO_PAIS]],'[1]nome do paixs'!$A:$B,2,0)</f>
        <v>Polônia</v>
      </c>
      <c r="J1021" t="s">
        <v>12</v>
      </c>
    </row>
    <row r="1022" spans="1:10">
      <c r="A1022">
        <v>2023</v>
      </c>
      <c r="B1022">
        <v>5</v>
      </c>
      <c r="C1022">
        <v>8807</v>
      </c>
      <c r="D1022">
        <v>275</v>
      </c>
      <c r="E1022" t="s">
        <v>10</v>
      </c>
      <c r="F1022">
        <v>3424402</v>
      </c>
      <c r="G1022" s="1">
        <v>184</v>
      </c>
      <c r="H1022" s="2">
        <v>244202</v>
      </c>
      <c r="I1022" t="str">
        <f>VLOOKUP(Tabela1[[#This Row],[CO_PAIS]],'[1]nome do paixs'!$A:$B,2,0)</f>
        <v>França</v>
      </c>
      <c r="J1022" t="s">
        <v>13</v>
      </c>
    </row>
    <row r="1023" spans="1:10">
      <c r="A1023">
        <v>2023</v>
      </c>
      <c r="B1023">
        <v>5</v>
      </c>
      <c r="C1023">
        <v>8807</v>
      </c>
      <c r="D1023">
        <v>87</v>
      </c>
      <c r="E1023" t="s">
        <v>10</v>
      </c>
      <c r="F1023">
        <v>3454102</v>
      </c>
      <c r="G1023" s="1">
        <v>1885</v>
      </c>
      <c r="H1023" s="2">
        <v>1093514</v>
      </c>
      <c r="I1023" t="str">
        <f>VLOOKUP(Tabela1[[#This Row],[CO_PAIS]],'[1]nome do paixs'!$A:$B,2,0)</f>
        <v>Bélgica</v>
      </c>
      <c r="J1023" t="s">
        <v>11</v>
      </c>
    </row>
    <row r="1024" spans="1:10">
      <c r="A1024">
        <v>2023</v>
      </c>
      <c r="B1024">
        <v>5</v>
      </c>
      <c r="C1024">
        <v>8807</v>
      </c>
      <c r="D1024">
        <v>190</v>
      </c>
      <c r="E1024" t="s">
        <v>10</v>
      </c>
      <c r="F1024">
        <v>3424402</v>
      </c>
      <c r="G1024" s="1">
        <v>97</v>
      </c>
      <c r="H1024" s="2">
        <v>38330</v>
      </c>
      <c r="I1024" t="str">
        <f>VLOOKUP(Tabela1[[#This Row],[CO_PAIS]],'[1]nome do paixs'!$A:$B,2,0)</f>
        <v>Coreia do Sul</v>
      </c>
      <c r="J1024" t="s">
        <v>13</v>
      </c>
    </row>
    <row r="1025" spans="1:10">
      <c r="A1025">
        <v>2023</v>
      </c>
      <c r="B1025">
        <v>5</v>
      </c>
      <c r="C1025">
        <v>8807</v>
      </c>
      <c r="D1025">
        <v>245</v>
      </c>
      <c r="E1025" t="s">
        <v>10</v>
      </c>
      <c r="F1025">
        <v>3424402</v>
      </c>
      <c r="G1025" s="1">
        <v>244</v>
      </c>
      <c r="H1025" s="2">
        <v>45827</v>
      </c>
      <c r="I1025" t="str">
        <f>VLOOKUP(Tabela1[[#This Row],[CO_PAIS]],'[1]nome do paixs'!$A:$B,2,0)</f>
        <v>Espanha</v>
      </c>
      <c r="J1025" t="s">
        <v>13</v>
      </c>
    </row>
    <row r="1026" spans="1:10">
      <c r="A1026">
        <v>2023</v>
      </c>
      <c r="B1026">
        <v>5</v>
      </c>
      <c r="C1026">
        <v>8807</v>
      </c>
      <c r="D1026">
        <v>375</v>
      </c>
      <c r="E1026" t="s">
        <v>10</v>
      </c>
      <c r="F1026">
        <v>3454102</v>
      </c>
      <c r="G1026" s="1">
        <v>7</v>
      </c>
      <c r="H1026" s="2">
        <v>2340</v>
      </c>
      <c r="I1026" t="str">
        <f>VLOOKUP(Tabela1[[#This Row],[CO_PAIS]],'[1]nome do paixs'!$A:$B,2,0)</f>
        <v>Irlanda</v>
      </c>
      <c r="J1026" t="s">
        <v>11</v>
      </c>
    </row>
    <row r="1027" spans="1:10">
      <c r="A1027">
        <v>2023</v>
      </c>
      <c r="B1027">
        <v>5</v>
      </c>
      <c r="C1027">
        <v>8807</v>
      </c>
      <c r="D1027">
        <v>249</v>
      </c>
      <c r="E1027" t="s">
        <v>10</v>
      </c>
      <c r="F1027">
        <v>3454102</v>
      </c>
      <c r="G1027" s="1">
        <v>15682</v>
      </c>
      <c r="H1027" s="2">
        <v>4289867</v>
      </c>
      <c r="I1027" t="str">
        <f>VLOOKUP(Tabela1[[#This Row],[CO_PAIS]],'[1]nome do paixs'!$A:$B,2,0)</f>
        <v>Estados Unidos</v>
      </c>
      <c r="J1027" t="s">
        <v>11</v>
      </c>
    </row>
    <row r="1028" spans="1:10">
      <c r="A1028">
        <v>2023</v>
      </c>
      <c r="B1028">
        <v>5</v>
      </c>
      <c r="C1028">
        <v>8807</v>
      </c>
      <c r="D1028">
        <v>474</v>
      </c>
      <c r="E1028" t="s">
        <v>10</v>
      </c>
      <c r="F1028">
        <v>3454102</v>
      </c>
      <c r="G1028" s="1">
        <v>138</v>
      </c>
      <c r="H1028" s="2">
        <v>294619</v>
      </c>
      <c r="I1028" t="str">
        <f>VLOOKUP(Tabela1[[#This Row],[CO_PAIS]],'[1]nome do paixs'!$A:$B,2,0)</f>
        <v>Marrocos</v>
      </c>
      <c r="J1028" t="s">
        <v>11</v>
      </c>
    </row>
    <row r="1029" spans="1:10">
      <c r="A1029">
        <v>2023</v>
      </c>
      <c r="B1029">
        <v>5</v>
      </c>
      <c r="C1029">
        <v>8807</v>
      </c>
      <c r="D1029">
        <v>386</v>
      </c>
      <c r="E1029" t="s">
        <v>10</v>
      </c>
      <c r="F1029">
        <v>3449904</v>
      </c>
      <c r="G1029" s="1">
        <v>6</v>
      </c>
      <c r="H1029" s="2">
        <v>1412</v>
      </c>
      <c r="I1029" t="str">
        <f>VLOOKUP(Tabela1[[#This Row],[CO_PAIS]],'[1]nome do paixs'!$A:$B,2,0)</f>
        <v>Itália</v>
      </c>
      <c r="J1029" t="s">
        <v>12</v>
      </c>
    </row>
    <row r="1030" spans="1:10">
      <c r="A1030">
        <v>2023</v>
      </c>
      <c r="B1030">
        <v>5</v>
      </c>
      <c r="C1030">
        <v>8807</v>
      </c>
      <c r="D1030">
        <v>493</v>
      </c>
      <c r="E1030" t="s">
        <v>10</v>
      </c>
      <c r="F1030">
        <v>3454102</v>
      </c>
      <c r="G1030" s="1">
        <v>9020</v>
      </c>
      <c r="H1030" s="2">
        <v>3707865</v>
      </c>
      <c r="I1030" t="str">
        <f>VLOOKUP(Tabela1[[#This Row],[CO_PAIS]],'[1]nome do paixs'!$A:$B,2,0)</f>
        <v>México</v>
      </c>
      <c r="J1030" t="s">
        <v>11</v>
      </c>
    </row>
    <row r="1031" spans="1:10">
      <c r="A1031">
        <v>2023</v>
      </c>
      <c r="B1031">
        <v>5</v>
      </c>
      <c r="C1031">
        <v>8807</v>
      </c>
      <c r="D1031">
        <v>399</v>
      </c>
      <c r="E1031" t="s">
        <v>10</v>
      </c>
      <c r="F1031">
        <v>3449904</v>
      </c>
      <c r="G1031" s="1">
        <v>87</v>
      </c>
      <c r="H1031" s="2">
        <v>56623</v>
      </c>
      <c r="I1031" t="str">
        <f>VLOOKUP(Tabela1[[#This Row],[CO_PAIS]],'[1]nome do paixs'!$A:$B,2,0)</f>
        <v>Japão</v>
      </c>
      <c r="J1031" t="s">
        <v>12</v>
      </c>
    </row>
    <row r="1032" spans="1:10">
      <c r="A1032">
        <v>2023</v>
      </c>
      <c r="B1032">
        <v>5</v>
      </c>
      <c r="C1032">
        <v>8807</v>
      </c>
      <c r="D1032">
        <v>275</v>
      </c>
      <c r="E1032" t="s">
        <v>10</v>
      </c>
      <c r="F1032">
        <v>3454102</v>
      </c>
      <c r="G1032" s="1">
        <v>2112</v>
      </c>
      <c r="H1032" s="2">
        <v>2782026</v>
      </c>
      <c r="I1032" t="str">
        <f>VLOOKUP(Tabela1[[#This Row],[CO_PAIS]],'[1]nome do paixs'!$A:$B,2,0)</f>
        <v>França</v>
      </c>
      <c r="J1032" t="s">
        <v>11</v>
      </c>
    </row>
    <row r="1033" spans="1:10">
      <c r="A1033">
        <v>2023</v>
      </c>
      <c r="B1033">
        <v>5</v>
      </c>
      <c r="C1033">
        <v>8807</v>
      </c>
      <c r="D1033">
        <v>87</v>
      </c>
      <c r="E1033" t="s">
        <v>10</v>
      </c>
      <c r="F1033">
        <v>3424402</v>
      </c>
      <c r="G1033" s="1">
        <v>3</v>
      </c>
      <c r="H1033" s="2">
        <v>11941</v>
      </c>
      <c r="I1033" t="str">
        <f>VLOOKUP(Tabela1[[#This Row],[CO_PAIS]],'[1]nome do paixs'!$A:$B,2,0)</f>
        <v>Bélgica</v>
      </c>
      <c r="J1033" t="s">
        <v>13</v>
      </c>
    </row>
    <row r="1034" spans="1:10">
      <c r="A1034">
        <v>2023</v>
      </c>
      <c r="B1034">
        <v>5</v>
      </c>
      <c r="C1034">
        <v>8807</v>
      </c>
      <c r="D1034">
        <v>607</v>
      </c>
      <c r="E1034" t="s">
        <v>10</v>
      </c>
      <c r="F1034">
        <v>3454102</v>
      </c>
      <c r="G1034" s="1">
        <v>5500</v>
      </c>
      <c r="H1034" s="2">
        <v>1990917</v>
      </c>
      <c r="I1034" t="str">
        <f>VLOOKUP(Tabela1[[#This Row],[CO_PAIS]],'[1]nome do paixs'!$A:$B,2,0)</f>
        <v>Portugal</v>
      </c>
      <c r="J1034" t="s">
        <v>11</v>
      </c>
    </row>
    <row r="1035" spans="1:10">
      <c r="A1035">
        <v>2023</v>
      </c>
      <c r="B1035">
        <v>5</v>
      </c>
      <c r="C1035">
        <v>8807</v>
      </c>
      <c r="D1035">
        <v>245</v>
      </c>
      <c r="E1035" t="s">
        <v>10</v>
      </c>
      <c r="F1035">
        <v>3449904</v>
      </c>
      <c r="G1035" s="1">
        <v>2457</v>
      </c>
      <c r="H1035" s="2">
        <v>867280</v>
      </c>
      <c r="I1035" t="str">
        <f>VLOOKUP(Tabela1[[#This Row],[CO_PAIS]],'[1]nome do paixs'!$A:$B,2,0)</f>
        <v>Espanha</v>
      </c>
      <c r="J1035" t="s">
        <v>12</v>
      </c>
    </row>
    <row r="1036" spans="1:10">
      <c r="A1036">
        <v>2023</v>
      </c>
      <c r="B1036">
        <v>5</v>
      </c>
      <c r="C1036">
        <v>8807</v>
      </c>
      <c r="D1036">
        <v>676</v>
      </c>
      <c r="E1036" t="s">
        <v>10</v>
      </c>
      <c r="F1036">
        <v>3449904</v>
      </c>
      <c r="G1036" s="1">
        <v>45</v>
      </c>
      <c r="H1036" s="2">
        <v>14311</v>
      </c>
      <c r="I1036" t="str">
        <f>VLOOKUP(Tabela1[[#This Row],[CO_PAIS]],'[1]nome do paixs'!$A:$B,2,0)</f>
        <v>Rússia</v>
      </c>
      <c r="J1036" t="s">
        <v>12</v>
      </c>
    </row>
    <row r="1037" spans="1:10">
      <c r="A1037">
        <v>2023</v>
      </c>
      <c r="B1037">
        <v>5</v>
      </c>
      <c r="C1037">
        <v>8807</v>
      </c>
      <c r="D1037">
        <v>741</v>
      </c>
      <c r="E1037" t="s">
        <v>10</v>
      </c>
      <c r="F1037">
        <v>3454102</v>
      </c>
      <c r="G1037" s="1">
        <v>0</v>
      </c>
      <c r="H1037" s="2">
        <v>32</v>
      </c>
      <c r="I1037" t="str">
        <f>VLOOKUP(Tabela1[[#This Row],[CO_PAIS]],'[1]nome do paixs'!$A:$B,2,0)</f>
        <v>Singapura</v>
      </c>
      <c r="J1037" t="s">
        <v>11</v>
      </c>
    </row>
    <row r="1038" spans="1:10">
      <c r="A1038">
        <v>2023</v>
      </c>
      <c r="B1038">
        <v>5</v>
      </c>
      <c r="C1038">
        <v>8807</v>
      </c>
      <c r="D1038">
        <v>158</v>
      </c>
      <c r="E1038" t="s">
        <v>10</v>
      </c>
      <c r="F1038">
        <v>3449904</v>
      </c>
      <c r="G1038" s="1">
        <v>19</v>
      </c>
      <c r="H1038" s="2">
        <v>35839</v>
      </c>
      <c r="I1038" t="str">
        <f>VLOOKUP(Tabela1[[#This Row],[CO_PAIS]],'[1]nome do paixs'!$A:$B,2,0)</f>
        <v>Chile</v>
      </c>
      <c r="J1038" t="s">
        <v>12</v>
      </c>
    </row>
    <row r="1039" spans="1:10">
      <c r="A1039">
        <v>2023</v>
      </c>
      <c r="B1039">
        <v>5</v>
      </c>
      <c r="C1039">
        <v>8807</v>
      </c>
      <c r="D1039">
        <v>249</v>
      </c>
      <c r="E1039" t="s">
        <v>10</v>
      </c>
      <c r="F1039">
        <v>3449904</v>
      </c>
      <c r="G1039" s="1">
        <v>6397</v>
      </c>
      <c r="H1039" s="2">
        <v>5554264</v>
      </c>
      <c r="I1039" t="str">
        <f>VLOOKUP(Tabela1[[#This Row],[CO_PAIS]],'[1]nome do paixs'!$A:$B,2,0)</f>
        <v>Estados Unidos</v>
      </c>
      <c r="J1039" t="s">
        <v>12</v>
      </c>
    </row>
    <row r="1040" spans="1:10">
      <c r="A1040">
        <v>2023</v>
      </c>
      <c r="B1040">
        <v>5</v>
      </c>
      <c r="C1040">
        <v>8807</v>
      </c>
      <c r="D1040">
        <v>249</v>
      </c>
      <c r="E1040" t="s">
        <v>10</v>
      </c>
      <c r="F1040">
        <v>3424402</v>
      </c>
      <c r="G1040" s="1">
        <v>500</v>
      </c>
      <c r="H1040" s="2">
        <v>103138</v>
      </c>
      <c r="I1040" t="str">
        <f>VLOOKUP(Tabela1[[#This Row],[CO_PAIS]],'[1]nome do paixs'!$A:$B,2,0)</f>
        <v>Estados Unidos</v>
      </c>
      <c r="J1040" t="s">
        <v>13</v>
      </c>
    </row>
    <row r="1041" spans="1:10">
      <c r="A1041">
        <v>2023</v>
      </c>
      <c r="B1041">
        <v>5</v>
      </c>
      <c r="C1041">
        <v>8807</v>
      </c>
      <c r="D1041">
        <v>72</v>
      </c>
      <c r="E1041" t="s">
        <v>10</v>
      </c>
      <c r="F1041">
        <v>3449904</v>
      </c>
      <c r="G1041" s="1">
        <v>78</v>
      </c>
      <c r="H1041" s="2">
        <v>3007</v>
      </c>
      <c r="I1041" t="str">
        <f>VLOOKUP(Tabela1[[#This Row],[CO_PAIS]],'[1]nome do paixs'!$A:$B,2,0)</f>
        <v>Áustria</v>
      </c>
      <c r="J1041" t="s">
        <v>12</v>
      </c>
    </row>
    <row r="1042" spans="1:10">
      <c r="A1042">
        <v>2022</v>
      </c>
      <c r="B1042">
        <v>5</v>
      </c>
      <c r="C1042">
        <v>8807</v>
      </c>
      <c r="D1042">
        <v>676</v>
      </c>
      <c r="E1042" t="s">
        <v>10</v>
      </c>
      <c r="F1042">
        <v>3449904</v>
      </c>
      <c r="G1042" s="1">
        <v>67</v>
      </c>
      <c r="H1042" s="2">
        <v>54644</v>
      </c>
      <c r="I1042" t="str">
        <f>VLOOKUP(Tabela1[[#This Row],[CO_PAIS]],'[1]nome do paixs'!$A:$B,2,0)</f>
        <v>Rússia</v>
      </c>
      <c r="J1042" t="s">
        <v>12</v>
      </c>
    </row>
    <row r="1043" spans="1:10">
      <c r="A1043">
        <v>2022</v>
      </c>
      <c r="B1043">
        <v>5</v>
      </c>
      <c r="C1043">
        <v>8807</v>
      </c>
      <c r="D1043">
        <v>275</v>
      </c>
      <c r="E1043" t="s">
        <v>10</v>
      </c>
      <c r="F1043">
        <v>3454102</v>
      </c>
      <c r="G1043" s="1">
        <v>2889</v>
      </c>
      <c r="H1043" s="2">
        <v>5003636</v>
      </c>
      <c r="I1043" t="str">
        <f>VLOOKUP(Tabela1[[#This Row],[CO_PAIS]],'[1]nome do paixs'!$A:$B,2,0)</f>
        <v>França</v>
      </c>
      <c r="J1043" t="s">
        <v>11</v>
      </c>
    </row>
    <row r="1044" spans="1:10">
      <c r="A1044">
        <v>2022</v>
      </c>
      <c r="B1044">
        <v>5</v>
      </c>
      <c r="C1044">
        <v>8807</v>
      </c>
      <c r="D1044">
        <v>603</v>
      </c>
      <c r="E1044" t="s">
        <v>10</v>
      </c>
      <c r="F1044">
        <v>3449904</v>
      </c>
      <c r="G1044" s="1">
        <v>24</v>
      </c>
      <c r="H1044" s="2">
        <v>6704</v>
      </c>
      <c r="I1044" t="str">
        <f>VLOOKUP(Tabela1[[#This Row],[CO_PAIS]],'[1]nome do paixs'!$A:$B,2,0)</f>
        <v>Polônia</v>
      </c>
      <c r="J1044" t="s">
        <v>12</v>
      </c>
    </row>
    <row r="1045" spans="1:10">
      <c r="A1045">
        <v>2022</v>
      </c>
      <c r="B1045">
        <v>5</v>
      </c>
      <c r="C1045">
        <v>8807</v>
      </c>
      <c r="D1045">
        <v>105</v>
      </c>
      <c r="E1045" t="s">
        <v>10</v>
      </c>
      <c r="F1045">
        <v>3449904</v>
      </c>
      <c r="G1045" s="1">
        <v>10880</v>
      </c>
      <c r="H1045" s="2">
        <v>6909833</v>
      </c>
      <c r="I1045" t="str">
        <f>VLOOKUP(Tabela1[[#This Row],[CO_PAIS]],'[1]nome do paixs'!$A:$B,2,0)</f>
        <v>Brasil</v>
      </c>
      <c r="J1045" t="s">
        <v>12</v>
      </c>
    </row>
    <row r="1046" spans="1:10">
      <c r="A1046">
        <v>2022</v>
      </c>
      <c r="B1046">
        <v>5</v>
      </c>
      <c r="C1046">
        <v>8807</v>
      </c>
      <c r="D1046">
        <v>87</v>
      </c>
      <c r="E1046" t="s">
        <v>10</v>
      </c>
      <c r="F1046">
        <v>3424402</v>
      </c>
      <c r="G1046" s="1">
        <v>4</v>
      </c>
      <c r="H1046" s="2">
        <v>5096</v>
      </c>
      <c r="I1046" t="str">
        <f>VLOOKUP(Tabela1[[#This Row],[CO_PAIS]],'[1]nome do paixs'!$A:$B,2,0)</f>
        <v>Bélgica</v>
      </c>
      <c r="J1046" t="s">
        <v>13</v>
      </c>
    </row>
    <row r="1047" spans="1:10">
      <c r="A1047">
        <v>2022</v>
      </c>
      <c r="B1047">
        <v>5</v>
      </c>
      <c r="C1047">
        <v>8807</v>
      </c>
      <c r="D1047">
        <v>628</v>
      </c>
      <c r="E1047" t="s">
        <v>10</v>
      </c>
      <c r="F1047">
        <v>3454102</v>
      </c>
      <c r="G1047" s="1">
        <v>130</v>
      </c>
      <c r="H1047" s="2">
        <v>65737</v>
      </c>
      <c r="I1047" t="str">
        <f>VLOOKUP(Tabela1[[#This Row],[CO_PAIS]],'[1]nome do paixs'!$A:$B,2,0)</f>
        <v>Reino Unido</v>
      </c>
      <c r="J1047" t="s">
        <v>11</v>
      </c>
    </row>
    <row r="1048" spans="1:10">
      <c r="A1048">
        <v>2022</v>
      </c>
      <c r="B1048">
        <v>5</v>
      </c>
      <c r="C1048">
        <v>8807</v>
      </c>
      <c r="D1048">
        <v>87</v>
      </c>
      <c r="E1048" t="s">
        <v>10</v>
      </c>
      <c r="F1048">
        <v>3449904</v>
      </c>
      <c r="G1048" s="1">
        <v>1371</v>
      </c>
      <c r="H1048" s="2">
        <v>1050123</v>
      </c>
      <c r="I1048" t="str">
        <f>VLOOKUP(Tabela1[[#This Row],[CO_PAIS]],'[1]nome do paixs'!$A:$B,2,0)</f>
        <v>Bélgica</v>
      </c>
      <c r="J1048" t="s">
        <v>12</v>
      </c>
    </row>
    <row r="1049" spans="1:10">
      <c r="A1049">
        <v>2022</v>
      </c>
      <c r="B1049">
        <v>5</v>
      </c>
      <c r="C1049">
        <v>8807</v>
      </c>
      <c r="D1049">
        <v>149</v>
      </c>
      <c r="E1049" t="s">
        <v>10</v>
      </c>
      <c r="F1049">
        <v>3449904</v>
      </c>
      <c r="G1049" s="1">
        <v>6</v>
      </c>
      <c r="H1049" s="2">
        <v>8626</v>
      </c>
      <c r="I1049" t="str">
        <f>VLOOKUP(Tabela1[[#This Row],[CO_PAIS]],'[1]nome do paixs'!$A:$B,2,0)</f>
        <v>Canadá</v>
      </c>
      <c r="J1049" t="s">
        <v>12</v>
      </c>
    </row>
    <row r="1050" spans="1:10">
      <c r="A1050">
        <v>2022</v>
      </c>
      <c r="B1050">
        <v>5</v>
      </c>
      <c r="C1050">
        <v>8807</v>
      </c>
      <c r="D1050">
        <v>245</v>
      </c>
      <c r="E1050" t="s">
        <v>10</v>
      </c>
      <c r="F1050">
        <v>3424402</v>
      </c>
      <c r="G1050" s="1">
        <v>265</v>
      </c>
      <c r="H1050" s="2">
        <v>119866</v>
      </c>
      <c r="I1050" t="str">
        <f>VLOOKUP(Tabela1[[#This Row],[CO_PAIS]],'[1]nome do paixs'!$A:$B,2,0)</f>
        <v>Espanha</v>
      </c>
      <c r="J1050" t="s">
        <v>13</v>
      </c>
    </row>
    <row r="1051" spans="1:10">
      <c r="A1051">
        <v>2022</v>
      </c>
      <c r="B1051">
        <v>5</v>
      </c>
      <c r="C1051">
        <v>8807</v>
      </c>
      <c r="D1051">
        <v>399</v>
      </c>
      <c r="E1051" t="s">
        <v>10</v>
      </c>
      <c r="F1051">
        <v>3454102</v>
      </c>
      <c r="G1051" s="1">
        <v>4303</v>
      </c>
      <c r="H1051" s="2">
        <v>2782778</v>
      </c>
      <c r="I1051" t="str">
        <f>VLOOKUP(Tabela1[[#This Row],[CO_PAIS]],'[1]nome do paixs'!$A:$B,2,0)</f>
        <v>Japão</v>
      </c>
      <c r="J1051" t="s">
        <v>11</v>
      </c>
    </row>
    <row r="1052" spans="1:10">
      <c r="A1052">
        <v>2022</v>
      </c>
      <c r="B1052">
        <v>5</v>
      </c>
      <c r="C1052">
        <v>8807</v>
      </c>
      <c r="D1052">
        <v>474</v>
      </c>
      <c r="E1052" t="s">
        <v>10</v>
      </c>
      <c r="F1052">
        <v>3454102</v>
      </c>
      <c r="G1052" s="1">
        <v>184</v>
      </c>
      <c r="H1052" s="2">
        <v>350611</v>
      </c>
      <c r="I1052" t="str">
        <f>VLOOKUP(Tabela1[[#This Row],[CO_PAIS]],'[1]nome do paixs'!$A:$B,2,0)</f>
        <v>Marrocos</v>
      </c>
      <c r="J1052" t="s">
        <v>11</v>
      </c>
    </row>
    <row r="1053" spans="1:10">
      <c r="A1053">
        <v>2022</v>
      </c>
      <c r="B1053">
        <v>5</v>
      </c>
      <c r="C1053">
        <v>8807</v>
      </c>
      <c r="D1053">
        <v>375</v>
      </c>
      <c r="E1053" t="s">
        <v>10</v>
      </c>
      <c r="F1053">
        <v>3454102</v>
      </c>
      <c r="G1053" s="1">
        <v>18</v>
      </c>
      <c r="H1053" s="2">
        <v>7610</v>
      </c>
      <c r="I1053" t="str">
        <f>VLOOKUP(Tabela1[[#This Row],[CO_PAIS]],'[1]nome do paixs'!$A:$B,2,0)</f>
        <v>Irlanda</v>
      </c>
      <c r="J1053" t="s">
        <v>11</v>
      </c>
    </row>
    <row r="1054" spans="1:10">
      <c r="A1054">
        <v>2022</v>
      </c>
      <c r="B1054">
        <v>5</v>
      </c>
      <c r="C1054">
        <v>8807</v>
      </c>
      <c r="D1054">
        <v>375</v>
      </c>
      <c r="E1054" t="s">
        <v>10</v>
      </c>
      <c r="F1054">
        <v>3449904</v>
      </c>
      <c r="G1054" s="1">
        <v>0</v>
      </c>
      <c r="H1054" s="2">
        <v>861</v>
      </c>
      <c r="I1054" t="str">
        <f>VLOOKUP(Tabela1[[#This Row],[CO_PAIS]],'[1]nome do paixs'!$A:$B,2,0)</f>
        <v>Irlanda</v>
      </c>
      <c r="J1054" t="s">
        <v>12</v>
      </c>
    </row>
    <row r="1055" spans="1:10">
      <c r="A1055">
        <v>2022</v>
      </c>
      <c r="B1055">
        <v>5</v>
      </c>
      <c r="C1055">
        <v>8807</v>
      </c>
      <c r="D1055">
        <v>72</v>
      </c>
      <c r="E1055" t="s">
        <v>10</v>
      </c>
      <c r="F1055">
        <v>3454102</v>
      </c>
      <c r="G1055" s="1">
        <v>5959</v>
      </c>
      <c r="H1055" s="2">
        <v>642291</v>
      </c>
      <c r="I1055" t="str">
        <f>VLOOKUP(Tabela1[[#This Row],[CO_PAIS]],'[1]nome do paixs'!$A:$B,2,0)</f>
        <v>Áustria</v>
      </c>
      <c r="J1055" t="s">
        <v>11</v>
      </c>
    </row>
    <row r="1056" spans="1:10">
      <c r="A1056">
        <v>2022</v>
      </c>
      <c r="B1056">
        <v>5</v>
      </c>
      <c r="C1056">
        <v>8807</v>
      </c>
      <c r="D1056">
        <v>158</v>
      </c>
      <c r="E1056" t="s">
        <v>10</v>
      </c>
      <c r="F1056">
        <v>3449904</v>
      </c>
      <c r="G1056" s="1">
        <v>207</v>
      </c>
      <c r="H1056" s="2">
        <v>438969</v>
      </c>
      <c r="I1056" t="str">
        <f>VLOOKUP(Tabela1[[#This Row],[CO_PAIS]],'[1]nome do paixs'!$A:$B,2,0)</f>
        <v>Chile</v>
      </c>
      <c r="J1056" t="s">
        <v>12</v>
      </c>
    </row>
    <row r="1057" spans="1:10">
      <c r="A1057">
        <v>2022</v>
      </c>
      <c r="B1057">
        <v>5</v>
      </c>
      <c r="C1057">
        <v>8807</v>
      </c>
      <c r="D1057">
        <v>607</v>
      </c>
      <c r="E1057" t="s">
        <v>10</v>
      </c>
      <c r="F1057">
        <v>3454102</v>
      </c>
      <c r="G1057" s="1">
        <v>16613</v>
      </c>
      <c r="H1057" s="2">
        <v>5552166</v>
      </c>
      <c r="I1057" t="str">
        <f>VLOOKUP(Tabela1[[#This Row],[CO_PAIS]],'[1]nome do paixs'!$A:$B,2,0)</f>
        <v>Portugal</v>
      </c>
      <c r="J1057" t="s">
        <v>11</v>
      </c>
    </row>
    <row r="1058" spans="1:10">
      <c r="A1058">
        <v>2022</v>
      </c>
      <c r="B1058">
        <v>5</v>
      </c>
      <c r="C1058">
        <v>8807</v>
      </c>
      <c r="D1058">
        <v>245</v>
      </c>
      <c r="E1058" t="s">
        <v>10</v>
      </c>
      <c r="F1058">
        <v>3449904</v>
      </c>
      <c r="G1058" s="1">
        <v>4558</v>
      </c>
      <c r="H1058" s="2">
        <v>1543673</v>
      </c>
      <c r="I1058" t="str">
        <f>VLOOKUP(Tabela1[[#This Row],[CO_PAIS]],'[1]nome do paixs'!$A:$B,2,0)</f>
        <v>Espanha</v>
      </c>
      <c r="J1058" t="s">
        <v>12</v>
      </c>
    </row>
    <row r="1059" spans="1:10">
      <c r="A1059">
        <v>2022</v>
      </c>
      <c r="B1059">
        <v>5</v>
      </c>
      <c r="C1059">
        <v>8807</v>
      </c>
      <c r="D1059">
        <v>493</v>
      </c>
      <c r="E1059" t="s">
        <v>10</v>
      </c>
      <c r="F1059">
        <v>3449904</v>
      </c>
      <c r="G1059" s="1">
        <v>1322</v>
      </c>
      <c r="H1059" s="2">
        <v>1006287</v>
      </c>
      <c r="I1059" t="str">
        <f>VLOOKUP(Tabela1[[#This Row],[CO_PAIS]],'[1]nome do paixs'!$A:$B,2,0)</f>
        <v>México</v>
      </c>
      <c r="J1059" t="s">
        <v>12</v>
      </c>
    </row>
    <row r="1060" spans="1:10">
      <c r="A1060">
        <v>2022</v>
      </c>
      <c r="B1060">
        <v>5</v>
      </c>
      <c r="C1060">
        <v>8807</v>
      </c>
      <c r="D1060">
        <v>23</v>
      </c>
      <c r="E1060" t="s">
        <v>10</v>
      </c>
      <c r="F1060">
        <v>3454102</v>
      </c>
      <c r="G1060" s="1">
        <v>23210</v>
      </c>
      <c r="H1060" s="2">
        <v>1031200</v>
      </c>
      <c r="I1060" t="str">
        <f>VLOOKUP(Tabela1[[#This Row],[CO_PAIS]],'[1]nome do paixs'!$A:$B,2,0)</f>
        <v>Alemanha</v>
      </c>
      <c r="J1060" t="s">
        <v>11</v>
      </c>
    </row>
    <row r="1061" spans="1:10">
      <c r="A1061">
        <v>2022</v>
      </c>
      <c r="B1061">
        <v>5</v>
      </c>
      <c r="C1061">
        <v>8807</v>
      </c>
      <c r="D1061">
        <v>741</v>
      </c>
      <c r="E1061" t="s">
        <v>10</v>
      </c>
      <c r="F1061">
        <v>3454102</v>
      </c>
      <c r="G1061" s="1">
        <v>0</v>
      </c>
      <c r="H1061" s="2">
        <v>416</v>
      </c>
      <c r="I1061" t="str">
        <f>VLOOKUP(Tabela1[[#This Row],[CO_PAIS]],'[1]nome do paixs'!$A:$B,2,0)</f>
        <v>Singapura</v>
      </c>
      <c r="J1061" t="s">
        <v>11</v>
      </c>
    </row>
    <row r="1062" spans="1:10">
      <c r="A1062">
        <v>2022</v>
      </c>
      <c r="B1062">
        <v>5</v>
      </c>
      <c r="C1062">
        <v>8807</v>
      </c>
      <c r="D1062">
        <v>249</v>
      </c>
      <c r="E1062" t="s">
        <v>10</v>
      </c>
      <c r="F1062">
        <v>3424402</v>
      </c>
      <c r="G1062" s="1">
        <v>3378</v>
      </c>
      <c r="H1062" s="2">
        <v>693565</v>
      </c>
      <c r="I1062" t="str">
        <f>VLOOKUP(Tabela1[[#This Row],[CO_PAIS]],'[1]nome do paixs'!$A:$B,2,0)</f>
        <v>Estados Unidos</v>
      </c>
      <c r="J1062" t="s">
        <v>13</v>
      </c>
    </row>
    <row r="1063" spans="1:10">
      <c r="A1063">
        <v>2022</v>
      </c>
      <c r="B1063">
        <v>5</v>
      </c>
      <c r="C1063">
        <v>8807</v>
      </c>
      <c r="D1063">
        <v>791</v>
      </c>
      <c r="E1063" t="s">
        <v>10</v>
      </c>
      <c r="F1063">
        <v>3424402</v>
      </c>
      <c r="G1063" s="1">
        <v>237</v>
      </c>
      <c r="H1063" s="2">
        <v>209423</v>
      </c>
      <c r="I1063" t="str">
        <f>VLOOKUP(Tabela1[[#This Row],[CO_PAIS]],'[1]nome do paixs'!$A:$B,2,0)</f>
        <v>Tcheca, República</v>
      </c>
      <c r="J1063" t="s">
        <v>13</v>
      </c>
    </row>
    <row r="1064" spans="1:10">
      <c r="A1064">
        <v>2022</v>
      </c>
      <c r="B1064">
        <v>5</v>
      </c>
      <c r="C1064">
        <v>8807</v>
      </c>
      <c r="D1064">
        <v>190</v>
      </c>
      <c r="E1064" t="s">
        <v>10</v>
      </c>
      <c r="F1064">
        <v>3454102</v>
      </c>
      <c r="G1064" s="1">
        <v>3470</v>
      </c>
      <c r="H1064" s="2">
        <v>3405660</v>
      </c>
      <c r="I1064" t="str">
        <f>VLOOKUP(Tabela1[[#This Row],[CO_PAIS]],'[1]nome do paixs'!$A:$B,2,0)</f>
        <v>Coreia do Sul</v>
      </c>
      <c r="J1064" t="s">
        <v>11</v>
      </c>
    </row>
    <row r="1065" spans="1:10">
      <c r="A1065">
        <v>2022</v>
      </c>
      <c r="B1065">
        <v>5</v>
      </c>
      <c r="C1065">
        <v>8807</v>
      </c>
      <c r="D1065">
        <v>827</v>
      </c>
      <c r="E1065" t="s">
        <v>10</v>
      </c>
      <c r="F1065">
        <v>3449904</v>
      </c>
      <c r="G1065" s="1">
        <v>1</v>
      </c>
      <c r="H1065" s="2">
        <v>1729</v>
      </c>
      <c r="I1065" t="str">
        <f>VLOOKUP(Tabela1[[#This Row],[CO_PAIS]],'[1]nome do paixs'!$A:$B,2,0)</f>
        <v>Turquia</v>
      </c>
      <c r="J1065" t="s">
        <v>12</v>
      </c>
    </row>
    <row r="1066" spans="1:10">
      <c r="A1066">
        <v>2022</v>
      </c>
      <c r="B1066">
        <v>5</v>
      </c>
      <c r="C1066">
        <v>8807</v>
      </c>
      <c r="D1066">
        <v>275</v>
      </c>
      <c r="E1066" t="s">
        <v>10</v>
      </c>
      <c r="F1066">
        <v>3424402</v>
      </c>
      <c r="G1066" s="1">
        <v>403</v>
      </c>
      <c r="H1066" s="2">
        <v>535099</v>
      </c>
      <c r="I1066" t="str">
        <f>VLOOKUP(Tabela1[[#This Row],[CO_PAIS]],'[1]nome do paixs'!$A:$B,2,0)</f>
        <v>França</v>
      </c>
      <c r="J1066" t="s">
        <v>13</v>
      </c>
    </row>
    <row r="1067" spans="1:10">
      <c r="A1067">
        <v>2022</v>
      </c>
      <c r="B1067">
        <v>5</v>
      </c>
      <c r="C1067">
        <v>8807</v>
      </c>
      <c r="D1067">
        <v>249</v>
      </c>
      <c r="E1067" t="s">
        <v>10</v>
      </c>
      <c r="F1067">
        <v>3454102</v>
      </c>
      <c r="G1067" s="1">
        <v>26787</v>
      </c>
      <c r="H1067" s="2">
        <v>7391853</v>
      </c>
      <c r="I1067" t="str">
        <f>VLOOKUP(Tabela1[[#This Row],[CO_PAIS]],'[1]nome do paixs'!$A:$B,2,0)</f>
        <v>Estados Unidos</v>
      </c>
      <c r="J1067" t="s">
        <v>11</v>
      </c>
    </row>
    <row r="1068" spans="1:10">
      <c r="A1068">
        <v>2022</v>
      </c>
      <c r="B1068">
        <v>5</v>
      </c>
      <c r="C1068">
        <v>8807</v>
      </c>
      <c r="D1068">
        <v>87</v>
      </c>
      <c r="E1068" t="s">
        <v>10</v>
      </c>
      <c r="F1068">
        <v>3454102</v>
      </c>
      <c r="G1068" s="1">
        <v>2603</v>
      </c>
      <c r="H1068" s="2">
        <v>2593947</v>
      </c>
      <c r="I1068" t="str">
        <f>VLOOKUP(Tabela1[[#This Row],[CO_PAIS]],'[1]nome do paixs'!$A:$B,2,0)</f>
        <v>Bélgica</v>
      </c>
      <c r="J1068" t="s">
        <v>11</v>
      </c>
    </row>
    <row r="1069" spans="1:10">
      <c r="A1069">
        <v>2022</v>
      </c>
      <c r="B1069">
        <v>5</v>
      </c>
      <c r="C1069">
        <v>8807</v>
      </c>
      <c r="D1069">
        <v>607</v>
      </c>
      <c r="E1069" t="s">
        <v>10</v>
      </c>
      <c r="F1069">
        <v>3449904</v>
      </c>
      <c r="G1069" s="1">
        <v>3</v>
      </c>
      <c r="H1069" s="2">
        <v>22191</v>
      </c>
      <c r="I1069" t="str">
        <f>VLOOKUP(Tabela1[[#This Row],[CO_PAIS]],'[1]nome do paixs'!$A:$B,2,0)</f>
        <v>Portugal</v>
      </c>
      <c r="J1069" t="s">
        <v>12</v>
      </c>
    </row>
    <row r="1070" spans="1:10">
      <c r="A1070">
        <v>2022</v>
      </c>
      <c r="B1070">
        <v>5</v>
      </c>
      <c r="C1070">
        <v>8807</v>
      </c>
      <c r="D1070">
        <v>676</v>
      </c>
      <c r="E1070" t="s">
        <v>10</v>
      </c>
      <c r="F1070">
        <v>3454102</v>
      </c>
      <c r="G1070" s="1">
        <v>166</v>
      </c>
      <c r="H1070" s="2">
        <v>22678</v>
      </c>
      <c r="I1070" t="str">
        <f>VLOOKUP(Tabela1[[#This Row],[CO_PAIS]],'[1]nome do paixs'!$A:$B,2,0)</f>
        <v>Rússia</v>
      </c>
      <c r="J1070" t="s">
        <v>11</v>
      </c>
    </row>
    <row r="1071" spans="1:10">
      <c r="A1071">
        <v>2022</v>
      </c>
      <c r="B1071">
        <v>5</v>
      </c>
      <c r="C1071">
        <v>8807</v>
      </c>
      <c r="D1071">
        <v>72</v>
      </c>
      <c r="E1071" t="s">
        <v>10</v>
      </c>
      <c r="F1071">
        <v>3449904</v>
      </c>
      <c r="G1071" s="1">
        <v>155</v>
      </c>
      <c r="H1071" s="2">
        <v>19164</v>
      </c>
      <c r="I1071" t="str">
        <f>VLOOKUP(Tabela1[[#This Row],[CO_PAIS]],'[1]nome do paixs'!$A:$B,2,0)</f>
        <v>Áustria</v>
      </c>
      <c r="J1071" t="s">
        <v>12</v>
      </c>
    </row>
    <row r="1072" spans="1:10">
      <c r="A1072">
        <v>2022</v>
      </c>
      <c r="B1072">
        <v>5</v>
      </c>
      <c r="C1072">
        <v>8807</v>
      </c>
      <c r="D1072">
        <v>386</v>
      </c>
      <c r="E1072" t="s">
        <v>10</v>
      </c>
      <c r="F1072">
        <v>3454102</v>
      </c>
      <c r="G1072" s="1">
        <v>960</v>
      </c>
      <c r="H1072" s="2">
        <v>2504322</v>
      </c>
      <c r="I1072" t="str">
        <f>VLOOKUP(Tabela1[[#This Row],[CO_PAIS]],'[1]nome do paixs'!$A:$B,2,0)</f>
        <v>Itália</v>
      </c>
      <c r="J1072" t="s">
        <v>11</v>
      </c>
    </row>
    <row r="1073" spans="1:10">
      <c r="A1073">
        <v>2022</v>
      </c>
      <c r="B1073">
        <v>5</v>
      </c>
      <c r="C1073">
        <v>8807</v>
      </c>
      <c r="D1073">
        <v>493</v>
      </c>
      <c r="E1073" t="s">
        <v>10</v>
      </c>
      <c r="F1073">
        <v>3454102</v>
      </c>
      <c r="G1073" s="1">
        <v>7226</v>
      </c>
      <c r="H1073" s="2">
        <v>3717592</v>
      </c>
      <c r="I1073" t="str">
        <f>VLOOKUP(Tabela1[[#This Row],[CO_PAIS]],'[1]nome do paixs'!$A:$B,2,0)</f>
        <v>México</v>
      </c>
      <c r="J1073" t="s">
        <v>11</v>
      </c>
    </row>
    <row r="1074" spans="1:10">
      <c r="A1074">
        <v>2022</v>
      </c>
      <c r="B1074">
        <v>5</v>
      </c>
      <c r="C1074">
        <v>8807</v>
      </c>
      <c r="D1074">
        <v>23</v>
      </c>
      <c r="E1074" t="s">
        <v>10</v>
      </c>
      <c r="F1074">
        <v>3449904</v>
      </c>
      <c r="G1074" s="1">
        <v>132</v>
      </c>
      <c r="H1074" s="2">
        <v>252022</v>
      </c>
      <c r="I1074" t="str">
        <f>VLOOKUP(Tabela1[[#This Row],[CO_PAIS]],'[1]nome do paixs'!$A:$B,2,0)</f>
        <v>Alemanha</v>
      </c>
      <c r="J1074" t="s">
        <v>12</v>
      </c>
    </row>
    <row r="1075" spans="1:10">
      <c r="A1075">
        <v>2022</v>
      </c>
      <c r="B1075">
        <v>5</v>
      </c>
      <c r="C1075">
        <v>8807</v>
      </c>
      <c r="D1075">
        <v>741</v>
      </c>
      <c r="E1075" t="s">
        <v>10</v>
      </c>
      <c r="F1075">
        <v>3449904</v>
      </c>
      <c r="G1075" s="1">
        <v>300</v>
      </c>
      <c r="H1075" s="2">
        <v>288198</v>
      </c>
      <c r="I1075" t="str">
        <f>VLOOKUP(Tabela1[[#This Row],[CO_PAIS]],'[1]nome do paixs'!$A:$B,2,0)</f>
        <v>Singapura</v>
      </c>
      <c r="J1075" t="s">
        <v>12</v>
      </c>
    </row>
    <row r="1076" spans="1:10">
      <c r="A1076">
        <v>2022</v>
      </c>
      <c r="B1076">
        <v>5</v>
      </c>
      <c r="C1076">
        <v>8807</v>
      </c>
      <c r="D1076">
        <v>249</v>
      </c>
      <c r="E1076" t="s">
        <v>10</v>
      </c>
      <c r="F1076">
        <v>3449904</v>
      </c>
      <c r="G1076" s="1">
        <v>4240</v>
      </c>
      <c r="H1076" s="2">
        <v>3635227</v>
      </c>
      <c r="I1076" t="str">
        <f>VLOOKUP(Tabela1[[#This Row],[CO_PAIS]],'[1]nome do paixs'!$A:$B,2,0)</f>
        <v>Estados Unidos</v>
      </c>
      <c r="J1076" t="s">
        <v>12</v>
      </c>
    </row>
    <row r="1077" spans="1:10">
      <c r="A1077">
        <v>2022</v>
      </c>
      <c r="B1077">
        <v>5</v>
      </c>
      <c r="C1077">
        <v>8803</v>
      </c>
      <c r="D1077">
        <v>245</v>
      </c>
      <c r="E1077" t="s">
        <v>10</v>
      </c>
      <c r="F1077">
        <v>3449904</v>
      </c>
      <c r="G1077" s="1">
        <v>309</v>
      </c>
      <c r="H1077" s="2">
        <v>40327</v>
      </c>
      <c r="I1077" t="str">
        <f>VLOOKUP(Tabela1[[#This Row],[CO_PAIS]],'[1]nome do paixs'!$A:$B,2,0)</f>
        <v>Espanha</v>
      </c>
      <c r="J1077" t="s">
        <v>12</v>
      </c>
    </row>
    <row r="1078" spans="1:10">
      <c r="A1078">
        <v>2022</v>
      </c>
      <c r="B1078">
        <v>5</v>
      </c>
      <c r="C1078">
        <v>8807</v>
      </c>
      <c r="D1078">
        <v>245</v>
      </c>
      <c r="E1078" t="s">
        <v>10</v>
      </c>
      <c r="F1078">
        <v>3454102</v>
      </c>
      <c r="G1078" s="1">
        <v>3313</v>
      </c>
      <c r="H1078" s="2">
        <v>3095666</v>
      </c>
      <c r="I1078" t="str">
        <f>VLOOKUP(Tabela1[[#This Row],[CO_PAIS]],'[1]nome do paixs'!$A:$B,2,0)</f>
        <v>Espanha</v>
      </c>
      <c r="J1078" t="s">
        <v>11</v>
      </c>
    </row>
    <row r="1079" spans="1:10">
      <c r="A1079">
        <v>2022</v>
      </c>
      <c r="B1079">
        <v>5</v>
      </c>
      <c r="C1079">
        <v>8807</v>
      </c>
      <c r="D1079">
        <v>455</v>
      </c>
      <c r="E1079" t="s">
        <v>10</v>
      </c>
      <c r="F1079">
        <v>3454102</v>
      </c>
      <c r="G1079" s="1">
        <v>2624</v>
      </c>
      <c r="H1079" s="2">
        <v>335974</v>
      </c>
      <c r="I1079" t="str">
        <f>VLOOKUP(Tabela1[[#This Row],[CO_PAIS]],'[1]nome do paixs'!$A:$B,2,0)</f>
        <v>Malásia</v>
      </c>
      <c r="J1079" t="s">
        <v>11</v>
      </c>
    </row>
    <row r="1080" spans="1:10">
      <c r="A1080">
        <v>2022</v>
      </c>
      <c r="B1080">
        <v>5</v>
      </c>
      <c r="C1080">
        <v>8807</v>
      </c>
      <c r="D1080">
        <v>474</v>
      </c>
      <c r="E1080" t="s">
        <v>10</v>
      </c>
      <c r="F1080">
        <v>3449904</v>
      </c>
      <c r="G1080" s="1">
        <v>2</v>
      </c>
      <c r="H1080" s="2">
        <v>4022</v>
      </c>
      <c r="I1080" t="str">
        <f>VLOOKUP(Tabela1[[#This Row],[CO_PAIS]],'[1]nome do paixs'!$A:$B,2,0)</f>
        <v>Marrocos</v>
      </c>
      <c r="J1080" t="s">
        <v>12</v>
      </c>
    </row>
    <row r="1081" spans="1:10">
      <c r="A1081">
        <v>2022</v>
      </c>
      <c r="B1081">
        <v>5</v>
      </c>
      <c r="C1081">
        <v>8807</v>
      </c>
      <c r="D1081">
        <v>190</v>
      </c>
      <c r="E1081" t="s">
        <v>10</v>
      </c>
      <c r="F1081">
        <v>3424402</v>
      </c>
      <c r="G1081" s="1">
        <v>98</v>
      </c>
      <c r="H1081" s="2">
        <v>35228</v>
      </c>
      <c r="I1081" t="str">
        <f>VLOOKUP(Tabela1[[#This Row],[CO_PAIS]],'[1]nome do paixs'!$A:$B,2,0)</f>
        <v>Coreia do Sul</v>
      </c>
      <c r="J1081" t="s">
        <v>13</v>
      </c>
    </row>
    <row r="1082" spans="1:10">
      <c r="A1082">
        <v>2022</v>
      </c>
      <c r="B1082">
        <v>5</v>
      </c>
      <c r="C1082">
        <v>8807</v>
      </c>
      <c r="D1082">
        <v>628</v>
      </c>
      <c r="E1082" t="s">
        <v>10</v>
      </c>
      <c r="F1082">
        <v>3449904</v>
      </c>
      <c r="G1082" s="1">
        <v>651</v>
      </c>
      <c r="H1082" s="2">
        <v>512794</v>
      </c>
      <c r="I1082" t="str">
        <f>VLOOKUP(Tabela1[[#This Row],[CO_PAIS]],'[1]nome do paixs'!$A:$B,2,0)</f>
        <v>Reino Unido</v>
      </c>
      <c r="J1082" t="s">
        <v>12</v>
      </c>
    </row>
    <row r="1083" spans="1:10">
      <c r="A1083">
        <v>2022</v>
      </c>
      <c r="B1083">
        <v>5</v>
      </c>
      <c r="C1083">
        <v>8807</v>
      </c>
      <c r="D1083">
        <v>105</v>
      </c>
      <c r="E1083" t="s">
        <v>10</v>
      </c>
      <c r="F1083">
        <v>3454102</v>
      </c>
      <c r="G1083" s="1">
        <v>5174</v>
      </c>
      <c r="H1083" s="2">
        <v>3729128</v>
      </c>
      <c r="I1083" t="str">
        <f>VLOOKUP(Tabela1[[#This Row],[CO_PAIS]],'[1]nome do paixs'!$A:$B,2,0)</f>
        <v>Brasil</v>
      </c>
      <c r="J1083" t="s">
        <v>11</v>
      </c>
    </row>
    <row r="1084" spans="1:10">
      <c r="A1084">
        <v>2022</v>
      </c>
      <c r="B1084">
        <v>5</v>
      </c>
      <c r="C1084">
        <v>8807</v>
      </c>
      <c r="D1084">
        <v>23</v>
      </c>
      <c r="E1084" t="s">
        <v>10</v>
      </c>
      <c r="F1084">
        <v>3424402</v>
      </c>
      <c r="G1084" s="1">
        <v>1</v>
      </c>
      <c r="H1084" s="2">
        <v>1122</v>
      </c>
      <c r="I1084" t="str">
        <f>VLOOKUP(Tabela1[[#This Row],[CO_PAIS]],'[1]nome do paixs'!$A:$B,2,0)</f>
        <v>Alemanha</v>
      </c>
      <c r="J1084" t="s">
        <v>13</v>
      </c>
    </row>
    <row r="1085" spans="1:10">
      <c r="A1085">
        <v>2022</v>
      </c>
      <c r="B1085">
        <v>5</v>
      </c>
      <c r="C1085">
        <v>8807</v>
      </c>
      <c r="D1085">
        <v>275</v>
      </c>
      <c r="E1085" t="s">
        <v>10</v>
      </c>
      <c r="F1085">
        <v>3449904</v>
      </c>
      <c r="G1085" s="1">
        <v>730</v>
      </c>
      <c r="H1085" s="2">
        <v>601694</v>
      </c>
      <c r="I1085" t="str">
        <f>VLOOKUP(Tabela1[[#This Row],[CO_PAIS]],'[1]nome do paixs'!$A:$B,2,0)</f>
        <v>França</v>
      </c>
      <c r="J1085" t="s">
        <v>12</v>
      </c>
    </row>
    <row r="1086" spans="1:10">
      <c r="A1086">
        <v>2022</v>
      </c>
      <c r="B1086">
        <v>5</v>
      </c>
      <c r="C1086">
        <v>8807</v>
      </c>
      <c r="D1086">
        <v>190</v>
      </c>
      <c r="E1086" t="s">
        <v>10</v>
      </c>
      <c r="F1086">
        <v>3449904</v>
      </c>
      <c r="G1086" s="1">
        <v>1</v>
      </c>
      <c r="H1086" s="2">
        <v>191</v>
      </c>
      <c r="I1086" t="str">
        <f>VLOOKUP(Tabela1[[#This Row],[CO_PAIS]],'[1]nome do paixs'!$A:$B,2,0)</f>
        <v>Coreia do Sul</v>
      </c>
      <c r="J1086" t="s">
        <v>12</v>
      </c>
    </row>
    <row r="1087" spans="1:10">
      <c r="A1087">
        <v>2022</v>
      </c>
      <c r="B1087">
        <v>5</v>
      </c>
      <c r="C1087">
        <v>8807</v>
      </c>
      <c r="D1087">
        <v>386</v>
      </c>
      <c r="E1087" t="s">
        <v>10</v>
      </c>
      <c r="F1087">
        <v>3449904</v>
      </c>
      <c r="G1087" s="1">
        <v>42</v>
      </c>
      <c r="H1087" s="2">
        <v>46633</v>
      </c>
      <c r="I1087" t="str">
        <f>VLOOKUP(Tabela1[[#This Row],[CO_PAIS]],'[1]nome do paixs'!$A:$B,2,0)</f>
        <v>Itália</v>
      </c>
      <c r="J1087" t="s">
        <v>12</v>
      </c>
    </row>
    <row r="1088" spans="1:10">
      <c r="A1088">
        <v>2022</v>
      </c>
      <c r="B1088">
        <v>5</v>
      </c>
      <c r="C1088">
        <v>8803</v>
      </c>
      <c r="D1088">
        <v>87</v>
      </c>
      <c r="E1088" t="s">
        <v>10</v>
      </c>
      <c r="F1088">
        <v>3449904</v>
      </c>
      <c r="G1088" s="1">
        <v>107</v>
      </c>
      <c r="H1088" s="2">
        <v>56197</v>
      </c>
      <c r="I1088" t="str">
        <f>VLOOKUP(Tabela1[[#This Row],[CO_PAIS]],'[1]nome do paixs'!$A:$B,2,0)</f>
        <v>Bélgica</v>
      </c>
      <c r="J1088" t="s">
        <v>12</v>
      </c>
    </row>
    <row r="1089" spans="1:10">
      <c r="A1089">
        <v>2022</v>
      </c>
      <c r="B1089">
        <v>5</v>
      </c>
      <c r="C1089">
        <v>8807</v>
      </c>
      <c r="D1089">
        <v>399</v>
      </c>
      <c r="E1089" t="s">
        <v>10</v>
      </c>
      <c r="F1089">
        <v>3449904</v>
      </c>
      <c r="G1089" s="1">
        <v>548</v>
      </c>
      <c r="H1089" s="2">
        <v>580744</v>
      </c>
      <c r="I1089" t="str">
        <f>VLOOKUP(Tabela1[[#This Row],[CO_PAIS]],'[1]nome do paixs'!$A:$B,2,0)</f>
        <v>Japão</v>
      </c>
      <c r="J1089" t="s">
        <v>12</v>
      </c>
    </row>
    <row r="1090" spans="1:10">
      <c r="A1090">
        <v>2022</v>
      </c>
      <c r="B1090">
        <v>5</v>
      </c>
      <c r="C1090">
        <v>8807</v>
      </c>
      <c r="D1090">
        <v>149</v>
      </c>
      <c r="E1090" t="s">
        <v>10</v>
      </c>
      <c r="F1090">
        <v>3454102</v>
      </c>
      <c r="G1090" s="1">
        <v>92</v>
      </c>
      <c r="H1090" s="2">
        <v>40797</v>
      </c>
      <c r="I1090" t="str">
        <f>VLOOKUP(Tabela1[[#This Row],[CO_PAIS]],'[1]nome do paixs'!$A:$B,2,0)</f>
        <v>Canadá</v>
      </c>
      <c r="J1090" t="s">
        <v>11</v>
      </c>
    </row>
    <row r="1091" spans="1:10">
      <c r="A1091">
        <v>2021</v>
      </c>
      <c r="B1091">
        <v>5</v>
      </c>
      <c r="C1091">
        <v>8803</v>
      </c>
      <c r="D1091">
        <v>386</v>
      </c>
      <c r="E1091" t="s">
        <v>10</v>
      </c>
      <c r="F1091">
        <v>3449904</v>
      </c>
      <c r="G1091" s="1">
        <v>1</v>
      </c>
      <c r="H1091" s="2">
        <v>345</v>
      </c>
      <c r="I1091" t="str">
        <f>VLOOKUP(Tabela1[[#This Row],[CO_PAIS]],'[1]nome do paixs'!$A:$B,2,0)</f>
        <v>Itália</v>
      </c>
      <c r="J1091" t="s">
        <v>12</v>
      </c>
    </row>
    <row r="1092" spans="1:10">
      <c r="A1092">
        <v>2021</v>
      </c>
      <c r="B1092">
        <v>5</v>
      </c>
      <c r="C1092">
        <v>8803</v>
      </c>
      <c r="D1092">
        <v>399</v>
      </c>
      <c r="E1092" t="s">
        <v>10</v>
      </c>
      <c r="F1092">
        <v>3449904</v>
      </c>
      <c r="G1092" s="1">
        <v>252</v>
      </c>
      <c r="H1092" s="2">
        <v>279556</v>
      </c>
      <c r="I1092" t="str">
        <f>VLOOKUP(Tabela1[[#This Row],[CO_PAIS]],'[1]nome do paixs'!$A:$B,2,0)</f>
        <v>Japão</v>
      </c>
      <c r="J1092" t="s">
        <v>12</v>
      </c>
    </row>
    <row r="1093" spans="1:10">
      <c r="A1093">
        <v>2021</v>
      </c>
      <c r="B1093">
        <v>5</v>
      </c>
      <c r="C1093">
        <v>8803</v>
      </c>
      <c r="D1093">
        <v>23</v>
      </c>
      <c r="E1093" t="s">
        <v>10</v>
      </c>
      <c r="F1093">
        <v>3449904</v>
      </c>
      <c r="G1093" s="1">
        <v>176</v>
      </c>
      <c r="H1093" s="2">
        <v>160702</v>
      </c>
      <c r="I1093" t="str">
        <f>VLOOKUP(Tabela1[[#This Row],[CO_PAIS]],'[1]nome do paixs'!$A:$B,2,0)</f>
        <v>Alemanha</v>
      </c>
      <c r="J1093" t="s">
        <v>12</v>
      </c>
    </row>
    <row r="1094" spans="1:10">
      <c r="A1094">
        <v>2021</v>
      </c>
      <c r="B1094">
        <v>5</v>
      </c>
      <c r="C1094">
        <v>8803</v>
      </c>
      <c r="D1094">
        <v>105</v>
      </c>
      <c r="E1094" t="s">
        <v>10</v>
      </c>
      <c r="F1094">
        <v>3454102</v>
      </c>
      <c r="G1094" s="1">
        <v>1938</v>
      </c>
      <c r="H1094" s="2">
        <v>1301830</v>
      </c>
      <c r="I1094" t="str">
        <f>VLOOKUP(Tabela1[[#This Row],[CO_PAIS]],'[1]nome do paixs'!$A:$B,2,0)</f>
        <v>Brasil</v>
      </c>
      <c r="J1094" t="s">
        <v>11</v>
      </c>
    </row>
    <row r="1095" spans="1:10">
      <c r="A1095">
        <v>2021</v>
      </c>
      <c r="B1095">
        <v>5</v>
      </c>
      <c r="C1095">
        <v>8803</v>
      </c>
      <c r="D1095">
        <v>791</v>
      </c>
      <c r="E1095" t="s">
        <v>10</v>
      </c>
      <c r="F1095">
        <v>3449904</v>
      </c>
      <c r="G1095" s="1">
        <v>13</v>
      </c>
      <c r="H1095" s="2">
        <v>2671</v>
      </c>
      <c r="I1095" t="str">
        <f>VLOOKUP(Tabela1[[#This Row],[CO_PAIS]],'[1]nome do paixs'!$A:$B,2,0)</f>
        <v>Tcheca, República</v>
      </c>
      <c r="J1095" t="s">
        <v>12</v>
      </c>
    </row>
    <row r="1096" spans="1:10">
      <c r="A1096">
        <v>2021</v>
      </c>
      <c r="B1096">
        <v>5</v>
      </c>
      <c r="C1096">
        <v>8803</v>
      </c>
      <c r="D1096">
        <v>741</v>
      </c>
      <c r="E1096" t="s">
        <v>10</v>
      </c>
      <c r="F1096">
        <v>3449904</v>
      </c>
      <c r="G1096" s="1">
        <v>33</v>
      </c>
      <c r="H1096" s="2">
        <v>34212</v>
      </c>
      <c r="I1096" t="str">
        <f>VLOOKUP(Tabela1[[#This Row],[CO_PAIS]],'[1]nome do paixs'!$A:$B,2,0)</f>
        <v>Singapura</v>
      </c>
      <c r="J1096" t="s">
        <v>12</v>
      </c>
    </row>
    <row r="1097" spans="1:10">
      <c r="A1097">
        <v>2021</v>
      </c>
      <c r="B1097">
        <v>5</v>
      </c>
      <c r="C1097">
        <v>8803</v>
      </c>
      <c r="D1097">
        <v>87</v>
      </c>
      <c r="E1097" t="s">
        <v>10</v>
      </c>
      <c r="F1097">
        <v>3454102</v>
      </c>
      <c r="G1097" s="1">
        <v>1067</v>
      </c>
      <c r="H1097" s="2">
        <v>916464</v>
      </c>
      <c r="I1097" t="str">
        <f>VLOOKUP(Tabela1[[#This Row],[CO_PAIS]],'[1]nome do paixs'!$A:$B,2,0)</f>
        <v>Bélgica</v>
      </c>
      <c r="J1097" t="s">
        <v>11</v>
      </c>
    </row>
    <row r="1098" spans="1:10">
      <c r="A1098">
        <v>2021</v>
      </c>
      <c r="B1098">
        <v>5</v>
      </c>
      <c r="C1098">
        <v>8803</v>
      </c>
      <c r="D1098">
        <v>275</v>
      </c>
      <c r="E1098" t="s">
        <v>10</v>
      </c>
      <c r="F1098">
        <v>3449904</v>
      </c>
      <c r="G1098" s="1">
        <v>348</v>
      </c>
      <c r="H1098" s="2">
        <v>444448</v>
      </c>
      <c r="I1098" t="str">
        <f>VLOOKUP(Tabela1[[#This Row],[CO_PAIS]],'[1]nome do paixs'!$A:$B,2,0)</f>
        <v>França</v>
      </c>
      <c r="J1098" t="s">
        <v>12</v>
      </c>
    </row>
    <row r="1099" spans="1:10">
      <c r="A1099">
        <v>2021</v>
      </c>
      <c r="B1099">
        <v>5</v>
      </c>
      <c r="C1099">
        <v>8803</v>
      </c>
      <c r="D1099">
        <v>275</v>
      </c>
      <c r="E1099" t="s">
        <v>10</v>
      </c>
      <c r="F1099">
        <v>3424402</v>
      </c>
      <c r="G1099" s="1">
        <v>124</v>
      </c>
      <c r="H1099" s="2">
        <v>87273</v>
      </c>
      <c r="I1099" t="str">
        <f>VLOOKUP(Tabela1[[#This Row],[CO_PAIS]],'[1]nome do paixs'!$A:$B,2,0)</f>
        <v>França</v>
      </c>
      <c r="J1099" t="s">
        <v>13</v>
      </c>
    </row>
    <row r="1100" spans="1:10">
      <c r="A1100">
        <v>2021</v>
      </c>
      <c r="B1100">
        <v>5</v>
      </c>
      <c r="C1100">
        <v>8803</v>
      </c>
      <c r="D1100">
        <v>493</v>
      </c>
      <c r="E1100" t="s">
        <v>10</v>
      </c>
      <c r="F1100">
        <v>3449904</v>
      </c>
      <c r="G1100" s="1">
        <v>1081</v>
      </c>
      <c r="H1100" s="2">
        <v>652127</v>
      </c>
      <c r="I1100" t="str">
        <f>VLOOKUP(Tabela1[[#This Row],[CO_PAIS]],'[1]nome do paixs'!$A:$B,2,0)</f>
        <v>México</v>
      </c>
      <c r="J1100" t="s">
        <v>12</v>
      </c>
    </row>
    <row r="1101" spans="1:10">
      <c r="A1101">
        <v>2021</v>
      </c>
      <c r="B1101">
        <v>5</v>
      </c>
      <c r="C1101">
        <v>8803</v>
      </c>
      <c r="D1101">
        <v>158</v>
      </c>
      <c r="E1101" t="s">
        <v>10</v>
      </c>
      <c r="F1101">
        <v>3449904</v>
      </c>
      <c r="G1101" s="1">
        <v>188</v>
      </c>
      <c r="H1101" s="2">
        <v>472501</v>
      </c>
      <c r="I1101" t="str">
        <f>VLOOKUP(Tabela1[[#This Row],[CO_PAIS]],'[1]nome do paixs'!$A:$B,2,0)</f>
        <v>Chile</v>
      </c>
      <c r="J1101" t="s">
        <v>12</v>
      </c>
    </row>
    <row r="1102" spans="1:10">
      <c r="A1102">
        <v>2021</v>
      </c>
      <c r="B1102">
        <v>5</v>
      </c>
      <c r="C1102">
        <v>8803</v>
      </c>
      <c r="D1102">
        <v>628</v>
      </c>
      <c r="E1102" t="s">
        <v>10</v>
      </c>
      <c r="F1102">
        <v>3454102</v>
      </c>
      <c r="G1102" s="1">
        <v>411</v>
      </c>
      <c r="H1102" s="2">
        <v>171306</v>
      </c>
      <c r="I1102" t="str">
        <f>VLOOKUP(Tabela1[[#This Row],[CO_PAIS]],'[1]nome do paixs'!$A:$B,2,0)</f>
        <v>Reino Unido</v>
      </c>
      <c r="J1102" t="s">
        <v>11</v>
      </c>
    </row>
    <row r="1103" spans="1:10">
      <c r="A1103">
        <v>2021</v>
      </c>
      <c r="B1103">
        <v>5</v>
      </c>
      <c r="C1103">
        <v>8803</v>
      </c>
      <c r="D1103">
        <v>87</v>
      </c>
      <c r="E1103" t="s">
        <v>10</v>
      </c>
      <c r="F1103">
        <v>3449904</v>
      </c>
      <c r="G1103" s="1">
        <v>597</v>
      </c>
      <c r="H1103" s="2">
        <v>389141</v>
      </c>
      <c r="I1103" t="str">
        <f>VLOOKUP(Tabela1[[#This Row],[CO_PAIS]],'[1]nome do paixs'!$A:$B,2,0)</f>
        <v>Bélgica</v>
      </c>
      <c r="J1103" t="s">
        <v>12</v>
      </c>
    </row>
    <row r="1104" spans="1:10">
      <c r="A1104">
        <v>2021</v>
      </c>
      <c r="B1104">
        <v>5</v>
      </c>
      <c r="C1104">
        <v>8803</v>
      </c>
      <c r="D1104">
        <v>493</v>
      </c>
      <c r="E1104" t="s">
        <v>10</v>
      </c>
      <c r="F1104">
        <v>3454102</v>
      </c>
      <c r="G1104" s="1">
        <v>5452</v>
      </c>
      <c r="H1104" s="2">
        <v>2320053</v>
      </c>
      <c r="I1104" t="str">
        <f>VLOOKUP(Tabela1[[#This Row],[CO_PAIS]],'[1]nome do paixs'!$A:$B,2,0)</f>
        <v>México</v>
      </c>
      <c r="J1104" t="s">
        <v>11</v>
      </c>
    </row>
    <row r="1105" spans="1:10">
      <c r="A1105">
        <v>2021</v>
      </c>
      <c r="B1105">
        <v>5</v>
      </c>
      <c r="C1105">
        <v>8803</v>
      </c>
      <c r="D1105">
        <v>149</v>
      </c>
      <c r="E1105" t="s">
        <v>10</v>
      </c>
      <c r="F1105">
        <v>3454102</v>
      </c>
      <c r="G1105" s="1">
        <v>705</v>
      </c>
      <c r="H1105" s="2">
        <v>272990</v>
      </c>
      <c r="I1105" t="str">
        <f>VLOOKUP(Tabela1[[#This Row],[CO_PAIS]],'[1]nome do paixs'!$A:$B,2,0)</f>
        <v>Canadá</v>
      </c>
      <c r="J1105" t="s">
        <v>11</v>
      </c>
    </row>
    <row r="1106" spans="1:10">
      <c r="A1106">
        <v>2021</v>
      </c>
      <c r="B1106">
        <v>5</v>
      </c>
      <c r="C1106">
        <v>8803</v>
      </c>
      <c r="D1106">
        <v>386</v>
      </c>
      <c r="E1106" t="s">
        <v>10</v>
      </c>
      <c r="F1106">
        <v>3454102</v>
      </c>
      <c r="G1106" s="1">
        <v>192</v>
      </c>
      <c r="H1106" s="2">
        <v>490906</v>
      </c>
      <c r="I1106" t="str">
        <f>VLOOKUP(Tabela1[[#This Row],[CO_PAIS]],'[1]nome do paixs'!$A:$B,2,0)</f>
        <v>Itália</v>
      </c>
      <c r="J1106" t="s">
        <v>11</v>
      </c>
    </row>
    <row r="1107" spans="1:10">
      <c r="A1107">
        <v>2021</v>
      </c>
      <c r="B1107">
        <v>5</v>
      </c>
      <c r="C1107">
        <v>8803</v>
      </c>
      <c r="D1107">
        <v>105</v>
      </c>
      <c r="E1107" t="s">
        <v>10</v>
      </c>
      <c r="F1107">
        <v>3449904</v>
      </c>
      <c r="G1107" s="1">
        <v>5443</v>
      </c>
      <c r="H1107" s="2">
        <v>3377169</v>
      </c>
      <c r="I1107" t="str">
        <f>VLOOKUP(Tabela1[[#This Row],[CO_PAIS]],'[1]nome do paixs'!$A:$B,2,0)</f>
        <v>Brasil</v>
      </c>
      <c r="J1107" t="s">
        <v>12</v>
      </c>
    </row>
    <row r="1108" spans="1:10">
      <c r="A1108">
        <v>2021</v>
      </c>
      <c r="B1108">
        <v>5</v>
      </c>
      <c r="C1108">
        <v>8803</v>
      </c>
      <c r="D1108">
        <v>190</v>
      </c>
      <c r="E1108" t="s">
        <v>10</v>
      </c>
      <c r="F1108">
        <v>3454102</v>
      </c>
      <c r="G1108" s="1">
        <v>43</v>
      </c>
      <c r="H1108" s="2">
        <v>121987</v>
      </c>
      <c r="I1108" t="str">
        <f>VLOOKUP(Tabela1[[#This Row],[CO_PAIS]],'[1]nome do paixs'!$A:$B,2,0)</f>
        <v>Coreia do Sul</v>
      </c>
      <c r="J1108" t="s">
        <v>11</v>
      </c>
    </row>
    <row r="1109" spans="1:10">
      <c r="A1109">
        <v>2021</v>
      </c>
      <c r="B1109">
        <v>5</v>
      </c>
      <c r="C1109">
        <v>8803</v>
      </c>
      <c r="D1109">
        <v>607</v>
      </c>
      <c r="E1109" t="s">
        <v>10</v>
      </c>
      <c r="F1109">
        <v>3449904</v>
      </c>
      <c r="G1109" s="1">
        <v>2</v>
      </c>
      <c r="H1109" s="2">
        <v>17284</v>
      </c>
      <c r="I1109" t="str">
        <f>VLOOKUP(Tabela1[[#This Row],[CO_PAIS]],'[1]nome do paixs'!$A:$B,2,0)</f>
        <v>Portugal</v>
      </c>
      <c r="J1109" t="s">
        <v>12</v>
      </c>
    </row>
    <row r="1110" spans="1:10">
      <c r="A1110">
        <v>2021</v>
      </c>
      <c r="B1110">
        <v>5</v>
      </c>
      <c r="C1110">
        <v>8803</v>
      </c>
      <c r="D1110">
        <v>275</v>
      </c>
      <c r="E1110" t="s">
        <v>10</v>
      </c>
      <c r="F1110">
        <v>3454102</v>
      </c>
      <c r="G1110" s="1">
        <v>1697</v>
      </c>
      <c r="H1110" s="2">
        <v>2793831</v>
      </c>
      <c r="I1110" t="str">
        <f>VLOOKUP(Tabela1[[#This Row],[CO_PAIS]],'[1]nome do paixs'!$A:$B,2,0)</f>
        <v>França</v>
      </c>
      <c r="J1110" t="s">
        <v>11</v>
      </c>
    </row>
    <row r="1111" spans="1:10">
      <c r="A1111">
        <v>2021</v>
      </c>
      <c r="B1111">
        <v>5</v>
      </c>
      <c r="C1111">
        <v>8803</v>
      </c>
      <c r="D1111">
        <v>474</v>
      </c>
      <c r="E1111" t="s">
        <v>10</v>
      </c>
      <c r="F1111">
        <v>3454102</v>
      </c>
      <c r="G1111" s="1">
        <v>138</v>
      </c>
      <c r="H1111" s="2">
        <v>245520</v>
      </c>
      <c r="I1111" t="str">
        <f>VLOOKUP(Tabela1[[#This Row],[CO_PAIS]],'[1]nome do paixs'!$A:$B,2,0)</f>
        <v>Marrocos</v>
      </c>
      <c r="J1111" t="s">
        <v>11</v>
      </c>
    </row>
    <row r="1112" spans="1:10">
      <c r="A1112">
        <v>2021</v>
      </c>
      <c r="B1112">
        <v>5</v>
      </c>
      <c r="C1112">
        <v>8803</v>
      </c>
      <c r="D1112">
        <v>72</v>
      </c>
      <c r="E1112" t="s">
        <v>10</v>
      </c>
      <c r="F1112">
        <v>3454102</v>
      </c>
      <c r="G1112" s="1">
        <v>8397</v>
      </c>
      <c r="H1112" s="2">
        <v>695921</v>
      </c>
      <c r="I1112" t="str">
        <f>VLOOKUP(Tabela1[[#This Row],[CO_PAIS]],'[1]nome do paixs'!$A:$B,2,0)</f>
        <v>Áustria</v>
      </c>
      <c r="J1112" t="s">
        <v>11</v>
      </c>
    </row>
    <row r="1113" spans="1:10">
      <c r="A1113">
        <v>2021</v>
      </c>
      <c r="B1113">
        <v>5</v>
      </c>
      <c r="C1113">
        <v>8803</v>
      </c>
      <c r="D1113">
        <v>474</v>
      </c>
      <c r="E1113" t="s">
        <v>10</v>
      </c>
      <c r="F1113">
        <v>3449904</v>
      </c>
      <c r="G1113" s="1">
        <v>1</v>
      </c>
      <c r="H1113" s="2">
        <v>7886</v>
      </c>
      <c r="I1113" t="str">
        <f>VLOOKUP(Tabela1[[#This Row],[CO_PAIS]],'[1]nome do paixs'!$A:$B,2,0)</f>
        <v>Marrocos</v>
      </c>
      <c r="J1113" t="s">
        <v>12</v>
      </c>
    </row>
    <row r="1114" spans="1:10">
      <c r="A1114">
        <v>2021</v>
      </c>
      <c r="B1114">
        <v>5</v>
      </c>
      <c r="C1114">
        <v>8803</v>
      </c>
      <c r="D1114">
        <v>245</v>
      </c>
      <c r="E1114" t="s">
        <v>10</v>
      </c>
      <c r="F1114">
        <v>3454102</v>
      </c>
      <c r="G1114" s="1">
        <v>1898</v>
      </c>
      <c r="H1114" s="2">
        <v>1507308</v>
      </c>
      <c r="I1114" t="str">
        <f>VLOOKUP(Tabela1[[#This Row],[CO_PAIS]],'[1]nome do paixs'!$A:$B,2,0)</f>
        <v>Espanha</v>
      </c>
      <c r="J1114" t="s">
        <v>11</v>
      </c>
    </row>
    <row r="1115" spans="1:10">
      <c r="A1115">
        <v>2021</v>
      </c>
      <c r="B1115">
        <v>5</v>
      </c>
      <c r="C1115">
        <v>8803</v>
      </c>
      <c r="D1115">
        <v>249</v>
      </c>
      <c r="E1115" t="s">
        <v>10</v>
      </c>
      <c r="F1115">
        <v>3449904</v>
      </c>
      <c r="G1115" s="1">
        <v>2643</v>
      </c>
      <c r="H1115" s="2">
        <v>2759783</v>
      </c>
      <c r="I1115" t="str">
        <f>VLOOKUP(Tabela1[[#This Row],[CO_PAIS]],'[1]nome do paixs'!$A:$B,2,0)</f>
        <v>Estados Unidos</v>
      </c>
      <c r="J1115" t="s">
        <v>12</v>
      </c>
    </row>
    <row r="1116" spans="1:10">
      <c r="A1116">
        <v>2021</v>
      </c>
      <c r="B1116">
        <v>5</v>
      </c>
      <c r="C1116">
        <v>8803</v>
      </c>
      <c r="D1116">
        <v>190</v>
      </c>
      <c r="E1116" t="s">
        <v>10</v>
      </c>
      <c r="F1116">
        <v>3424402</v>
      </c>
      <c r="G1116" s="1">
        <v>11</v>
      </c>
      <c r="H1116" s="2">
        <v>2671</v>
      </c>
      <c r="I1116" t="str">
        <f>VLOOKUP(Tabela1[[#This Row],[CO_PAIS]],'[1]nome do paixs'!$A:$B,2,0)</f>
        <v>Coreia do Sul</v>
      </c>
      <c r="J1116" t="s">
        <v>13</v>
      </c>
    </row>
    <row r="1117" spans="1:10">
      <c r="A1117">
        <v>2021</v>
      </c>
      <c r="B1117">
        <v>5</v>
      </c>
      <c r="C1117">
        <v>8803</v>
      </c>
      <c r="D1117">
        <v>23</v>
      </c>
      <c r="E1117" t="s">
        <v>10</v>
      </c>
      <c r="F1117">
        <v>3454102</v>
      </c>
      <c r="G1117" s="1">
        <v>10172</v>
      </c>
      <c r="H1117" s="2">
        <v>637958</v>
      </c>
      <c r="I1117" t="str">
        <f>VLOOKUP(Tabela1[[#This Row],[CO_PAIS]],'[1]nome do paixs'!$A:$B,2,0)</f>
        <v>Alemanha</v>
      </c>
      <c r="J1117" t="s">
        <v>11</v>
      </c>
    </row>
    <row r="1118" spans="1:10">
      <c r="A1118">
        <v>2021</v>
      </c>
      <c r="B1118">
        <v>5</v>
      </c>
      <c r="C1118">
        <v>8803</v>
      </c>
      <c r="D1118">
        <v>190</v>
      </c>
      <c r="E1118" t="s">
        <v>10</v>
      </c>
      <c r="F1118">
        <v>3449904</v>
      </c>
      <c r="G1118" s="1">
        <v>5</v>
      </c>
      <c r="H1118" s="2">
        <v>6472</v>
      </c>
      <c r="I1118" t="str">
        <f>VLOOKUP(Tabela1[[#This Row],[CO_PAIS]],'[1]nome do paixs'!$A:$B,2,0)</f>
        <v>Coreia do Sul</v>
      </c>
      <c r="J1118" t="s">
        <v>12</v>
      </c>
    </row>
    <row r="1119" spans="1:10">
      <c r="A1119">
        <v>2021</v>
      </c>
      <c r="B1119">
        <v>5</v>
      </c>
      <c r="C1119">
        <v>8803</v>
      </c>
      <c r="D1119">
        <v>249</v>
      </c>
      <c r="E1119" t="s">
        <v>10</v>
      </c>
      <c r="F1119">
        <v>3424402</v>
      </c>
      <c r="G1119" s="1">
        <v>286</v>
      </c>
      <c r="H1119" s="2">
        <v>41353</v>
      </c>
      <c r="I1119" t="str">
        <f>VLOOKUP(Tabela1[[#This Row],[CO_PAIS]],'[1]nome do paixs'!$A:$B,2,0)</f>
        <v>Estados Unidos</v>
      </c>
      <c r="J1119" t="s">
        <v>13</v>
      </c>
    </row>
    <row r="1120" spans="1:10">
      <c r="A1120">
        <v>2021</v>
      </c>
      <c r="B1120">
        <v>5</v>
      </c>
      <c r="C1120">
        <v>8803</v>
      </c>
      <c r="D1120">
        <v>628</v>
      </c>
      <c r="E1120" t="s">
        <v>10</v>
      </c>
      <c r="F1120">
        <v>3449904</v>
      </c>
      <c r="G1120" s="1">
        <v>197</v>
      </c>
      <c r="H1120" s="2">
        <v>202148</v>
      </c>
      <c r="I1120" t="str">
        <f>VLOOKUP(Tabela1[[#This Row],[CO_PAIS]],'[1]nome do paixs'!$A:$B,2,0)</f>
        <v>Reino Unido</v>
      </c>
      <c r="J1120" t="s">
        <v>12</v>
      </c>
    </row>
    <row r="1121" spans="1:10">
      <c r="A1121">
        <v>2021</v>
      </c>
      <c r="B1121">
        <v>5</v>
      </c>
      <c r="C1121">
        <v>8803</v>
      </c>
      <c r="D1121">
        <v>399</v>
      </c>
      <c r="E1121" t="s">
        <v>10</v>
      </c>
      <c r="F1121">
        <v>3454102</v>
      </c>
      <c r="G1121" s="1">
        <v>436</v>
      </c>
      <c r="H1121" s="2">
        <v>429125</v>
      </c>
      <c r="I1121" t="str">
        <f>VLOOKUP(Tabela1[[#This Row],[CO_PAIS]],'[1]nome do paixs'!$A:$B,2,0)</f>
        <v>Japão</v>
      </c>
      <c r="J1121" t="s">
        <v>11</v>
      </c>
    </row>
    <row r="1122" spans="1:10">
      <c r="A1122">
        <v>2021</v>
      </c>
      <c r="B1122">
        <v>5</v>
      </c>
      <c r="C1122">
        <v>8803</v>
      </c>
      <c r="D1122">
        <v>249</v>
      </c>
      <c r="E1122" t="s">
        <v>10</v>
      </c>
      <c r="F1122">
        <v>3454102</v>
      </c>
      <c r="G1122" s="1">
        <v>10726</v>
      </c>
      <c r="H1122" s="2">
        <v>5088009</v>
      </c>
      <c r="I1122" t="str">
        <f>VLOOKUP(Tabela1[[#This Row],[CO_PAIS]],'[1]nome do paixs'!$A:$B,2,0)</f>
        <v>Estados Unidos</v>
      </c>
      <c r="J1122" t="s">
        <v>11</v>
      </c>
    </row>
    <row r="1123" spans="1:10">
      <c r="A1123">
        <v>2021</v>
      </c>
      <c r="B1123">
        <v>5</v>
      </c>
      <c r="C1123">
        <v>8803</v>
      </c>
      <c r="D1123">
        <v>361</v>
      </c>
      <c r="E1123" t="s">
        <v>10</v>
      </c>
      <c r="F1123">
        <v>3449904</v>
      </c>
      <c r="G1123" s="1">
        <v>236</v>
      </c>
      <c r="H1123" s="2">
        <v>112928</v>
      </c>
      <c r="I1123" t="str">
        <f>VLOOKUP(Tabela1[[#This Row],[CO_PAIS]],'[1]nome do paixs'!$A:$B,2,0)</f>
        <v>Índia</v>
      </c>
      <c r="J1123" t="s">
        <v>12</v>
      </c>
    </row>
    <row r="1124" spans="1:10">
      <c r="A1124">
        <v>2021</v>
      </c>
      <c r="B1124">
        <v>5</v>
      </c>
      <c r="C1124">
        <v>8803</v>
      </c>
      <c r="D1124">
        <v>72</v>
      </c>
      <c r="E1124" t="s">
        <v>10</v>
      </c>
      <c r="F1124">
        <v>3449904</v>
      </c>
      <c r="G1124" s="1">
        <v>41</v>
      </c>
      <c r="H1124" s="2">
        <v>9235</v>
      </c>
      <c r="I1124" t="str">
        <f>VLOOKUP(Tabela1[[#This Row],[CO_PAIS]],'[1]nome do paixs'!$A:$B,2,0)</f>
        <v>Áustria</v>
      </c>
      <c r="J1124" t="s">
        <v>12</v>
      </c>
    </row>
    <row r="1125" spans="1:10">
      <c r="A1125">
        <v>2021</v>
      </c>
      <c r="B1125">
        <v>5</v>
      </c>
      <c r="C1125">
        <v>8803</v>
      </c>
      <c r="D1125">
        <v>676</v>
      </c>
      <c r="E1125" t="s">
        <v>10</v>
      </c>
      <c r="F1125">
        <v>3449904</v>
      </c>
      <c r="G1125" s="1">
        <v>49</v>
      </c>
      <c r="H1125" s="2">
        <v>33946</v>
      </c>
      <c r="I1125" t="str">
        <f>VLOOKUP(Tabela1[[#This Row],[CO_PAIS]],'[1]nome do paixs'!$A:$B,2,0)</f>
        <v>Rússia</v>
      </c>
      <c r="J1125" t="s">
        <v>12</v>
      </c>
    </row>
    <row r="1126" spans="1:10">
      <c r="A1126">
        <v>2021</v>
      </c>
      <c r="B1126">
        <v>5</v>
      </c>
      <c r="C1126">
        <v>8803</v>
      </c>
      <c r="D1126">
        <v>607</v>
      </c>
      <c r="E1126" t="s">
        <v>10</v>
      </c>
      <c r="F1126">
        <v>3454102</v>
      </c>
      <c r="G1126" s="1">
        <v>6552</v>
      </c>
      <c r="H1126" s="2">
        <v>2236606</v>
      </c>
      <c r="I1126" t="str">
        <f>VLOOKUP(Tabela1[[#This Row],[CO_PAIS]],'[1]nome do paixs'!$A:$B,2,0)</f>
        <v>Portugal</v>
      </c>
      <c r="J1126" t="s">
        <v>11</v>
      </c>
    </row>
    <row r="1127" spans="1:10">
      <c r="A1127">
        <v>2021</v>
      </c>
      <c r="B1127">
        <v>5</v>
      </c>
      <c r="C1127">
        <v>8803</v>
      </c>
      <c r="D1127">
        <v>791</v>
      </c>
      <c r="E1127" t="s">
        <v>10</v>
      </c>
      <c r="F1127">
        <v>3424402</v>
      </c>
      <c r="G1127" s="1">
        <v>202</v>
      </c>
      <c r="H1127" s="2">
        <v>144780</v>
      </c>
      <c r="I1127" t="str">
        <f>VLOOKUP(Tabela1[[#This Row],[CO_PAIS]],'[1]nome do paixs'!$A:$B,2,0)</f>
        <v>Tcheca, República</v>
      </c>
      <c r="J1127" t="s">
        <v>13</v>
      </c>
    </row>
    <row r="1128" spans="1:10">
      <c r="A1128">
        <v>2021</v>
      </c>
      <c r="B1128">
        <v>5</v>
      </c>
      <c r="C1128">
        <v>8803</v>
      </c>
      <c r="D1128">
        <v>245</v>
      </c>
      <c r="E1128" t="s">
        <v>10</v>
      </c>
      <c r="F1128">
        <v>3449904</v>
      </c>
      <c r="G1128" s="1">
        <v>2934</v>
      </c>
      <c r="H1128" s="2">
        <v>1629122</v>
      </c>
      <c r="I1128" t="str">
        <f>VLOOKUP(Tabela1[[#This Row],[CO_PAIS]],'[1]nome do paixs'!$A:$B,2,0)</f>
        <v>Espanha</v>
      </c>
      <c r="J1128" t="s">
        <v>12</v>
      </c>
    </row>
    <row r="1129" spans="1:10">
      <c r="A1129">
        <v>2025</v>
      </c>
      <c r="B1129">
        <v>6</v>
      </c>
      <c r="C1129">
        <v>8807</v>
      </c>
      <c r="D1129">
        <v>275</v>
      </c>
      <c r="E1129" t="s">
        <v>10</v>
      </c>
      <c r="F1129">
        <v>3449904</v>
      </c>
      <c r="G1129" s="1">
        <v>307</v>
      </c>
      <c r="H1129" s="2">
        <v>451937</v>
      </c>
      <c r="I1129" t="str">
        <f>VLOOKUP(Tabela1[[#This Row],[CO_PAIS]],'[1]nome do paixs'!$A:$B,2,0)</f>
        <v>França</v>
      </c>
      <c r="J1129" t="s">
        <v>12</v>
      </c>
    </row>
    <row r="1130" spans="1:10">
      <c r="A1130">
        <v>2025</v>
      </c>
      <c r="B1130">
        <v>6</v>
      </c>
      <c r="C1130">
        <v>8807</v>
      </c>
      <c r="D1130">
        <v>72</v>
      </c>
      <c r="E1130" t="s">
        <v>10</v>
      </c>
      <c r="F1130">
        <v>3454102</v>
      </c>
      <c r="G1130" s="1">
        <v>11038</v>
      </c>
      <c r="H1130" s="2">
        <v>2895133</v>
      </c>
      <c r="I1130" t="str">
        <f>VLOOKUP(Tabela1[[#This Row],[CO_PAIS]],'[1]nome do paixs'!$A:$B,2,0)</f>
        <v>Áustria</v>
      </c>
      <c r="J1130" t="s">
        <v>11</v>
      </c>
    </row>
    <row r="1131" spans="1:10">
      <c r="A1131">
        <v>2025</v>
      </c>
      <c r="B1131">
        <v>6</v>
      </c>
      <c r="C1131">
        <v>8807</v>
      </c>
      <c r="D1131">
        <v>791</v>
      </c>
      <c r="E1131" t="s">
        <v>10</v>
      </c>
      <c r="F1131">
        <v>3449904</v>
      </c>
      <c r="G1131" s="1">
        <v>18</v>
      </c>
      <c r="H1131" s="2">
        <v>48231</v>
      </c>
      <c r="I1131" t="str">
        <f>VLOOKUP(Tabela1[[#This Row],[CO_PAIS]],'[1]nome do paixs'!$A:$B,2,0)</f>
        <v>Tcheca, República</v>
      </c>
      <c r="J1131" t="s">
        <v>12</v>
      </c>
    </row>
    <row r="1132" spans="1:10">
      <c r="A1132">
        <v>2025</v>
      </c>
      <c r="B1132">
        <v>6</v>
      </c>
      <c r="C1132">
        <v>8807</v>
      </c>
      <c r="D1132">
        <v>399</v>
      </c>
      <c r="E1132" t="s">
        <v>10</v>
      </c>
      <c r="F1132">
        <v>3454102</v>
      </c>
      <c r="G1132" s="1">
        <v>5263</v>
      </c>
      <c r="H1132" s="2">
        <v>3364496</v>
      </c>
      <c r="I1132" t="str">
        <f>VLOOKUP(Tabela1[[#This Row],[CO_PAIS]],'[1]nome do paixs'!$A:$B,2,0)</f>
        <v>Japão</v>
      </c>
      <c r="J1132" t="s">
        <v>11</v>
      </c>
    </row>
    <row r="1133" spans="1:10">
      <c r="A1133">
        <v>2025</v>
      </c>
      <c r="B1133">
        <v>6</v>
      </c>
      <c r="C1133">
        <v>8807</v>
      </c>
      <c r="D1133">
        <v>23</v>
      </c>
      <c r="E1133" t="s">
        <v>10</v>
      </c>
      <c r="F1133">
        <v>3454102</v>
      </c>
      <c r="G1133" s="1">
        <v>27316</v>
      </c>
      <c r="H1133" s="2">
        <v>1610875</v>
      </c>
      <c r="I1133" t="str">
        <f>VLOOKUP(Tabela1[[#This Row],[CO_PAIS]],'[1]nome do paixs'!$A:$B,2,0)</f>
        <v>Alemanha</v>
      </c>
      <c r="J1133" t="s">
        <v>11</v>
      </c>
    </row>
    <row r="1134" spans="1:10">
      <c r="A1134">
        <v>2025</v>
      </c>
      <c r="B1134">
        <v>6</v>
      </c>
      <c r="C1134">
        <v>8807</v>
      </c>
      <c r="D1134">
        <v>628</v>
      </c>
      <c r="E1134" t="s">
        <v>10</v>
      </c>
      <c r="F1134">
        <v>3454102</v>
      </c>
      <c r="G1134" s="1">
        <v>483</v>
      </c>
      <c r="H1134" s="2">
        <v>402311</v>
      </c>
      <c r="I1134" t="str">
        <f>VLOOKUP(Tabela1[[#This Row],[CO_PAIS]],'[1]nome do paixs'!$A:$B,2,0)</f>
        <v>Reino Unido</v>
      </c>
      <c r="J1134" t="s">
        <v>11</v>
      </c>
    </row>
    <row r="1135" spans="1:10">
      <c r="A1135">
        <v>2025</v>
      </c>
      <c r="B1135">
        <v>6</v>
      </c>
      <c r="C1135">
        <v>8807</v>
      </c>
      <c r="D1135">
        <v>190</v>
      </c>
      <c r="E1135" t="s">
        <v>10</v>
      </c>
      <c r="F1135">
        <v>3424402</v>
      </c>
      <c r="G1135" s="1">
        <v>82</v>
      </c>
      <c r="H1135" s="2">
        <v>33314</v>
      </c>
      <c r="I1135" t="str">
        <f>VLOOKUP(Tabela1[[#This Row],[CO_PAIS]],'[1]nome do paixs'!$A:$B,2,0)</f>
        <v>Coreia do Sul</v>
      </c>
      <c r="J1135" t="s">
        <v>13</v>
      </c>
    </row>
    <row r="1136" spans="1:10">
      <c r="A1136">
        <v>2025</v>
      </c>
      <c r="B1136">
        <v>6</v>
      </c>
      <c r="C1136">
        <v>8807</v>
      </c>
      <c r="D1136">
        <v>474</v>
      </c>
      <c r="E1136" t="s">
        <v>10</v>
      </c>
      <c r="F1136">
        <v>3454102</v>
      </c>
      <c r="G1136" s="1">
        <v>138</v>
      </c>
      <c r="H1136" s="2">
        <v>371506</v>
      </c>
      <c r="I1136" t="str">
        <f>VLOOKUP(Tabela1[[#This Row],[CO_PAIS]],'[1]nome do paixs'!$A:$B,2,0)</f>
        <v>Marrocos</v>
      </c>
      <c r="J1136" t="s">
        <v>11</v>
      </c>
    </row>
    <row r="1137" spans="1:10">
      <c r="A1137">
        <v>2025</v>
      </c>
      <c r="B1137">
        <v>6</v>
      </c>
      <c r="C1137">
        <v>8807</v>
      </c>
      <c r="D1137">
        <v>607</v>
      </c>
      <c r="E1137" t="s">
        <v>10</v>
      </c>
      <c r="F1137">
        <v>3454102</v>
      </c>
      <c r="G1137" s="1">
        <v>25930</v>
      </c>
      <c r="H1137" s="2">
        <v>8869177</v>
      </c>
      <c r="I1137" t="str">
        <f>VLOOKUP(Tabela1[[#This Row],[CO_PAIS]],'[1]nome do paixs'!$A:$B,2,0)</f>
        <v>Portugal</v>
      </c>
      <c r="J1137" t="s">
        <v>11</v>
      </c>
    </row>
    <row r="1138" spans="1:10">
      <c r="A1138">
        <v>2025</v>
      </c>
      <c r="B1138">
        <v>6</v>
      </c>
      <c r="C1138">
        <v>8807</v>
      </c>
      <c r="D1138">
        <v>245</v>
      </c>
      <c r="E1138" t="s">
        <v>10</v>
      </c>
      <c r="F1138">
        <v>3454102</v>
      </c>
      <c r="G1138" s="1">
        <v>972</v>
      </c>
      <c r="H1138" s="2">
        <v>932244</v>
      </c>
      <c r="I1138" t="str">
        <f>VLOOKUP(Tabela1[[#This Row],[CO_PAIS]],'[1]nome do paixs'!$A:$B,2,0)</f>
        <v>Espanha</v>
      </c>
      <c r="J1138" t="s">
        <v>11</v>
      </c>
    </row>
    <row r="1139" spans="1:10">
      <c r="A1139">
        <v>2025</v>
      </c>
      <c r="B1139">
        <v>6</v>
      </c>
      <c r="C1139">
        <v>8807</v>
      </c>
      <c r="D1139">
        <v>245</v>
      </c>
      <c r="E1139" t="s">
        <v>10</v>
      </c>
      <c r="F1139">
        <v>3449904</v>
      </c>
      <c r="G1139" s="1">
        <v>5544</v>
      </c>
      <c r="H1139" s="2">
        <v>2400628</v>
      </c>
      <c r="I1139" t="str">
        <f>VLOOKUP(Tabela1[[#This Row],[CO_PAIS]],'[1]nome do paixs'!$A:$B,2,0)</f>
        <v>Espanha</v>
      </c>
      <c r="J1139" t="s">
        <v>12</v>
      </c>
    </row>
    <row r="1140" spans="1:10">
      <c r="A1140">
        <v>2025</v>
      </c>
      <c r="B1140">
        <v>6</v>
      </c>
      <c r="C1140">
        <v>8807</v>
      </c>
      <c r="D1140">
        <v>361</v>
      </c>
      <c r="E1140" t="s">
        <v>10</v>
      </c>
      <c r="F1140">
        <v>3449904</v>
      </c>
      <c r="G1140" s="1">
        <v>550</v>
      </c>
      <c r="H1140" s="2">
        <v>303772</v>
      </c>
      <c r="I1140" t="str">
        <f>VLOOKUP(Tabela1[[#This Row],[CO_PAIS]],'[1]nome do paixs'!$A:$B,2,0)</f>
        <v>Índia</v>
      </c>
      <c r="J1140" t="s">
        <v>12</v>
      </c>
    </row>
    <row r="1141" spans="1:10">
      <c r="A1141">
        <v>2025</v>
      </c>
      <c r="B1141">
        <v>6</v>
      </c>
      <c r="C1141">
        <v>8807</v>
      </c>
      <c r="D1141">
        <v>149</v>
      </c>
      <c r="E1141" t="s">
        <v>10</v>
      </c>
      <c r="F1141">
        <v>3408504</v>
      </c>
      <c r="G1141" s="1">
        <v>6</v>
      </c>
      <c r="H1141" s="2">
        <v>33928</v>
      </c>
      <c r="I1141" t="str">
        <f>VLOOKUP(Tabela1[[#This Row],[CO_PAIS]],'[1]nome do paixs'!$A:$B,2,0)</f>
        <v>Canadá</v>
      </c>
      <c r="J1141" t="s">
        <v>14</v>
      </c>
    </row>
    <row r="1142" spans="1:10">
      <c r="A1142">
        <v>2025</v>
      </c>
      <c r="B1142">
        <v>6</v>
      </c>
      <c r="C1142">
        <v>8807</v>
      </c>
      <c r="D1142">
        <v>23</v>
      </c>
      <c r="E1142" t="s">
        <v>10</v>
      </c>
      <c r="F1142">
        <v>3424402</v>
      </c>
      <c r="G1142" s="1">
        <v>38</v>
      </c>
      <c r="H1142" s="2">
        <v>96372</v>
      </c>
      <c r="I1142" t="str">
        <f>VLOOKUP(Tabela1[[#This Row],[CO_PAIS]],'[1]nome do paixs'!$A:$B,2,0)</f>
        <v>Alemanha</v>
      </c>
      <c r="J1142" t="s">
        <v>13</v>
      </c>
    </row>
    <row r="1143" spans="1:10">
      <c r="A1143">
        <v>2025</v>
      </c>
      <c r="B1143">
        <v>6</v>
      </c>
      <c r="C1143">
        <v>8807</v>
      </c>
      <c r="D1143">
        <v>105</v>
      </c>
      <c r="E1143" t="s">
        <v>10</v>
      </c>
      <c r="F1143">
        <v>3454102</v>
      </c>
      <c r="G1143" s="1">
        <v>5355</v>
      </c>
      <c r="H1143" s="2">
        <v>5472094</v>
      </c>
      <c r="I1143" t="str">
        <f>VLOOKUP(Tabela1[[#This Row],[CO_PAIS]],'[1]nome do paixs'!$A:$B,2,0)</f>
        <v>Brasil</v>
      </c>
      <c r="J1143" t="s">
        <v>11</v>
      </c>
    </row>
    <row r="1144" spans="1:10">
      <c r="A1144">
        <v>2025</v>
      </c>
      <c r="B1144">
        <v>6</v>
      </c>
      <c r="C1144">
        <v>8807</v>
      </c>
      <c r="D1144">
        <v>72</v>
      </c>
      <c r="E1144" t="s">
        <v>10</v>
      </c>
      <c r="F1144">
        <v>3449904</v>
      </c>
      <c r="G1144" s="1">
        <v>20</v>
      </c>
      <c r="H1144" s="2">
        <v>17615</v>
      </c>
      <c r="I1144" t="str">
        <f>VLOOKUP(Tabela1[[#This Row],[CO_PAIS]],'[1]nome do paixs'!$A:$B,2,0)</f>
        <v>Áustria</v>
      </c>
      <c r="J1144" t="s">
        <v>12</v>
      </c>
    </row>
    <row r="1145" spans="1:10">
      <c r="A1145">
        <v>2025</v>
      </c>
      <c r="B1145">
        <v>6</v>
      </c>
      <c r="C1145">
        <v>8807</v>
      </c>
      <c r="D1145">
        <v>105</v>
      </c>
      <c r="E1145" t="s">
        <v>10</v>
      </c>
      <c r="F1145">
        <v>3449904</v>
      </c>
      <c r="G1145" s="1">
        <v>14176</v>
      </c>
      <c r="H1145" s="2">
        <v>11790865</v>
      </c>
      <c r="I1145" t="str">
        <f>VLOOKUP(Tabela1[[#This Row],[CO_PAIS]],'[1]nome do paixs'!$A:$B,2,0)</f>
        <v>Brasil</v>
      </c>
      <c r="J1145" t="s">
        <v>12</v>
      </c>
    </row>
    <row r="1146" spans="1:10">
      <c r="A1146">
        <v>2025</v>
      </c>
      <c r="B1146">
        <v>6</v>
      </c>
      <c r="C1146">
        <v>8807</v>
      </c>
      <c r="D1146">
        <v>375</v>
      </c>
      <c r="E1146" t="s">
        <v>10</v>
      </c>
      <c r="F1146">
        <v>3449904</v>
      </c>
      <c r="G1146" s="1">
        <v>13</v>
      </c>
      <c r="H1146" s="2">
        <v>22580</v>
      </c>
      <c r="I1146" t="str">
        <f>VLOOKUP(Tabela1[[#This Row],[CO_PAIS]],'[1]nome do paixs'!$A:$B,2,0)</f>
        <v>Irlanda</v>
      </c>
      <c r="J1146" t="s">
        <v>12</v>
      </c>
    </row>
    <row r="1147" spans="1:10">
      <c r="A1147">
        <v>2025</v>
      </c>
      <c r="B1147">
        <v>6</v>
      </c>
      <c r="C1147">
        <v>8807</v>
      </c>
      <c r="D1147">
        <v>239</v>
      </c>
      <c r="E1147" t="s">
        <v>10</v>
      </c>
      <c r="F1147">
        <v>3449904</v>
      </c>
      <c r="G1147" s="1">
        <v>57</v>
      </c>
      <c r="H1147" s="2">
        <v>171835</v>
      </c>
      <c r="I1147" t="str">
        <f>VLOOKUP(Tabela1[[#This Row],[CO_PAIS]],'[1]nome do paixs'!$A:$B,2,0)</f>
        <v>Equador</v>
      </c>
      <c r="J1147" t="s">
        <v>12</v>
      </c>
    </row>
    <row r="1148" spans="1:10">
      <c r="A1148">
        <v>2025</v>
      </c>
      <c r="B1148">
        <v>6</v>
      </c>
      <c r="C1148">
        <v>8807</v>
      </c>
      <c r="D1148">
        <v>275</v>
      </c>
      <c r="E1148" t="s">
        <v>10</v>
      </c>
      <c r="F1148">
        <v>3424402</v>
      </c>
      <c r="G1148" s="1">
        <v>256</v>
      </c>
      <c r="H1148" s="2">
        <v>439407</v>
      </c>
      <c r="I1148" t="str">
        <f>VLOOKUP(Tabela1[[#This Row],[CO_PAIS]],'[1]nome do paixs'!$A:$B,2,0)</f>
        <v>França</v>
      </c>
      <c r="J1148" t="s">
        <v>13</v>
      </c>
    </row>
    <row r="1149" spans="1:10">
      <c r="A1149">
        <v>2025</v>
      </c>
      <c r="B1149">
        <v>6</v>
      </c>
      <c r="C1149">
        <v>8807</v>
      </c>
      <c r="D1149">
        <v>245</v>
      </c>
      <c r="E1149" t="s">
        <v>10</v>
      </c>
      <c r="F1149">
        <v>3424402</v>
      </c>
      <c r="G1149" s="1">
        <v>235</v>
      </c>
      <c r="H1149" s="2">
        <v>69576</v>
      </c>
      <c r="I1149" t="str">
        <f>VLOOKUP(Tabela1[[#This Row],[CO_PAIS]],'[1]nome do paixs'!$A:$B,2,0)</f>
        <v>Espanha</v>
      </c>
      <c r="J1149" t="s">
        <v>13</v>
      </c>
    </row>
    <row r="1150" spans="1:10">
      <c r="A1150">
        <v>2025</v>
      </c>
      <c r="B1150">
        <v>6</v>
      </c>
      <c r="C1150">
        <v>8807</v>
      </c>
      <c r="D1150">
        <v>249</v>
      </c>
      <c r="E1150" t="s">
        <v>10</v>
      </c>
      <c r="F1150">
        <v>3424402</v>
      </c>
      <c r="G1150" s="1">
        <v>1153</v>
      </c>
      <c r="H1150" s="2">
        <v>301878</v>
      </c>
      <c r="I1150" t="str">
        <f>VLOOKUP(Tabela1[[#This Row],[CO_PAIS]],'[1]nome do paixs'!$A:$B,2,0)</f>
        <v>Estados Unidos</v>
      </c>
      <c r="J1150" t="s">
        <v>13</v>
      </c>
    </row>
    <row r="1151" spans="1:10">
      <c r="A1151">
        <v>2025</v>
      </c>
      <c r="B1151">
        <v>6</v>
      </c>
      <c r="C1151">
        <v>8807</v>
      </c>
      <c r="D1151">
        <v>676</v>
      </c>
      <c r="E1151" t="s">
        <v>10</v>
      </c>
      <c r="F1151">
        <v>3449904</v>
      </c>
      <c r="G1151" s="1">
        <v>28</v>
      </c>
      <c r="H1151" s="2">
        <v>115386</v>
      </c>
      <c r="I1151" t="str">
        <f>VLOOKUP(Tabela1[[#This Row],[CO_PAIS]],'[1]nome do paixs'!$A:$B,2,0)</f>
        <v>Rússia</v>
      </c>
      <c r="J1151" t="s">
        <v>12</v>
      </c>
    </row>
    <row r="1152" spans="1:10">
      <c r="A1152">
        <v>2025</v>
      </c>
      <c r="B1152">
        <v>6</v>
      </c>
      <c r="C1152">
        <v>8807</v>
      </c>
      <c r="D1152">
        <v>87</v>
      </c>
      <c r="E1152" t="s">
        <v>10</v>
      </c>
      <c r="F1152">
        <v>3454102</v>
      </c>
      <c r="G1152" s="1">
        <v>1670</v>
      </c>
      <c r="H1152" s="2">
        <v>1556809</v>
      </c>
      <c r="I1152" t="str">
        <f>VLOOKUP(Tabela1[[#This Row],[CO_PAIS]],'[1]nome do paixs'!$A:$B,2,0)</f>
        <v>Bélgica</v>
      </c>
      <c r="J1152" t="s">
        <v>11</v>
      </c>
    </row>
    <row r="1153" spans="1:10">
      <c r="A1153">
        <v>2025</v>
      </c>
      <c r="B1153">
        <v>6</v>
      </c>
      <c r="C1153">
        <v>8807</v>
      </c>
      <c r="D1153">
        <v>275</v>
      </c>
      <c r="E1153" t="s">
        <v>10</v>
      </c>
      <c r="F1153">
        <v>3454102</v>
      </c>
      <c r="G1153" s="1">
        <v>1731</v>
      </c>
      <c r="H1153" s="2">
        <v>2848033</v>
      </c>
      <c r="I1153" t="str">
        <f>VLOOKUP(Tabela1[[#This Row],[CO_PAIS]],'[1]nome do paixs'!$A:$B,2,0)</f>
        <v>França</v>
      </c>
      <c r="J1153" t="s">
        <v>11</v>
      </c>
    </row>
    <row r="1154" spans="1:10">
      <c r="A1154">
        <v>2025</v>
      </c>
      <c r="B1154">
        <v>6</v>
      </c>
      <c r="C1154">
        <v>8807</v>
      </c>
      <c r="D1154">
        <v>461</v>
      </c>
      <c r="E1154" t="s">
        <v>10</v>
      </c>
      <c r="F1154">
        <v>3449904</v>
      </c>
      <c r="G1154" s="1">
        <v>1</v>
      </c>
      <c r="H1154" s="2">
        <v>47292</v>
      </c>
      <c r="I1154" t="str">
        <f>VLOOKUP(Tabela1[[#This Row],[CO_PAIS]],'[1]nome do paixs'!$A:$B,2,0)</f>
        <v>Maldivas</v>
      </c>
      <c r="J1154" t="s">
        <v>12</v>
      </c>
    </row>
    <row r="1155" spans="1:10">
      <c r="A1155">
        <v>2025</v>
      </c>
      <c r="B1155">
        <v>6</v>
      </c>
      <c r="C1155">
        <v>8807</v>
      </c>
      <c r="D1155">
        <v>455</v>
      </c>
      <c r="E1155" t="s">
        <v>10</v>
      </c>
      <c r="F1155">
        <v>3454102</v>
      </c>
      <c r="G1155" s="1">
        <v>4430</v>
      </c>
      <c r="H1155" s="2">
        <v>403503</v>
      </c>
      <c r="I1155" t="str">
        <f>VLOOKUP(Tabela1[[#This Row],[CO_PAIS]],'[1]nome do paixs'!$A:$B,2,0)</f>
        <v>Malásia</v>
      </c>
      <c r="J1155" t="s">
        <v>11</v>
      </c>
    </row>
    <row r="1156" spans="1:10">
      <c r="A1156">
        <v>2025</v>
      </c>
      <c r="B1156">
        <v>6</v>
      </c>
      <c r="C1156">
        <v>8807</v>
      </c>
      <c r="D1156">
        <v>493</v>
      </c>
      <c r="E1156" t="s">
        <v>10</v>
      </c>
      <c r="F1156">
        <v>3449904</v>
      </c>
      <c r="G1156" s="1">
        <v>1497</v>
      </c>
      <c r="H1156" s="2">
        <v>947974</v>
      </c>
      <c r="I1156" t="str">
        <f>VLOOKUP(Tabela1[[#This Row],[CO_PAIS]],'[1]nome do paixs'!$A:$B,2,0)</f>
        <v>México</v>
      </c>
      <c r="J1156" t="s">
        <v>12</v>
      </c>
    </row>
    <row r="1157" spans="1:10">
      <c r="A1157">
        <v>2025</v>
      </c>
      <c r="B1157">
        <v>6</v>
      </c>
      <c r="C1157">
        <v>8807</v>
      </c>
      <c r="D1157">
        <v>149</v>
      </c>
      <c r="E1157" t="s">
        <v>10</v>
      </c>
      <c r="F1157">
        <v>3454102</v>
      </c>
      <c r="G1157" s="1">
        <v>526</v>
      </c>
      <c r="H1157" s="2">
        <v>455727</v>
      </c>
      <c r="I1157" t="str">
        <f>VLOOKUP(Tabela1[[#This Row],[CO_PAIS]],'[1]nome do paixs'!$A:$B,2,0)</f>
        <v>Canadá</v>
      </c>
      <c r="J1157" t="s">
        <v>11</v>
      </c>
    </row>
    <row r="1158" spans="1:10">
      <c r="A1158">
        <v>2025</v>
      </c>
      <c r="B1158">
        <v>6</v>
      </c>
      <c r="C1158">
        <v>8807</v>
      </c>
      <c r="D1158">
        <v>791</v>
      </c>
      <c r="E1158" t="s">
        <v>10</v>
      </c>
      <c r="F1158">
        <v>3424402</v>
      </c>
      <c r="G1158" s="1">
        <v>226</v>
      </c>
      <c r="H1158" s="2">
        <v>192994</v>
      </c>
      <c r="I1158" t="str">
        <f>VLOOKUP(Tabela1[[#This Row],[CO_PAIS]],'[1]nome do paixs'!$A:$B,2,0)</f>
        <v>Tcheca, República</v>
      </c>
      <c r="J1158" t="s">
        <v>13</v>
      </c>
    </row>
    <row r="1159" spans="1:10">
      <c r="A1159">
        <v>2025</v>
      </c>
      <c r="B1159">
        <v>6</v>
      </c>
      <c r="C1159">
        <v>8807</v>
      </c>
      <c r="D1159">
        <v>493</v>
      </c>
      <c r="E1159" t="s">
        <v>10</v>
      </c>
      <c r="F1159">
        <v>3424402</v>
      </c>
      <c r="G1159" s="1">
        <v>37</v>
      </c>
      <c r="H1159" s="2">
        <v>138935</v>
      </c>
      <c r="I1159" t="str">
        <f>VLOOKUP(Tabela1[[#This Row],[CO_PAIS]],'[1]nome do paixs'!$A:$B,2,0)</f>
        <v>México</v>
      </c>
      <c r="J1159" t="s">
        <v>13</v>
      </c>
    </row>
    <row r="1160" spans="1:10">
      <c r="A1160">
        <v>2025</v>
      </c>
      <c r="B1160">
        <v>6</v>
      </c>
      <c r="C1160">
        <v>8807</v>
      </c>
      <c r="D1160">
        <v>628</v>
      </c>
      <c r="E1160" t="s">
        <v>10</v>
      </c>
      <c r="F1160">
        <v>3449904</v>
      </c>
      <c r="G1160" s="1">
        <v>336</v>
      </c>
      <c r="H1160" s="2">
        <v>456785</v>
      </c>
      <c r="I1160" t="str">
        <f>VLOOKUP(Tabela1[[#This Row],[CO_PAIS]],'[1]nome do paixs'!$A:$B,2,0)</f>
        <v>Reino Unido</v>
      </c>
      <c r="J1160" t="s">
        <v>12</v>
      </c>
    </row>
    <row r="1161" spans="1:10">
      <c r="A1161">
        <v>2025</v>
      </c>
      <c r="B1161">
        <v>6</v>
      </c>
      <c r="C1161">
        <v>8807</v>
      </c>
      <c r="D1161">
        <v>87</v>
      </c>
      <c r="E1161" t="s">
        <v>10</v>
      </c>
      <c r="F1161">
        <v>3449904</v>
      </c>
      <c r="G1161" s="1">
        <v>8041</v>
      </c>
      <c r="H1161" s="2">
        <v>4558566</v>
      </c>
      <c r="I1161" t="str">
        <f>VLOOKUP(Tabela1[[#This Row],[CO_PAIS]],'[1]nome do paixs'!$A:$B,2,0)</f>
        <v>Bélgica</v>
      </c>
      <c r="J1161" t="s">
        <v>12</v>
      </c>
    </row>
    <row r="1162" spans="1:10">
      <c r="A1162">
        <v>2025</v>
      </c>
      <c r="B1162">
        <v>6</v>
      </c>
      <c r="C1162">
        <v>8807</v>
      </c>
      <c r="D1162">
        <v>105</v>
      </c>
      <c r="E1162" t="s">
        <v>10</v>
      </c>
      <c r="F1162">
        <v>3408504</v>
      </c>
      <c r="G1162" s="1">
        <v>14</v>
      </c>
      <c r="H1162" s="2">
        <v>10800</v>
      </c>
      <c r="I1162" t="str">
        <f>VLOOKUP(Tabela1[[#This Row],[CO_PAIS]],'[1]nome do paixs'!$A:$B,2,0)</f>
        <v>Brasil</v>
      </c>
      <c r="J1162" t="s">
        <v>14</v>
      </c>
    </row>
    <row r="1163" spans="1:10">
      <c r="A1163">
        <v>2025</v>
      </c>
      <c r="B1163">
        <v>6</v>
      </c>
      <c r="C1163">
        <v>8807</v>
      </c>
      <c r="D1163">
        <v>399</v>
      </c>
      <c r="E1163" t="s">
        <v>10</v>
      </c>
      <c r="F1163">
        <v>3449904</v>
      </c>
      <c r="G1163" s="1">
        <v>988</v>
      </c>
      <c r="H1163" s="2">
        <v>913648</v>
      </c>
      <c r="I1163" t="str">
        <f>VLOOKUP(Tabela1[[#This Row],[CO_PAIS]],'[1]nome do paixs'!$A:$B,2,0)</f>
        <v>Japão</v>
      </c>
      <c r="J1163" t="s">
        <v>12</v>
      </c>
    </row>
    <row r="1164" spans="1:10">
      <c r="A1164">
        <v>2025</v>
      </c>
      <c r="B1164">
        <v>6</v>
      </c>
      <c r="C1164">
        <v>8807</v>
      </c>
      <c r="D1164">
        <v>249</v>
      </c>
      <c r="E1164" t="s">
        <v>10</v>
      </c>
      <c r="F1164">
        <v>3449904</v>
      </c>
      <c r="G1164" s="1">
        <v>6626</v>
      </c>
      <c r="H1164" s="2">
        <v>5671493</v>
      </c>
      <c r="I1164" t="str">
        <f>VLOOKUP(Tabela1[[#This Row],[CO_PAIS]],'[1]nome do paixs'!$A:$B,2,0)</f>
        <v>Estados Unidos</v>
      </c>
      <c r="J1164" t="s">
        <v>12</v>
      </c>
    </row>
    <row r="1165" spans="1:10">
      <c r="A1165">
        <v>2025</v>
      </c>
      <c r="B1165">
        <v>6</v>
      </c>
      <c r="C1165">
        <v>8807</v>
      </c>
      <c r="D1165">
        <v>493</v>
      </c>
      <c r="E1165" t="s">
        <v>10</v>
      </c>
      <c r="F1165">
        <v>3454102</v>
      </c>
      <c r="G1165" s="1">
        <v>12239</v>
      </c>
      <c r="H1165" s="2">
        <v>7360670</v>
      </c>
      <c r="I1165" t="str">
        <f>VLOOKUP(Tabela1[[#This Row],[CO_PAIS]],'[1]nome do paixs'!$A:$B,2,0)</f>
        <v>México</v>
      </c>
      <c r="J1165" t="s">
        <v>11</v>
      </c>
    </row>
    <row r="1166" spans="1:10">
      <c r="A1166">
        <v>2025</v>
      </c>
      <c r="B1166">
        <v>6</v>
      </c>
      <c r="C1166">
        <v>8807</v>
      </c>
      <c r="D1166">
        <v>149</v>
      </c>
      <c r="E1166" t="s">
        <v>10</v>
      </c>
      <c r="F1166">
        <v>3449904</v>
      </c>
      <c r="G1166" s="1">
        <v>75</v>
      </c>
      <c r="H1166" s="2">
        <v>102244</v>
      </c>
      <c r="I1166" t="str">
        <f>VLOOKUP(Tabela1[[#This Row],[CO_PAIS]],'[1]nome do paixs'!$A:$B,2,0)</f>
        <v>Canadá</v>
      </c>
      <c r="J1166" t="s">
        <v>12</v>
      </c>
    </row>
    <row r="1167" spans="1:10">
      <c r="A1167">
        <v>2025</v>
      </c>
      <c r="B1167">
        <v>6</v>
      </c>
      <c r="C1167">
        <v>8807</v>
      </c>
      <c r="D1167">
        <v>190</v>
      </c>
      <c r="E1167" t="s">
        <v>10</v>
      </c>
      <c r="F1167">
        <v>3454102</v>
      </c>
      <c r="G1167" s="1">
        <v>6849</v>
      </c>
      <c r="H1167" s="2">
        <v>5016987</v>
      </c>
      <c r="I1167" t="str">
        <f>VLOOKUP(Tabela1[[#This Row],[CO_PAIS]],'[1]nome do paixs'!$A:$B,2,0)</f>
        <v>Coreia do Sul</v>
      </c>
      <c r="J1167" t="s">
        <v>11</v>
      </c>
    </row>
    <row r="1168" spans="1:10">
      <c r="A1168">
        <v>2025</v>
      </c>
      <c r="B1168">
        <v>6</v>
      </c>
      <c r="C1168">
        <v>8807</v>
      </c>
      <c r="D1168">
        <v>275</v>
      </c>
      <c r="E1168" t="s">
        <v>10</v>
      </c>
      <c r="F1168">
        <v>3408504</v>
      </c>
      <c r="G1168" s="1">
        <v>0</v>
      </c>
      <c r="H1168" s="2">
        <v>1343</v>
      </c>
      <c r="I1168" t="str">
        <f>VLOOKUP(Tabela1[[#This Row],[CO_PAIS]],'[1]nome do paixs'!$A:$B,2,0)</f>
        <v>França</v>
      </c>
      <c r="J1168" t="s">
        <v>14</v>
      </c>
    </row>
    <row r="1169" spans="1:10">
      <c r="A1169">
        <v>2025</v>
      </c>
      <c r="B1169">
        <v>6</v>
      </c>
      <c r="C1169">
        <v>8807</v>
      </c>
      <c r="D1169">
        <v>676</v>
      </c>
      <c r="E1169" t="s">
        <v>10</v>
      </c>
      <c r="F1169">
        <v>3454102</v>
      </c>
      <c r="G1169" s="1">
        <v>3395</v>
      </c>
      <c r="H1169" s="2">
        <v>323963</v>
      </c>
      <c r="I1169" t="str">
        <f>VLOOKUP(Tabela1[[#This Row],[CO_PAIS]],'[1]nome do paixs'!$A:$B,2,0)</f>
        <v>Rússia</v>
      </c>
      <c r="J1169" t="s">
        <v>11</v>
      </c>
    </row>
    <row r="1170" spans="1:10">
      <c r="A1170">
        <v>2025</v>
      </c>
      <c r="B1170">
        <v>6</v>
      </c>
      <c r="C1170">
        <v>8807</v>
      </c>
      <c r="D1170">
        <v>23</v>
      </c>
      <c r="E1170" t="s">
        <v>10</v>
      </c>
      <c r="F1170">
        <v>3449904</v>
      </c>
      <c r="G1170" s="1">
        <v>469</v>
      </c>
      <c r="H1170" s="2">
        <v>396560</v>
      </c>
      <c r="I1170" t="str">
        <f>VLOOKUP(Tabela1[[#This Row],[CO_PAIS]],'[1]nome do paixs'!$A:$B,2,0)</f>
        <v>Alemanha</v>
      </c>
      <c r="J1170" t="s">
        <v>12</v>
      </c>
    </row>
    <row r="1171" spans="1:10">
      <c r="A1171">
        <v>2025</v>
      </c>
      <c r="B1171">
        <v>6</v>
      </c>
      <c r="C1171">
        <v>8807</v>
      </c>
      <c r="D1171">
        <v>741</v>
      </c>
      <c r="E1171" t="s">
        <v>10</v>
      </c>
      <c r="F1171">
        <v>3449904</v>
      </c>
      <c r="G1171" s="1">
        <v>181</v>
      </c>
      <c r="H1171" s="2">
        <v>225390</v>
      </c>
      <c r="I1171" t="str">
        <f>VLOOKUP(Tabela1[[#This Row],[CO_PAIS]],'[1]nome do paixs'!$A:$B,2,0)</f>
        <v>Singapura</v>
      </c>
      <c r="J1171" t="s">
        <v>12</v>
      </c>
    </row>
    <row r="1172" spans="1:10">
      <c r="A1172">
        <v>2025</v>
      </c>
      <c r="B1172">
        <v>6</v>
      </c>
      <c r="C1172">
        <v>8807</v>
      </c>
      <c r="D1172">
        <v>386</v>
      </c>
      <c r="E1172" t="s">
        <v>10</v>
      </c>
      <c r="F1172">
        <v>3454102</v>
      </c>
      <c r="G1172" s="1">
        <v>1152</v>
      </c>
      <c r="H1172" s="2">
        <v>3269570</v>
      </c>
      <c r="I1172" t="str">
        <f>VLOOKUP(Tabela1[[#This Row],[CO_PAIS]],'[1]nome do paixs'!$A:$B,2,0)</f>
        <v>Itália</v>
      </c>
      <c r="J1172" t="s">
        <v>11</v>
      </c>
    </row>
    <row r="1173" spans="1:10">
      <c r="A1173">
        <v>2025</v>
      </c>
      <c r="B1173">
        <v>6</v>
      </c>
      <c r="C1173">
        <v>8807</v>
      </c>
      <c r="D1173">
        <v>72</v>
      </c>
      <c r="E1173" t="s">
        <v>10</v>
      </c>
      <c r="F1173">
        <v>3408504</v>
      </c>
      <c r="G1173" s="1">
        <v>7</v>
      </c>
      <c r="H1173" s="2">
        <v>6334</v>
      </c>
      <c r="I1173" t="str">
        <f>VLOOKUP(Tabela1[[#This Row],[CO_PAIS]],'[1]nome do paixs'!$A:$B,2,0)</f>
        <v>Áustria</v>
      </c>
      <c r="J1173" t="s">
        <v>14</v>
      </c>
    </row>
    <row r="1174" spans="1:10">
      <c r="A1174">
        <v>2025</v>
      </c>
      <c r="B1174">
        <v>6</v>
      </c>
      <c r="C1174">
        <v>8807</v>
      </c>
      <c r="D1174">
        <v>160</v>
      </c>
      <c r="E1174" t="s">
        <v>10</v>
      </c>
      <c r="F1174">
        <v>3449904</v>
      </c>
      <c r="G1174" s="1">
        <v>0</v>
      </c>
      <c r="H1174" s="2">
        <v>900</v>
      </c>
      <c r="I1174" t="str">
        <f>VLOOKUP(Tabela1[[#This Row],[CO_PAIS]],'[1]nome do paixs'!$A:$B,2,0)</f>
        <v>China</v>
      </c>
      <c r="J1174" t="s">
        <v>12</v>
      </c>
    </row>
    <row r="1175" spans="1:10">
      <c r="A1175">
        <v>2025</v>
      </c>
      <c r="B1175">
        <v>6</v>
      </c>
      <c r="C1175">
        <v>8807</v>
      </c>
      <c r="D1175">
        <v>249</v>
      </c>
      <c r="E1175" t="s">
        <v>10</v>
      </c>
      <c r="F1175">
        <v>3454102</v>
      </c>
      <c r="G1175" s="1">
        <v>32603</v>
      </c>
      <c r="H1175" s="2">
        <v>10029944</v>
      </c>
      <c r="I1175" t="str">
        <f>VLOOKUP(Tabela1[[#This Row],[CO_PAIS]],'[1]nome do paixs'!$A:$B,2,0)</f>
        <v>Estados Unidos</v>
      </c>
      <c r="J1175" t="s">
        <v>11</v>
      </c>
    </row>
    <row r="1176" spans="1:10">
      <c r="A1176">
        <v>2025</v>
      </c>
      <c r="B1176">
        <v>6</v>
      </c>
      <c r="C1176">
        <v>8807</v>
      </c>
      <c r="D1176">
        <v>249</v>
      </c>
      <c r="E1176" t="s">
        <v>10</v>
      </c>
      <c r="F1176">
        <v>3408504</v>
      </c>
      <c r="G1176" s="1">
        <v>56</v>
      </c>
      <c r="H1176" s="2">
        <v>40164</v>
      </c>
      <c r="I1176" t="str">
        <f>VLOOKUP(Tabela1[[#This Row],[CO_PAIS]],'[1]nome do paixs'!$A:$B,2,0)</f>
        <v>Estados Unidos</v>
      </c>
      <c r="J1176" t="s">
        <v>14</v>
      </c>
    </row>
    <row r="1177" spans="1:10">
      <c r="A1177">
        <v>2025</v>
      </c>
      <c r="B1177">
        <v>6</v>
      </c>
      <c r="C1177">
        <v>8807</v>
      </c>
      <c r="D1177">
        <v>190</v>
      </c>
      <c r="E1177" t="s">
        <v>10</v>
      </c>
      <c r="F1177">
        <v>3449904</v>
      </c>
      <c r="G1177" s="1">
        <v>48</v>
      </c>
      <c r="H1177" s="2">
        <v>169807</v>
      </c>
      <c r="I1177" t="str">
        <f>VLOOKUP(Tabela1[[#This Row],[CO_PAIS]],'[1]nome do paixs'!$A:$B,2,0)</f>
        <v>Coreia do Sul</v>
      </c>
      <c r="J1177" t="s">
        <v>12</v>
      </c>
    </row>
    <row r="1178" spans="1:10">
      <c r="A1178">
        <v>2025</v>
      </c>
      <c r="B1178">
        <v>6</v>
      </c>
      <c r="C1178">
        <v>8807</v>
      </c>
      <c r="D1178">
        <v>245</v>
      </c>
      <c r="E1178" t="s">
        <v>10</v>
      </c>
      <c r="F1178">
        <v>3408504</v>
      </c>
      <c r="G1178" s="1">
        <v>1</v>
      </c>
      <c r="H1178" s="2">
        <v>3753</v>
      </c>
      <c r="I1178" t="str">
        <f>VLOOKUP(Tabela1[[#This Row],[CO_PAIS]],'[1]nome do paixs'!$A:$B,2,0)</f>
        <v>Espanha</v>
      </c>
      <c r="J1178" t="s">
        <v>14</v>
      </c>
    </row>
    <row r="1179" spans="1:10">
      <c r="A1179">
        <v>2025</v>
      </c>
      <c r="B1179">
        <v>6</v>
      </c>
      <c r="C1179">
        <v>8807</v>
      </c>
      <c r="D1179">
        <v>607</v>
      </c>
      <c r="E1179" t="s">
        <v>10</v>
      </c>
      <c r="F1179">
        <v>3449904</v>
      </c>
      <c r="G1179" s="1">
        <v>29</v>
      </c>
      <c r="H1179" s="2">
        <v>36201</v>
      </c>
      <c r="I1179" t="str">
        <f>VLOOKUP(Tabela1[[#This Row],[CO_PAIS]],'[1]nome do paixs'!$A:$B,2,0)</f>
        <v>Portugal</v>
      </c>
      <c r="J1179" t="s">
        <v>12</v>
      </c>
    </row>
    <row r="1180" spans="1:10">
      <c r="A1180">
        <v>2025</v>
      </c>
      <c r="B1180">
        <v>6</v>
      </c>
      <c r="C1180">
        <v>8807</v>
      </c>
      <c r="D1180">
        <v>399</v>
      </c>
      <c r="E1180" t="s">
        <v>10</v>
      </c>
      <c r="F1180">
        <v>3408504</v>
      </c>
      <c r="G1180" s="1">
        <v>0</v>
      </c>
      <c r="H1180" s="2">
        <v>660</v>
      </c>
      <c r="I1180" t="str">
        <f>VLOOKUP(Tabela1[[#This Row],[CO_PAIS]],'[1]nome do paixs'!$A:$B,2,0)</f>
        <v>Japão</v>
      </c>
      <c r="J1180" t="s">
        <v>14</v>
      </c>
    </row>
    <row r="1181" spans="1:10">
      <c r="A1181">
        <v>2025</v>
      </c>
      <c r="B1181">
        <v>6</v>
      </c>
      <c r="C1181">
        <v>8807</v>
      </c>
      <c r="D1181">
        <v>827</v>
      </c>
      <c r="E1181" t="s">
        <v>10</v>
      </c>
      <c r="F1181">
        <v>3449904</v>
      </c>
      <c r="G1181" s="1">
        <v>1</v>
      </c>
      <c r="H1181" s="2">
        <v>2305</v>
      </c>
      <c r="I1181" t="str">
        <f>VLOOKUP(Tabela1[[#This Row],[CO_PAIS]],'[1]nome do paixs'!$A:$B,2,0)</f>
        <v>Turquia</v>
      </c>
      <c r="J1181" t="s">
        <v>12</v>
      </c>
    </row>
    <row r="1182" spans="1:10">
      <c r="A1182">
        <v>2024</v>
      </c>
      <c r="B1182">
        <v>6</v>
      </c>
      <c r="C1182">
        <v>8807</v>
      </c>
      <c r="D1182">
        <v>676</v>
      </c>
      <c r="E1182" t="s">
        <v>10</v>
      </c>
      <c r="F1182">
        <v>3454102</v>
      </c>
      <c r="G1182" s="1">
        <v>2858</v>
      </c>
      <c r="H1182" s="2">
        <v>246610</v>
      </c>
      <c r="I1182" t="str">
        <f>VLOOKUP(Tabela1[[#This Row],[CO_PAIS]],'[1]nome do paixs'!$A:$B,2,0)</f>
        <v>Rússia</v>
      </c>
      <c r="J1182" t="s">
        <v>11</v>
      </c>
    </row>
    <row r="1183" spans="1:10">
      <c r="A1183">
        <v>2024</v>
      </c>
      <c r="B1183">
        <v>6</v>
      </c>
      <c r="C1183">
        <v>8807</v>
      </c>
      <c r="D1183">
        <v>767</v>
      </c>
      <c r="E1183" t="s">
        <v>10</v>
      </c>
      <c r="F1183">
        <v>3449904</v>
      </c>
      <c r="G1183" s="1">
        <v>6</v>
      </c>
      <c r="H1183" s="2">
        <v>9077</v>
      </c>
      <c r="I1183" t="str">
        <f>VLOOKUP(Tabela1[[#This Row],[CO_PAIS]],'[1]nome do paixs'!$A:$B,2,0)</f>
        <v>Suíça</v>
      </c>
      <c r="J1183" t="s">
        <v>12</v>
      </c>
    </row>
    <row r="1184" spans="1:10">
      <c r="A1184">
        <v>2024</v>
      </c>
      <c r="B1184">
        <v>6</v>
      </c>
      <c r="C1184">
        <v>8807</v>
      </c>
      <c r="D1184">
        <v>493</v>
      </c>
      <c r="E1184" t="s">
        <v>10</v>
      </c>
      <c r="F1184">
        <v>3454102</v>
      </c>
      <c r="G1184" s="1">
        <v>11134</v>
      </c>
      <c r="H1184" s="2">
        <v>4366376</v>
      </c>
      <c r="I1184" t="str">
        <f>VLOOKUP(Tabela1[[#This Row],[CO_PAIS]],'[1]nome do paixs'!$A:$B,2,0)</f>
        <v>México</v>
      </c>
      <c r="J1184" t="s">
        <v>11</v>
      </c>
    </row>
    <row r="1185" spans="1:10">
      <c r="A1185">
        <v>2024</v>
      </c>
      <c r="B1185">
        <v>6</v>
      </c>
      <c r="C1185">
        <v>8807</v>
      </c>
      <c r="D1185">
        <v>791</v>
      </c>
      <c r="E1185" t="s">
        <v>10</v>
      </c>
      <c r="F1185">
        <v>3424402</v>
      </c>
      <c r="G1185" s="1">
        <v>405</v>
      </c>
      <c r="H1185" s="2">
        <v>310978</v>
      </c>
      <c r="I1185" t="str">
        <f>VLOOKUP(Tabela1[[#This Row],[CO_PAIS]],'[1]nome do paixs'!$A:$B,2,0)</f>
        <v>Tcheca, República</v>
      </c>
      <c r="J1185" t="s">
        <v>13</v>
      </c>
    </row>
    <row r="1186" spans="1:10">
      <c r="A1186">
        <v>2024</v>
      </c>
      <c r="B1186">
        <v>6</v>
      </c>
      <c r="C1186">
        <v>8807</v>
      </c>
      <c r="D1186">
        <v>190</v>
      </c>
      <c r="E1186" t="s">
        <v>10</v>
      </c>
      <c r="F1186">
        <v>3454102</v>
      </c>
      <c r="G1186" s="1">
        <v>10318</v>
      </c>
      <c r="H1186" s="2">
        <v>7667183</v>
      </c>
      <c r="I1186" t="str">
        <f>VLOOKUP(Tabela1[[#This Row],[CO_PAIS]],'[1]nome do paixs'!$A:$B,2,0)</f>
        <v>Coreia do Sul</v>
      </c>
      <c r="J1186" t="s">
        <v>11</v>
      </c>
    </row>
    <row r="1187" spans="1:10">
      <c r="A1187">
        <v>2024</v>
      </c>
      <c r="B1187">
        <v>6</v>
      </c>
      <c r="C1187">
        <v>8807</v>
      </c>
      <c r="D1187">
        <v>245</v>
      </c>
      <c r="E1187" t="s">
        <v>10</v>
      </c>
      <c r="F1187">
        <v>3454102</v>
      </c>
      <c r="G1187" s="1">
        <v>1268</v>
      </c>
      <c r="H1187" s="2">
        <v>889935</v>
      </c>
      <c r="I1187" t="str">
        <f>VLOOKUP(Tabela1[[#This Row],[CO_PAIS]],'[1]nome do paixs'!$A:$B,2,0)</f>
        <v>Espanha</v>
      </c>
      <c r="J1187" t="s">
        <v>11</v>
      </c>
    </row>
    <row r="1188" spans="1:10">
      <c r="A1188">
        <v>2024</v>
      </c>
      <c r="B1188">
        <v>6</v>
      </c>
      <c r="C1188">
        <v>8807</v>
      </c>
      <c r="D1188">
        <v>275</v>
      </c>
      <c r="E1188" t="s">
        <v>10</v>
      </c>
      <c r="F1188">
        <v>3424402</v>
      </c>
      <c r="G1188" s="1">
        <v>502</v>
      </c>
      <c r="H1188" s="2">
        <v>776633</v>
      </c>
      <c r="I1188" t="str">
        <f>VLOOKUP(Tabela1[[#This Row],[CO_PAIS]],'[1]nome do paixs'!$A:$B,2,0)</f>
        <v>França</v>
      </c>
      <c r="J1188" t="s">
        <v>13</v>
      </c>
    </row>
    <row r="1189" spans="1:10">
      <c r="A1189">
        <v>2024</v>
      </c>
      <c r="B1189">
        <v>6</v>
      </c>
      <c r="C1189">
        <v>8807</v>
      </c>
      <c r="D1189">
        <v>399</v>
      </c>
      <c r="E1189" t="s">
        <v>10</v>
      </c>
      <c r="F1189">
        <v>3449904</v>
      </c>
      <c r="G1189" s="1">
        <v>267</v>
      </c>
      <c r="H1189" s="2">
        <v>231193</v>
      </c>
      <c r="I1189" t="str">
        <f>VLOOKUP(Tabela1[[#This Row],[CO_PAIS]],'[1]nome do paixs'!$A:$B,2,0)</f>
        <v>Japão</v>
      </c>
      <c r="J1189" t="s">
        <v>12</v>
      </c>
    </row>
    <row r="1190" spans="1:10">
      <c r="A1190">
        <v>2024</v>
      </c>
      <c r="B1190">
        <v>6</v>
      </c>
      <c r="C1190">
        <v>8807</v>
      </c>
      <c r="D1190">
        <v>87</v>
      </c>
      <c r="E1190" t="s">
        <v>10</v>
      </c>
      <c r="F1190">
        <v>3449904</v>
      </c>
      <c r="G1190" s="1">
        <v>1648</v>
      </c>
      <c r="H1190" s="2">
        <v>2321768</v>
      </c>
      <c r="I1190" t="str">
        <f>VLOOKUP(Tabela1[[#This Row],[CO_PAIS]],'[1]nome do paixs'!$A:$B,2,0)</f>
        <v>Bélgica</v>
      </c>
      <c r="J1190" t="s">
        <v>12</v>
      </c>
    </row>
    <row r="1191" spans="1:10">
      <c r="A1191">
        <v>2024</v>
      </c>
      <c r="B1191">
        <v>6</v>
      </c>
      <c r="C1191">
        <v>8807</v>
      </c>
      <c r="D1191">
        <v>275</v>
      </c>
      <c r="E1191" t="s">
        <v>10</v>
      </c>
      <c r="F1191">
        <v>3454102</v>
      </c>
      <c r="G1191" s="1">
        <v>2234</v>
      </c>
      <c r="H1191" s="2">
        <v>3644801</v>
      </c>
      <c r="I1191" t="str">
        <f>VLOOKUP(Tabela1[[#This Row],[CO_PAIS]],'[1]nome do paixs'!$A:$B,2,0)</f>
        <v>França</v>
      </c>
      <c r="J1191" t="s">
        <v>11</v>
      </c>
    </row>
    <row r="1192" spans="1:10">
      <c r="A1192">
        <v>2024</v>
      </c>
      <c r="B1192">
        <v>6</v>
      </c>
      <c r="C1192">
        <v>8807</v>
      </c>
      <c r="D1192">
        <v>827</v>
      </c>
      <c r="E1192" t="s">
        <v>10</v>
      </c>
      <c r="F1192">
        <v>3449904</v>
      </c>
      <c r="G1192" s="1">
        <v>11</v>
      </c>
      <c r="H1192" s="2">
        <v>51520</v>
      </c>
      <c r="I1192" t="str">
        <f>VLOOKUP(Tabela1[[#This Row],[CO_PAIS]],'[1]nome do paixs'!$A:$B,2,0)</f>
        <v>Turquia</v>
      </c>
      <c r="J1192" t="s">
        <v>12</v>
      </c>
    </row>
    <row r="1193" spans="1:10">
      <c r="A1193">
        <v>2024</v>
      </c>
      <c r="B1193">
        <v>6</v>
      </c>
      <c r="C1193">
        <v>8807</v>
      </c>
      <c r="D1193">
        <v>399</v>
      </c>
      <c r="E1193" t="s">
        <v>10</v>
      </c>
      <c r="F1193">
        <v>3454102</v>
      </c>
      <c r="G1193" s="1">
        <v>1905</v>
      </c>
      <c r="H1193" s="2">
        <v>1160075</v>
      </c>
      <c r="I1193" t="str">
        <f>VLOOKUP(Tabela1[[#This Row],[CO_PAIS]],'[1]nome do paixs'!$A:$B,2,0)</f>
        <v>Japão</v>
      </c>
      <c r="J1193" t="s">
        <v>11</v>
      </c>
    </row>
    <row r="1194" spans="1:10">
      <c r="A1194">
        <v>2024</v>
      </c>
      <c r="B1194">
        <v>6</v>
      </c>
      <c r="C1194">
        <v>8807</v>
      </c>
      <c r="D1194">
        <v>386</v>
      </c>
      <c r="E1194" t="s">
        <v>10</v>
      </c>
      <c r="F1194">
        <v>3454102</v>
      </c>
      <c r="G1194" s="1">
        <v>384</v>
      </c>
      <c r="H1194" s="2">
        <v>1077468</v>
      </c>
      <c r="I1194" t="str">
        <f>VLOOKUP(Tabela1[[#This Row],[CO_PAIS]],'[1]nome do paixs'!$A:$B,2,0)</f>
        <v>Itália</v>
      </c>
      <c r="J1194" t="s">
        <v>11</v>
      </c>
    </row>
    <row r="1195" spans="1:10">
      <c r="A1195">
        <v>2024</v>
      </c>
      <c r="B1195">
        <v>6</v>
      </c>
      <c r="C1195">
        <v>8807</v>
      </c>
      <c r="D1195">
        <v>249</v>
      </c>
      <c r="E1195" t="s">
        <v>10</v>
      </c>
      <c r="F1195">
        <v>3449904</v>
      </c>
      <c r="G1195" s="1">
        <v>5718</v>
      </c>
      <c r="H1195" s="2">
        <v>5928921</v>
      </c>
      <c r="I1195" t="str">
        <f>VLOOKUP(Tabela1[[#This Row],[CO_PAIS]],'[1]nome do paixs'!$A:$B,2,0)</f>
        <v>Estados Unidos</v>
      </c>
      <c r="J1195" t="s">
        <v>12</v>
      </c>
    </row>
    <row r="1196" spans="1:10">
      <c r="A1196">
        <v>2024</v>
      </c>
      <c r="B1196">
        <v>6</v>
      </c>
      <c r="C1196">
        <v>8807</v>
      </c>
      <c r="D1196">
        <v>245</v>
      </c>
      <c r="E1196" t="s">
        <v>10</v>
      </c>
      <c r="F1196">
        <v>3424402</v>
      </c>
      <c r="G1196" s="1">
        <v>272</v>
      </c>
      <c r="H1196" s="2">
        <v>81754</v>
      </c>
      <c r="I1196" t="str">
        <f>VLOOKUP(Tabela1[[#This Row],[CO_PAIS]],'[1]nome do paixs'!$A:$B,2,0)</f>
        <v>Espanha</v>
      </c>
      <c r="J1196" t="s">
        <v>13</v>
      </c>
    </row>
    <row r="1197" spans="1:10">
      <c r="A1197">
        <v>2024</v>
      </c>
      <c r="B1197">
        <v>6</v>
      </c>
      <c r="C1197">
        <v>8807</v>
      </c>
      <c r="D1197">
        <v>249</v>
      </c>
      <c r="E1197" t="s">
        <v>10</v>
      </c>
      <c r="F1197">
        <v>3454102</v>
      </c>
      <c r="G1197" s="1">
        <v>24279</v>
      </c>
      <c r="H1197" s="2">
        <v>6142778</v>
      </c>
      <c r="I1197" t="str">
        <f>VLOOKUP(Tabela1[[#This Row],[CO_PAIS]],'[1]nome do paixs'!$A:$B,2,0)</f>
        <v>Estados Unidos</v>
      </c>
      <c r="J1197" t="s">
        <v>11</v>
      </c>
    </row>
    <row r="1198" spans="1:10">
      <c r="A1198">
        <v>2024</v>
      </c>
      <c r="B1198">
        <v>6</v>
      </c>
      <c r="C1198">
        <v>8807</v>
      </c>
      <c r="D1198">
        <v>607</v>
      </c>
      <c r="E1198" t="s">
        <v>10</v>
      </c>
      <c r="F1198">
        <v>3454102</v>
      </c>
      <c r="G1198" s="1">
        <v>16794</v>
      </c>
      <c r="H1198" s="2">
        <v>6049095</v>
      </c>
      <c r="I1198" t="str">
        <f>VLOOKUP(Tabela1[[#This Row],[CO_PAIS]],'[1]nome do paixs'!$A:$B,2,0)</f>
        <v>Portugal</v>
      </c>
      <c r="J1198" t="s">
        <v>11</v>
      </c>
    </row>
    <row r="1199" spans="1:10">
      <c r="A1199">
        <v>2024</v>
      </c>
      <c r="B1199">
        <v>6</v>
      </c>
      <c r="C1199">
        <v>8807</v>
      </c>
      <c r="D1199">
        <v>149</v>
      </c>
      <c r="E1199" t="s">
        <v>10</v>
      </c>
      <c r="F1199">
        <v>3449904</v>
      </c>
      <c r="G1199" s="1">
        <v>18</v>
      </c>
      <c r="H1199" s="2">
        <v>38597</v>
      </c>
      <c r="I1199" t="str">
        <f>VLOOKUP(Tabela1[[#This Row],[CO_PAIS]],'[1]nome do paixs'!$A:$B,2,0)</f>
        <v>Canadá</v>
      </c>
      <c r="J1199" t="s">
        <v>12</v>
      </c>
    </row>
    <row r="1200" spans="1:10">
      <c r="A1200">
        <v>2024</v>
      </c>
      <c r="B1200">
        <v>6</v>
      </c>
      <c r="C1200">
        <v>8807</v>
      </c>
      <c r="D1200">
        <v>628</v>
      </c>
      <c r="E1200" t="s">
        <v>10</v>
      </c>
      <c r="F1200">
        <v>3449904</v>
      </c>
      <c r="G1200" s="1">
        <v>427</v>
      </c>
      <c r="H1200" s="2">
        <v>485109</v>
      </c>
      <c r="I1200" t="str">
        <f>VLOOKUP(Tabela1[[#This Row],[CO_PAIS]],'[1]nome do paixs'!$A:$B,2,0)</f>
        <v>Reino Unido</v>
      </c>
      <c r="J1200" t="s">
        <v>12</v>
      </c>
    </row>
    <row r="1201" spans="1:10">
      <c r="A1201">
        <v>2024</v>
      </c>
      <c r="B1201">
        <v>6</v>
      </c>
      <c r="C1201">
        <v>8807</v>
      </c>
      <c r="D1201">
        <v>105</v>
      </c>
      <c r="E1201" t="s">
        <v>10</v>
      </c>
      <c r="F1201">
        <v>3449904</v>
      </c>
      <c r="G1201" s="1">
        <v>9985</v>
      </c>
      <c r="H1201" s="2">
        <v>6895546</v>
      </c>
      <c r="I1201" t="str">
        <f>VLOOKUP(Tabela1[[#This Row],[CO_PAIS]],'[1]nome do paixs'!$A:$B,2,0)</f>
        <v>Brasil</v>
      </c>
      <c r="J1201" t="s">
        <v>12</v>
      </c>
    </row>
    <row r="1202" spans="1:10">
      <c r="A1202">
        <v>2024</v>
      </c>
      <c r="B1202">
        <v>6</v>
      </c>
      <c r="C1202">
        <v>8807</v>
      </c>
      <c r="D1202">
        <v>23</v>
      </c>
      <c r="E1202" t="s">
        <v>10</v>
      </c>
      <c r="F1202">
        <v>3454102</v>
      </c>
      <c r="G1202" s="1">
        <v>24938</v>
      </c>
      <c r="H1202" s="2">
        <v>2153210</v>
      </c>
      <c r="I1202" t="str">
        <f>VLOOKUP(Tabela1[[#This Row],[CO_PAIS]],'[1]nome do paixs'!$A:$B,2,0)</f>
        <v>Alemanha</v>
      </c>
      <c r="J1202" t="s">
        <v>11</v>
      </c>
    </row>
    <row r="1203" spans="1:10">
      <c r="A1203">
        <v>2024</v>
      </c>
      <c r="B1203">
        <v>6</v>
      </c>
      <c r="C1203">
        <v>8807</v>
      </c>
      <c r="D1203">
        <v>245</v>
      </c>
      <c r="E1203" t="s">
        <v>10</v>
      </c>
      <c r="F1203">
        <v>3449904</v>
      </c>
      <c r="G1203" s="1">
        <v>5132</v>
      </c>
      <c r="H1203" s="2">
        <v>2427763</v>
      </c>
      <c r="I1203" t="str">
        <f>VLOOKUP(Tabela1[[#This Row],[CO_PAIS]],'[1]nome do paixs'!$A:$B,2,0)</f>
        <v>Espanha</v>
      </c>
      <c r="J1203" t="s">
        <v>12</v>
      </c>
    </row>
    <row r="1204" spans="1:10">
      <c r="A1204">
        <v>2024</v>
      </c>
      <c r="B1204">
        <v>6</v>
      </c>
      <c r="C1204">
        <v>8807</v>
      </c>
      <c r="D1204">
        <v>791</v>
      </c>
      <c r="E1204" t="s">
        <v>10</v>
      </c>
      <c r="F1204">
        <v>3449904</v>
      </c>
      <c r="G1204" s="1">
        <v>31</v>
      </c>
      <c r="H1204" s="2">
        <v>35237</v>
      </c>
      <c r="I1204" t="str">
        <f>VLOOKUP(Tabela1[[#This Row],[CO_PAIS]],'[1]nome do paixs'!$A:$B,2,0)</f>
        <v>Tcheca, República</v>
      </c>
      <c r="J1204" t="s">
        <v>12</v>
      </c>
    </row>
    <row r="1205" spans="1:10">
      <c r="A1205">
        <v>2024</v>
      </c>
      <c r="B1205">
        <v>6</v>
      </c>
      <c r="C1205">
        <v>8807</v>
      </c>
      <c r="D1205">
        <v>386</v>
      </c>
      <c r="E1205" t="s">
        <v>10</v>
      </c>
      <c r="F1205">
        <v>3449904</v>
      </c>
      <c r="G1205" s="1">
        <v>94</v>
      </c>
      <c r="H1205" s="2">
        <v>54712</v>
      </c>
      <c r="I1205" t="str">
        <f>VLOOKUP(Tabela1[[#This Row],[CO_PAIS]],'[1]nome do paixs'!$A:$B,2,0)</f>
        <v>Itália</v>
      </c>
      <c r="J1205" t="s">
        <v>12</v>
      </c>
    </row>
    <row r="1206" spans="1:10">
      <c r="A1206">
        <v>2024</v>
      </c>
      <c r="B1206">
        <v>6</v>
      </c>
      <c r="C1206">
        <v>8807</v>
      </c>
      <c r="D1206">
        <v>474</v>
      </c>
      <c r="E1206" t="s">
        <v>10</v>
      </c>
      <c r="F1206">
        <v>3454102</v>
      </c>
      <c r="G1206" s="1">
        <v>184</v>
      </c>
      <c r="H1206" s="2">
        <v>483183</v>
      </c>
      <c r="I1206" t="str">
        <f>VLOOKUP(Tabela1[[#This Row],[CO_PAIS]],'[1]nome do paixs'!$A:$B,2,0)</f>
        <v>Marrocos</v>
      </c>
      <c r="J1206" t="s">
        <v>11</v>
      </c>
    </row>
    <row r="1207" spans="1:10">
      <c r="A1207">
        <v>2024</v>
      </c>
      <c r="B1207">
        <v>6</v>
      </c>
      <c r="C1207">
        <v>8807</v>
      </c>
      <c r="D1207">
        <v>190</v>
      </c>
      <c r="E1207" t="s">
        <v>10</v>
      </c>
      <c r="F1207">
        <v>3424402</v>
      </c>
      <c r="G1207" s="1">
        <v>98</v>
      </c>
      <c r="H1207" s="2">
        <v>38519</v>
      </c>
      <c r="I1207" t="str">
        <f>VLOOKUP(Tabela1[[#This Row],[CO_PAIS]],'[1]nome do paixs'!$A:$B,2,0)</f>
        <v>Coreia do Sul</v>
      </c>
      <c r="J1207" t="s">
        <v>13</v>
      </c>
    </row>
    <row r="1208" spans="1:10">
      <c r="A1208">
        <v>2024</v>
      </c>
      <c r="B1208">
        <v>6</v>
      </c>
      <c r="C1208">
        <v>8807</v>
      </c>
      <c r="D1208">
        <v>23</v>
      </c>
      <c r="E1208" t="s">
        <v>10</v>
      </c>
      <c r="F1208">
        <v>3449904</v>
      </c>
      <c r="G1208" s="1">
        <v>238</v>
      </c>
      <c r="H1208" s="2">
        <v>281380</v>
      </c>
      <c r="I1208" t="str">
        <f>VLOOKUP(Tabela1[[#This Row],[CO_PAIS]],'[1]nome do paixs'!$A:$B,2,0)</f>
        <v>Alemanha</v>
      </c>
      <c r="J1208" t="s">
        <v>12</v>
      </c>
    </row>
    <row r="1209" spans="1:10">
      <c r="A1209">
        <v>2024</v>
      </c>
      <c r="B1209">
        <v>6</v>
      </c>
      <c r="C1209">
        <v>8807</v>
      </c>
      <c r="D1209">
        <v>87</v>
      </c>
      <c r="E1209" t="s">
        <v>10</v>
      </c>
      <c r="F1209">
        <v>3424402</v>
      </c>
      <c r="G1209" s="1">
        <v>9</v>
      </c>
      <c r="H1209" s="2">
        <v>16779</v>
      </c>
      <c r="I1209" t="str">
        <f>VLOOKUP(Tabela1[[#This Row],[CO_PAIS]],'[1]nome do paixs'!$A:$B,2,0)</f>
        <v>Bélgica</v>
      </c>
      <c r="J1209" t="s">
        <v>13</v>
      </c>
    </row>
    <row r="1210" spans="1:10">
      <c r="A1210">
        <v>2024</v>
      </c>
      <c r="B1210">
        <v>6</v>
      </c>
      <c r="C1210">
        <v>8807</v>
      </c>
      <c r="D1210">
        <v>149</v>
      </c>
      <c r="E1210" t="s">
        <v>10</v>
      </c>
      <c r="F1210">
        <v>3454102</v>
      </c>
      <c r="G1210" s="1">
        <v>6</v>
      </c>
      <c r="H1210" s="2">
        <v>17948</v>
      </c>
      <c r="I1210" t="str">
        <f>VLOOKUP(Tabela1[[#This Row],[CO_PAIS]],'[1]nome do paixs'!$A:$B,2,0)</f>
        <v>Canadá</v>
      </c>
      <c r="J1210" t="s">
        <v>11</v>
      </c>
    </row>
    <row r="1211" spans="1:10">
      <c r="A1211">
        <v>2024</v>
      </c>
      <c r="B1211">
        <v>6</v>
      </c>
      <c r="C1211">
        <v>8807</v>
      </c>
      <c r="D1211">
        <v>275</v>
      </c>
      <c r="E1211" t="s">
        <v>10</v>
      </c>
      <c r="F1211">
        <v>3449904</v>
      </c>
      <c r="G1211" s="1">
        <v>265</v>
      </c>
      <c r="H1211" s="2">
        <v>358745</v>
      </c>
      <c r="I1211" t="str">
        <f>VLOOKUP(Tabela1[[#This Row],[CO_PAIS]],'[1]nome do paixs'!$A:$B,2,0)</f>
        <v>França</v>
      </c>
      <c r="J1211" t="s">
        <v>12</v>
      </c>
    </row>
    <row r="1212" spans="1:10">
      <c r="A1212">
        <v>2024</v>
      </c>
      <c r="B1212">
        <v>6</v>
      </c>
      <c r="C1212">
        <v>8807</v>
      </c>
      <c r="D1212">
        <v>72</v>
      </c>
      <c r="E1212" t="s">
        <v>10</v>
      </c>
      <c r="F1212">
        <v>3454102</v>
      </c>
      <c r="G1212" s="1">
        <v>13971</v>
      </c>
      <c r="H1212" s="2">
        <v>2289866</v>
      </c>
      <c r="I1212" t="str">
        <f>VLOOKUP(Tabela1[[#This Row],[CO_PAIS]],'[1]nome do paixs'!$A:$B,2,0)</f>
        <v>Áustria</v>
      </c>
      <c r="J1212" t="s">
        <v>11</v>
      </c>
    </row>
    <row r="1213" spans="1:10">
      <c r="A1213">
        <v>2024</v>
      </c>
      <c r="B1213">
        <v>6</v>
      </c>
      <c r="C1213">
        <v>8807</v>
      </c>
      <c r="D1213">
        <v>249</v>
      </c>
      <c r="E1213" t="s">
        <v>10</v>
      </c>
      <c r="F1213">
        <v>3424402</v>
      </c>
      <c r="G1213" s="1">
        <v>418</v>
      </c>
      <c r="H1213" s="2">
        <v>97088</v>
      </c>
      <c r="I1213" t="str">
        <f>VLOOKUP(Tabela1[[#This Row],[CO_PAIS]],'[1]nome do paixs'!$A:$B,2,0)</f>
        <v>Estados Unidos</v>
      </c>
      <c r="J1213" t="s">
        <v>13</v>
      </c>
    </row>
    <row r="1214" spans="1:10">
      <c r="A1214">
        <v>2024</v>
      </c>
      <c r="B1214">
        <v>6</v>
      </c>
      <c r="C1214">
        <v>8807</v>
      </c>
      <c r="D1214">
        <v>375</v>
      </c>
      <c r="E1214" t="s">
        <v>10</v>
      </c>
      <c r="F1214">
        <v>3454102</v>
      </c>
      <c r="G1214" s="1">
        <v>100</v>
      </c>
      <c r="H1214" s="2">
        <v>25739</v>
      </c>
      <c r="I1214" t="str">
        <f>VLOOKUP(Tabela1[[#This Row],[CO_PAIS]],'[1]nome do paixs'!$A:$B,2,0)</f>
        <v>Irlanda</v>
      </c>
      <c r="J1214" t="s">
        <v>11</v>
      </c>
    </row>
    <row r="1215" spans="1:10">
      <c r="A1215">
        <v>2024</v>
      </c>
      <c r="B1215">
        <v>6</v>
      </c>
      <c r="C1215">
        <v>8807</v>
      </c>
      <c r="D1215">
        <v>158</v>
      </c>
      <c r="E1215" t="s">
        <v>10</v>
      </c>
      <c r="F1215">
        <v>3449904</v>
      </c>
      <c r="G1215" s="1">
        <v>108</v>
      </c>
      <c r="H1215" s="2">
        <v>524877</v>
      </c>
      <c r="I1215" t="str">
        <f>VLOOKUP(Tabela1[[#This Row],[CO_PAIS]],'[1]nome do paixs'!$A:$B,2,0)</f>
        <v>Chile</v>
      </c>
      <c r="J1215" t="s">
        <v>12</v>
      </c>
    </row>
    <row r="1216" spans="1:10">
      <c r="A1216">
        <v>2024</v>
      </c>
      <c r="B1216">
        <v>6</v>
      </c>
      <c r="C1216">
        <v>8807</v>
      </c>
      <c r="D1216">
        <v>72</v>
      </c>
      <c r="E1216" t="s">
        <v>10</v>
      </c>
      <c r="F1216">
        <v>3449904</v>
      </c>
      <c r="G1216" s="1">
        <v>0</v>
      </c>
      <c r="H1216" s="2">
        <v>3176</v>
      </c>
      <c r="I1216" t="str">
        <f>VLOOKUP(Tabela1[[#This Row],[CO_PAIS]],'[1]nome do paixs'!$A:$B,2,0)</f>
        <v>Áustria</v>
      </c>
      <c r="J1216" t="s">
        <v>12</v>
      </c>
    </row>
    <row r="1217" spans="1:10">
      <c r="A1217">
        <v>2024</v>
      </c>
      <c r="B1217">
        <v>6</v>
      </c>
      <c r="C1217">
        <v>8807</v>
      </c>
      <c r="D1217">
        <v>607</v>
      </c>
      <c r="E1217" t="s">
        <v>10</v>
      </c>
      <c r="F1217">
        <v>3449904</v>
      </c>
      <c r="G1217" s="1">
        <v>19</v>
      </c>
      <c r="H1217" s="2">
        <v>22676</v>
      </c>
      <c r="I1217" t="str">
        <f>VLOOKUP(Tabela1[[#This Row],[CO_PAIS]],'[1]nome do paixs'!$A:$B,2,0)</f>
        <v>Portugal</v>
      </c>
      <c r="J1217" t="s">
        <v>12</v>
      </c>
    </row>
    <row r="1218" spans="1:10">
      <c r="A1218">
        <v>2024</v>
      </c>
      <c r="B1218">
        <v>6</v>
      </c>
      <c r="C1218">
        <v>8807</v>
      </c>
      <c r="D1218">
        <v>87</v>
      </c>
      <c r="E1218" t="s">
        <v>10</v>
      </c>
      <c r="F1218">
        <v>3454102</v>
      </c>
      <c r="G1218" s="1">
        <v>2382</v>
      </c>
      <c r="H1218" s="2">
        <v>2063117</v>
      </c>
      <c r="I1218" t="str">
        <f>VLOOKUP(Tabela1[[#This Row],[CO_PAIS]],'[1]nome do paixs'!$A:$B,2,0)</f>
        <v>Bélgica</v>
      </c>
      <c r="J1218" t="s">
        <v>11</v>
      </c>
    </row>
    <row r="1219" spans="1:10">
      <c r="A1219">
        <v>2024</v>
      </c>
      <c r="B1219">
        <v>6</v>
      </c>
      <c r="C1219">
        <v>8807</v>
      </c>
      <c r="D1219">
        <v>23</v>
      </c>
      <c r="E1219" t="s">
        <v>10</v>
      </c>
      <c r="F1219">
        <v>3424402</v>
      </c>
      <c r="G1219" s="1">
        <v>19</v>
      </c>
      <c r="H1219" s="2">
        <v>34926</v>
      </c>
      <c r="I1219" t="str">
        <f>VLOOKUP(Tabela1[[#This Row],[CO_PAIS]],'[1]nome do paixs'!$A:$B,2,0)</f>
        <v>Alemanha</v>
      </c>
      <c r="J1219" t="s">
        <v>13</v>
      </c>
    </row>
    <row r="1220" spans="1:10">
      <c r="A1220">
        <v>2024</v>
      </c>
      <c r="B1220">
        <v>6</v>
      </c>
      <c r="C1220">
        <v>8807</v>
      </c>
      <c r="D1220">
        <v>160</v>
      </c>
      <c r="E1220" t="s">
        <v>10</v>
      </c>
      <c r="F1220">
        <v>3449904</v>
      </c>
      <c r="G1220" s="1">
        <v>99</v>
      </c>
      <c r="H1220" s="2">
        <v>11247</v>
      </c>
      <c r="I1220" t="str">
        <f>VLOOKUP(Tabela1[[#This Row],[CO_PAIS]],'[1]nome do paixs'!$A:$B,2,0)</f>
        <v>China</v>
      </c>
      <c r="J1220" t="s">
        <v>12</v>
      </c>
    </row>
    <row r="1221" spans="1:10">
      <c r="A1221">
        <v>2024</v>
      </c>
      <c r="B1221">
        <v>6</v>
      </c>
      <c r="C1221">
        <v>8807</v>
      </c>
      <c r="D1221">
        <v>361</v>
      </c>
      <c r="E1221" t="s">
        <v>10</v>
      </c>
      <c r="F1221">
        <v>3449904</v>
      </c>
      <c r="G1221" s="1">
        <v>1255</v>
      </c>
      <c r="H1221" s="2">
        <v>694465</v>
      </c>
      <c r="I1221" t="str">
        <f>VLOOKUP(Tabela1[[#This Row],[CO_PAIS]],'[1]nome do paixs'!$A:$B,2,0)</f>
        <v>Índia</v>
      </c>
      <c r="J1221" t="s">
        <v>12</v>
      </c>
    </row>
    <row r="1222" spans="1:10">
      <c r="A1222">
        <v>2024</v>
      </c>
      <c r="B1222">
        <v>6</v>
      </c>
      <c r="C1222">
        <v>8807</v>
      </c>
      <c r="D1222">
        <v>628</v>
      </c>
      <c r="E1222" t="s">
        <v>10</v>
      </c>
      <c r="F1222">
        <v>3454102</v>
      </c>
      <c r="G1222" s="1">
        <v>207</v>
      </c>
      <c r="H1222" s="2">
        <v>230828</v>
      </c>
      <c r="I1222" t="str">
        <f>VLOOKUP(Tabela1[[#This Row],[CO_PAIS]],'[1]nome do paixs'!$A:$B,2,0)</f>
        <v>Reino Unido</v>
      </c>
      <c r="J1222" t="s">
        <v>11</v>
      </c>
    </row>
    <row r="1223" spans="1:10">
      <c r="A1223">
        <v>2024</v>
      </c>
      <c r="B1223">
        <v>6</v>
      </c>
      <c r="C1223">
        <v>8807</v>
      </c>
      <c r="D1223">
        <v>455</v>
      </c>
      <c r="E1223" t="s">
        <v>10</v>
      </c>
      <c r="F1223">
        <v>3454102</v>
      </c>
      <c r="G1223" s="1">
        <v>2645</v>
      </c>
      <c r="H1223" s="2">
        <v>340465</v>
      </c>
      <c r="I1223" t="str">
        <f>VLOOKUP(Tabela1[[#This Row],[CO_PAIS]],'[1]nome do paixs'!$A:$B,2,0)</f>
        <v>Malásia</v>
      </c>
      <c r="J1223" t="s">
        <v>11</v>
      </c>
    </row>
    <row r="1224" spans="1:10">
      <c r="A1224">
        <v>2024</v>
      </c>
      <c r="B1224">
        <v>6</v>
      </c>
      <c r="C1224">
        <v>8807</v>
      </c>
      <c r="D1224">
        <v>375</v>
      </c>
      <c r="E1224" t="s">
        <v>10</v>
      </c>
      <c r="F1224">
        <v>3449904</v>
      </c>
      <c r="G1224" s="1">
        <v>51</v>
      </c>
      <c r="H1224" s="2">
        <v>14661</v>
      </c>
      <c r="I1224" t="str">
        <f>VLOOKUP(Tabela1[[#This Row],[CO_PAIS]],'[1]nome do paixs'!$A:$B,2,0)</f>
        <v>Irlanda</v>
      </c>
      <c r="J1224" t="s">
        <v>12</v>
      </c>
    </row>
    <row r="1225" spans="1:10">
      <c r="A1225">
        <v>2024</v>
      </c>
      <c r="B1225">
        <v>6</v>
      </c>
      <c r="C1225">
        <v>8807</v>
      </c>
      <c r="D1225">
        <v>105</v>
      </c>
      <c r="E1225" t="s">
        <v>10</v>
      </c>
      <c r="F1225">
        <v>3454102</v>
      </c>
      <c r="G1225" s="1">
        <v>4887</v>
      </c>
      <c r="H1225" s="2">
        <v>4803223</v>
      </c>
      <c r="I1225" t="str">
        <f>VLOOKUP(Tabela1[[#This Row],[CO_PAIS]],'[1]nome do paixs'!$A:$B,2,0)</f>
        <v>Brasil</v>
      </c>
      <c r="J1225" t="s">
        <v>11</v>
      </c>
    </row>
    <row r="1226" spans="1:10">
      <c r="A1226">
        <v>2024</v>
      </c>
      <c r="B1226">
        <v>6</v>
      </c>
      <c r="C1226">
        <v>8807</v>
      </c>
      <c r="D1226">
        <v>493</v>
      </c>
      <c r="E1226" t="s">
        <v>10</v>
      </c>
      <c r="F1226">
        <v>3449904</v>
      </c>
      <c r="G1226" s="1">
        <v>2322</v>
      </c>
      <c r="H1226" s="2">
        <v>1382957</v>
      </c>
      <c r="I1226" t="str">
        <f>VLOOKUP(Tabela1[[#This Row],[CO_PAIS]],'[1]nome do paixs'!$A:$B,2,0)</f>
        <v>México</v>
      </c>
      <c r="J1226" t="s">
        <v>12</v>
      </c>
    </row>
    <row r="1227" spans="1:10">
      <c r="A1227">
        <v>2024</v>
      </c>
      <c r="B1227">
        <v>6</v>
      </c>
      <c r="C1227">
        <v>8807</v>
      </c>
      <c r="D1227">
        <v>603</v>
      </c>
      <c r="E1227" t="s">
        <v>10</v>
      </c>
      <c r="F1227">
        <v>3449904</v>
      </c>
      <c r="G1227" s="1">
        <v>181</v>
      </c>
      <c r="H1227" s="2">
        <v>32049</v>
      </c>
      <c r="I1227" t="str">
        <f>VLOOKUP(Tabela1[[#This Row],[CO_PAIS]],'[1]nome do paixs'!$A:$B,2,0)</f>
        <v>Polônia</v>
      </c>
      <c r="J1227" t="s">
        <v>12</v>
      </c>
    </row>
    <row r="1228" spans="1:10">
      <c r="A1228">
        <v>2024</v>
      </c>
      <c r="B1228">
        <v>6</v>
      </c>
      <c r="C1228">
        <v>8807</v>
      </c>
      <c r="D1228">
        <v>190</v>
      </c>
      <c r="E1228" t="s">
        <v>10</v>
      </c>
      <c r="F1228">
        <v>3449904</v>
      </c>
      <c r="G1228" s="1">
        <v>82</v>
      </c>
      <c r="H1228" s="2">
        <v>248823</v>
      </c>
      <c r="I1228" t="str">
        <f>VLOOKUP(Tabela1[[#This Row],[CO_PAIS]],'[1]nome do paixs'!$A:$B,2,0)</f>
        <v>Coreia do Sul</v>
      </c>
      <c r="J1228" t="s">
        <v>12</v>
      </c>
    </row>
    <row r="1229" spans="1:10">
      <c r="A1229">
        <v>2023</v>
      </c>
      <c r="B1229">
        <v>6</v>
      </c>
      <c r="C1229">
        <v>8807</v>
      </c>
      <c r="D1229">
        <v>375</v>
      </c>
      <c r="E1229" t="s">
        <v>10</v>
      </c>
      <c r="F1229">
        <v>3449904</v>
      </c>
      <c r="G1229" s="1">
        <v>6</v>
      </c>
      <c r="H1229" s="2">
        <v>8263</v>
      </c>
      <c r="I1229" t="str">
        <f>VLOOKUP(Tabela1[[#This Row],[CO_PAIS]],'[1]nome do paixs'!$A:$B,2,0)</f>
        <v>Irlanda</v>
      </c>
      <c r="J1229" t="s">
        <v>12</v>
      </c>
    </row>
    <row r="1230" spans="1:10">
      <c r="A1230">
        <v>2023</v>
      </c>
      <c r="B1230">
        <v>6</v>
      </c>
      <c r="C1230">
        <v>8807</v>
      </c>
      <c r="D1230">
        <v>72</v>
      </c>
      <c r="E1230" t="s">
        <v>10</v>
      </c>
      <c r="F1230">
        <v>3454102</v>
      </c>
      <c r="G1230" s="1">
        <v>9724</v>
      </c>
      <c r="H1230" s="2">
        <v>1302187</v>
      </c>
      <c r="I1230" t="str">
        <f>VLOOKUP(Tabela1[[#This Row],[CO_PAIS]],'[1]nome do paixs'!$A:$B,2,0)</f>
        <v>Áustria</v>
      </c>
      <c r="J1230" t="s">
        <v>11</v>
      </c>
    </row>
    <row r="1231" spans="1:10">
      <c r="A1231">
        <v>2023</v>
      </c>
      <c r="B1231">
        <v>6</v>
      </c>
      <c r="C1231">
        <v>8807</v>
      </c>
      <c r="D1231">
        <v>105</v>
      </c>
      <c r="E1231" t="s">
        <v>10</v>
      </c>
      <c r="F1231">
        <v>3449904</v>
      </c>
      <c r="G1231" s="1">
        <v>8339</v>
      </c>
      <c r="H1231" s="2">
        <v>5373796</v>
      </c>
      <c r="I1231" t="str">
        <f>VLOOKUP(Tabela1[[#This Row],[CO_PAIS]],'[1]nome do paixs'!$A:$B,2,0)</f>
        <v>Brasil</v>
      </c>
      <c r="J1231" t="s">
        <v>12</v>
      </c>
    </row>
    <row r="1232" spans="1:10">
      <c r="A1232">
        <v>2023</v>
      </c>
      <c r="B1232">
        <v>6</v>
      </c>
      <c r="C1232">
        <v>8807</v>
      </c>
      <c r="D1232">
        <v>455</v>
      </c>
      <c r="E1232" t="s">
        <v>10</v>
      </c>
      <c r="F1232">
        <v>3454102</v>
      </c>
      <c r="G1232" s="1">
        <v>4850</v>
      </c>
      <c r="H1232" s="2">
        <v>495400</v>
      </c>
      <c r="I1232" t="str">
        <f>VLOOKUP(Tabela1[[#This Row],[CO_PAIS]],'[1]nome do paixs'!$A:$B,2,0)</f>
        <v>Malásia</v>
      </c>
      <c r="J1232" t="s">
        <v>11</v>
      </c>
    </row>
    <row r="1233" spans="1:10">
      <c r="A1233">
        <v>2023</v>
      </c>
      <c r="B1233">
        <v>6</v>
      </c>
      <c r="C1233">
        <v>8807</v>
      </c>
      <c r="D1233">
        <v>149</v>
      </c>
      <c r="E1233" t="s">
        <v>10</v>
      </c>
      <c r="F1233">
        <v>3449904</v>
      </c>
      <c r="G1233" s="1">
        <v>89</v>
      </c>
      <c r="H1233" s="2">
        <v>81614</v>
      </c>
      <c r="I1233" t="str">
        <f>VLOOKUP(Tabela1[[#This Row],[CO_PAIS]],'[1]nome do paixs'!$A:$B,2,0)</f>
        <v>Canadá</v>
      </c>
      <c r="J1233" t="s">
        <v>12</v>
      </c>
    </row>
    <row r="1234" spans="1:10">
      <c r="A1234">
        <v>2023</v>
      </c>
      <c r="B1234">
        <v>6</v>
      </c>
      <c r="C1234">
        <v>8807</v>
      </c>
      <c r="D1234">
        <v>628</v>
      </c>
      <c r="E1234" t="s">
        <v>10</v>
      </c>
      <c r="F1234">
        <v>3454102</v>
      </c>
      <c r="G1234" s="1">
        <v>126</v>
      </c>
      <c r="H1234" s="2">
        <v>190990</v>
      </c>
      <c r="I1234" t="str">
        <f>VLOOKUP(Tabela1[[#This Row],[CO_PAIS]],'[1]nome do paixs'!$A:$B,2,0)</f>
        <v>Reino Unido</v>
      </c>
      <c r="J1234" t="s">
        <v>11</v>
      </c>
    </row>
    <row r="1235" spans="1:10">
      <c r="A1235">
        <v>2023</v>
      </c>
      <c r="B1235">
        <v>6</v>
      </c>
      <c r="C1235">
        <v>8807</v>
      </c>
      <c r="D1235">
        <v>105</v>
      </c>
      <c r="E1235" t="s">
        <v>10</v>
      </c>
      <c r="F1235">
        <v>3454102</v>
      </c>
      <c r="G1235" s="1">
        <v>4281</v>
      </c>
      <c r="H1235" s="2">
        <v>4384364</v>
      </c>
      <c r="I1235" t="str">
        <f>VLOOKUP(Tabela1[[#This Row],[CO_PAIS]],'[1]nome do paixs'!$A:$B,2,0)</f>
        <v>Brasil</v>
      </c>
      <c r="J1235" t="s">
        <v>11</v>
      </c>
    </row>
    <row r="1236" spans="1:10">
      <c r="A1236">
        <v>2023</v>
      </c>
      <c r="B1236">
        <v>6</v>
      </c>
      <c r="C1236">
        <v>8807</v>
      </c>
      <c r="D1236">
        <v>87</v>
      </c>
      <c r="E1236" t="s">
        <v>10</v>
      </c>
      <c r="F1236">
        <v>3424402</v>
      </c>
      <c r="G1236" s="1">
        <v>15</v>
      </c>
      <c r="H1236" s="2">
        <v>38996</v>
      </c>
      <c r="I1236" t="str">
        <f>VLOOKUP(Tabela1[[#This Row],[CO_PAIS]],'[1]nome do paixs'!$A:$B,2,0)</f>
        <v>Bélgica</v>
      </c>
      <c r="J1236" t="s">
        <v>13</v>
      </c>
    </row>
    <row r="1237" spans="1:10">
      <c r="A1237">
        <v>2023</v>
      </c>
      <c r="B1237">
        <v>6</v>
      </c>
      <c r="C1237">
        <v>8807</v>
      </c>
      <c r="D1237">
        <v>676</v>
      </c>
      <c r="E1237" t="s">
        <v>10</v>
      </c>
      <c r="F1237">
        <v>3454102</v>
      </c>
      <c r="G1237" s="1">
        <v>3627</v>
      </c>
      <c r="H1237" s="2">
        <v>291187</v>
      </c>
      <c r="I1237" t="str">
        <f>VLOOKUP(Tabela1[[#This Row],[CO_PAIS]],'[1]nome do paixs'!$A:$B,2,0)</f>
        <v>Rússia</v>
      </c>
      <c r="J1237" t="s">
        <v>11</v>
      </c>
    </row>
    <row r="1238" spans="1:10">
      <c r="A1238">
        <v>2023</v>
      </c>
      <c r="B1238">
        <v>6</v>
      </c>
      <c r="C1238">
        <v>8807</v>
      </c>
      <c r="D1238">
        <v>607</v>
      </c>
      <c r="E1238" t="s">
        <v>10</v>
      </c>
      <c r="F1238">
        <v>3454102</v>
      </c>
      <c r="G1238" s="1">
        <v>22748</v>
      </c>
      <c r="H1238" s="2">
        <v>7453554</v>
      </c>
      <c r="I1238" t="str">
        <f>VLOOKUP(Tabela1[[#This Row],[CO_PAIS]],'[1]nome do paixs'!$A:$B,2,0)</f>
        <v>Portugal</v>
      </c>
      <c r="J1238" t="s">
        <v>11</v>
      </c>
    </row>
    <row r="1239" spans="1:10">
      <c r="A1239">
        <v>2023</v>
      </c>
      <c r="B1239">
        <v>6</v>
      </c>
      <c r="C1239">
        <v>8807</v>
      </c>
      <c r="D1239">
        <v>72</v>
      </c>
      <c r="E1239" t="s">
        <v>10</v>
      </c>
      <c r="F1239">
        <v>3449904</v>
      </c>
      <c r="G1239" s="1">
        <v>55</v>
      </c>
      <c r="H1239" s="2">
        <v>2810</v>
      </c>
      <c r="I1239" t="str">
        <f>VLOOKUP(Tabela1[[#This Row],[CO_PAIS]],'[1]nome do paixs'!$A:$B,2,0)</f>
        <v>Áustria</v>
      </c>
      <c r="J1239" t="s">
        <v>12</v>
      </c>
    </row>
    <row r="1240" spans="1:10">
      <c r="A1240">
        <v>2023</v>
      </c>
      <c r="B1240">
        <v>6</v>
      </c>
      <c r="C1240">
        <v>8807</v>
      </c>
      <c r="D1240">
        <v>625</v>
      </c>
      <c r="E1240" t="s">
        <v>10</v>
      </c>
      <c r="F1240">
        <v>3449904</v>
      </c>
      <c r="G1240" s="1">
        <v>208</v>
      </c>
      <c r="H1240" s="2">
        <v>3965</v>
      </c>
      <c r="I1240" t="str">
        <f>VLOOKUP(Tabela1[[#This Row],[CO_PAIS]],'[1]nome do paixs'!$A:$B,2,0)</f>
        <v>Quirguistão</v>
      </c>
      <c r="J1240" t="s">
        <v>12</v>
      </c>
    </row>
    <row r="1241" spans="1:10">
      <c r="A1241">
        <v>2023</v>
      </c>
      <c r="B1241">
        <v>6</v>
      </c>
      <c r="C1241">
        <v>8807</v>
      </c>
      <c r="D1241">
        <v>249</v>
      </c>
      <c r="E1241" t="s">
        <v>10</v>
      </c>
      <c r="F1241">
        <v>3449904</v>
      </c>
      <c r="G1241" s="1">
        <v>5194</v>
      </c>
      <c r="H1241" s="2">
        <v>4179033</v>
      </c>
      <c r="I1241" t="str">
        <f>VLOOKUP(Tabela1[[#This Row],[CO_PAIS]],'[1]nome do paixs'!$A:$B,2,0)</f>
        <v>Estados Unidos</v>
      </c>
      <c r="J1241" t="s">
        <v>12</v>
      </c>
    </row>
    <row r="1242" spans="1:10">
      <c r="A1242">
        <v>2023</v>
      </c>
      <c r="B1242">
        <v>6</v>
      </c>
      <c r="C1242">
        <v>8807</v>
      </c>
      <c r="D1242">
        <v>245</v>
      </c>
      <c r="E1242" t="s">
        <v>10</v>
      </c>
      <c r="F1242">
        <v>3449904</v>
      </c>
      <c r="G1242" s="1">
        <v>1653</v>
      </c>
      <c r="H1242" s="2">
        <v>427665</v>
      </c>
      <c r="I1242" t="str">
        <f>VLOOKUP(Tabela1[[#This Row],[CO_PAIS]],'[1]nome do paixs'!$A:$B,2,0)</f>
        <v>Espanha</v>
      </c>
      <c r="J1242" t="s">
        <v>12</v>
      </c>
    </row>
    <row r="1243" spans="1:10">
      <c r="A1243">
        <v>2023</v>
      </c>
      <c r="B1243">
        <v>6</v>
      </c>
      <c r="C1243">
        <v>8807</v>
      </c>
      <c r="D1243">
        <v>791</v>
      </c>
      <c r="E1243" t="s">
        <v>10</v>
      </c>
      <c r="F1243">
        <v>3449904</v>
      </c>
      <c r="G1243" s="1">
        <v>14</v>
      </c>
      <c r="H1243" s="2">
        <v>16075</v>
      </c>
      <c r="I1243" t="str">
        <f>VLOOKUP(Tabela1[[#This Row],[CO_PAIS]],'[1]nome do paixs'!$A:$B,2,0)</f>
        <v>Tcheca, República</v>
      </c>
      <c r="J1243" t="s">
        <v>12</v>
      </c>
    </row>
    <row r="1244" spans="1:10">
      <c r="A1244">
        <v>2023</v>
      </c>
      <c r="B1244">
        <v>6</v>
      </c>
      <c r="C1244">
        <v>8807</v>
      </c>
      <c r="D1244">
        <v>741</v>
      </c>
      <c r="E1244" t="s">
        <v>10</v>
      </c>
      <c r="F1244">
        <v>3449904</v>
      </c>
      <c r="G1244" s="1">
        <v>124</v>
      </c>
      <c r="H1244" s="2">
        <v>142336</v>
      </c>
      <c r="I1244" t="str">
        <f>VLOOKUP(Tabela1[[#This Row],[CO_PAIS]],'[1]nome do paixs'!$A:$B,2,0)</f>
        <v>Singapura</v>
      </c>
      <c r="J1244" t="s">
        <v>12</v>
      </c>
    </row>
    <row r="1245" spans="1:10">
      <c r="A1245">
        <v>2023</v>
      </c>
      <c r="B1245">
        <v>6</v>
      </c>
      <c r="C1245">
        <v>8807</v>
      </c>
      <c r="D1245">
        <v>628</v>
      </c>
      <c r="E1245" t="s">
        <v>10</v>
      </c>
      <c r="F1245">
        <v>3449904</v>
      </c>
      <c r="G1245" s="1">
        <v>531</v>
      </c>
      <c r="H1245" s="2">
        <v>609801</v>
      </c>
      <c r="I1245" t="str">
        <f>VLOOKUP(Tabela1[[#This Row],[CO_PAIS]],'[1]nome do paixs'!$A:$B,2,0)</f>
        <v>Reino Unido</v>
      </c>
      <c r="J1245" t="s">
        <v>12</v>
      </c>
    </row>
    <row r="1246" spans="1:10">
      <c r="A1246">
        <v>2023</v>
      </c>
      <c r="B1246">
        <v>6</v>
      </c>
      <c r="C1246">
        <v>8807</v>
      </c>
      <c r="D1246">
        <v>676</v>
      </c>
      <c r="E1246" t="s">
        <v>10</v>
      </c>
      <c r="F1246">
        <v>3449904</v>
      </c>
      <c r="G1246" s="1">
        <v>142</v>
      </c>
      <c r="H1246" s="2">
        <v>49347</v>
      </c>
      <c r="I1246" t="str">
        <f>VLOOKUP(Tabela1[[#This Row],[CO_PAIS]],'[1]nome do paixs'!$A:$B,2,0)</f>
        <v>Rússia</v>
      </c>
      <c r="J1246" t="s">
        <v>12</v>
      </c>
    </row>
    <row r="1247" spans="1:10">
      <c r="A1247">
        <v>2023</v>
      </c>
      <c r="B1247">
        <v>6</v>
      </c>
      <c r="C1247">
        <v>8807</v>
      </c>
      <c r="D1247">
        <v>493</v>
      </c>
      <c r="E1247" t="s">
        <v>10</v>
      </c>
      <c r="F1247">
        <v>3449904</v>
      </c>
      <c r="G1247" s="1">
        <v>2020</v>
      </c>
      <c r="H1247" s="2">
        <v>1037676</v>
      </c>
      <c r="I1247" t="str">
        <f>VLOOKUP(Tabela1[[#This Row],[CO_PAIS]],'[1]nome do paixs'!$A:$B,2,0)</f>
        <v>México</v>
      </c>
      <c r="J1247" t="s">
        <v>12</v>
      </c>
    </row>
    <row r="1248" spans="1:10">
      <c r="A1248">
        <v>2023</v>
      </c>
      <c r="B1248">
        <v>6</v>
      </c>
      <c r="C1248">
        <v>8807</v>
      </c>
      <c r="D1248">
        <v>399</v>
      </c>
      <c r="E1248" t="s">
        <v>10</v>
      </c>
      <c r="F1248">
        <v>3454102</v>
      </c>
      <c r="G1248" s="1">
        <v>1423</v>
      </c>
      <c r="H1248" s="2">
        <v>698060</v>
      </c>
      <c r="I1248" t="str">
        <f>VLOOKUP(Tabela1[[#This Row],[CO_PAIS]],'[1]nome do paixs'!$A:$B,2,0)</f>
        <v>Japão</v>
      </c>
      <c r="J1248" t="s">
        <v>11</v>
      </c>
    </row>
    <row r="1249" spans="1:10">
      <c r="A1249">
        <v>2023</v>
      </c>
      <c r="B1249">
        <v>6</v>
      </c>
      <c r="C1249">
        <v>8807</v>
      </c>
      <c r="D1249">
        <v>386</v>
      </c>
      <c r="E1249" t="s">
        <v>10</v>
      </c>
      <c r="F1249">
        <v>3449904</v>
      </c>
      <c r="G1249" s="1">
        <v>8</v>
      </c>
      <c r="H1249" s="2">
        <v>6691</v>
      </c>
      <c r="I1249" t="str">
        <f>VLOOKUP(Tabela1[[#This Row],[CO_PAIS]],'[1]nome do paixs'!$A:$B,2,0)</f>
        <v>Itália</v>
      </c>
      <c r="J1249" t="s">
        <v>12</v>
      </c>
    </row>
    <row r="1250" spans="1:10">
      <c r="A1250">
        <v>2023</v>
      </c>
      <c r="B1250">
        <v>6</v>
      </c>
      <c r="C1250">
        <v>8807</v>
      </c>
      <c r="D1250">
        <v>245</v>
      </c>
      <c r="E1250" t="s">
        <v>10</v>
      </c>
      <c r="F1250">
        <v>3454102</v>
      </c>
      <c r="G1250" s="1">
        <v>1408</v>
      </c>
      <c r="H1250" s="2">
        <v>989327</v>
      </c>
      <c r="I1250" t="str">
        <f>VLOOKUP(Tabela1[[#This Row],[CO_PAIS]],'[1]nome do paixs'!$A:$B,2,0)</f>
        <v>Espanha</v>
      </c>
      <c r="J1250" t="s">
        <v>11</v>
      </c>
    </row>
    <row r="1251" spans="1:10">
      <c r="A1251">
        <v>2023</v>
      </c>
      <c r="B1251">
        <v>6</v>
      </c>
      <c r="C1251">
        <v>8807</v>
      </c>
      <c r="D1251">
        <v>399</v>
      </c>
      <c r="E1251" t="s">
        <v>10</v>
      </c>
      <c r="F1251">
        <v>3449904</v>
      </c>
      <c r="G1251" s="1">
        <v>119</v>
      </c>
      <c r="H1251" s="2">
        <v>103616</v>
      </c>
      <c r="I1251" t="str">
        <f>VLOOKUP(Tabela1[[#This Row],[CO_PAIS]],'[1]nome do paixs'!$A:$B,2,0)</f>
        <v>Japão</v>
      </c>
      <c r="J1251" t="s">
        <v>12</v>
      </c>
    </row>
    <row r="1252" spans="1:10">
      <c r="A1252">
        <v>2023</v>
      </c>
      <c r="B1252">
        <v>6</v>
      </c>
      <c r="C1252">
        <v>8807</v>
      </c>
      <c r="D1252">
        <v>249</v>
      </c>
      <c r="E1252" t="s">
        <v>10</v>
      </c>
      <c r="F1252">
        <v>3454102</v>
      </c>
      <c r="G1252" s="1">
        <v>21563</v>
      </c>
      <c r="H1252" s="2">
        <v>3827990</v>
      </c>
      <c r="I1252" t="str">
        <f>VLOOKUP(Tabela1[[#This Row],[CO_PAIS]],'[1]nome do paixs'!$A:$B,2,0)</f>
        <v>Estados Unidos</v>
      </c>
      <c r="J1252" t="s">
        <v>11</v>
      </c>
    </row>
    <row r="1253" spans="1:10">
      <c r="A1253">
        <v>2023</v>
      </c>
      <c r="B1253">
        <v>6</v>
      </c>
      <c r="C1253">
        <v>8807</v>
      </c>
      <c r="D1253">
        <v>149</v>
      </c>
      <c r="E1253" t="s">
        <v>10</v>
      </c>
      <c r="F1253">
        <v>3454102</v>
      </c>
      <c r="G1253" s="1">
        <v>400</v>
      </c>
      <c r="H1253" s="2">
        <v>283325</v>
      </c>
      <c r="I1253" t="str">
        <f>VLOOKUP(Tabela1[[#This Row],[CO_PAIS]],'[1]nome do paixs'!$A:$B,2,0)</f>
        <v>Canadá</v>
      </c>
      <c r="J1253" t="s">
        <v>11</v>
      </c>
    </row>
    <row r="1254" spans="1:10">
      <c r="A1254">
        <v>2023</v>
      </c>
      <c r="B1254">
        <v>6</v>
      </c>
      <c r="C1254">
        <v>8807</v>
      </c>
      <c r="D1254">
        <v>275</v>
      </c>
      <c r="E1254" t="s">
        <v>10</v>
      </c>
      <c r="F1254">
        <v>3454102</v>
      </c>
      <c r="G1254" s="1">
        <v>611</v>
      </c>
      <c r="H1254" s="2">
        <v>904743</v>
      </c>
      <c r="I1254" t="str">
        <f>VLOOKUP(Tabela1[[#This Row],[CO_PAIS]],'[1]nome do paixs'!$A:$B,2,0)</f>
        <v>França</v>
      </c>
      <c r="J1254" t="s">
        <v>11</v>
      </c>
    </row>
    <row r="1255" spans="1:10">
      <c r="A1255">
        <v>2023</v>
      </c>
      <c r="B1255">
        <v>6</v>
      </c>
      <c r="C1255">
        <v>8807</v>
      </c>
      <c r="D1255">
        <v>386</v>
      </c>
      <c r="E1255" t="s">
        <v>10</v>
      </c>
      <c r="F1255">
        <v>3454102</v>
      </c>
      <c r="G1255" s="1">
        <v>384</v>
      </c>
      <c r="H1255" s="2">
        <v>1010205</v>
      </c>
      <c r="I1255" t="str">
        <f>VLOOKUP(Tabela1[[#This Row],[CO_PAIS]],'[1]nome do paixs'!$A:$B,2,0)</f>
        <v>Itália</v>
      </c>
      <c r="J1255" t="s">
        <v>11</v>
      </c>
    </row>
    <row r="1256" spans="1:10">
      <c r="A1256">
        <v>2023</v>
      </c>
      <c r="B1256">
        <v>6</v>
      </c>
      <c r="C1256">
        <v>8807</v>
      </c>
      <c r="D1256">
        <v>361</v>
      </c>
      <c r="E1256" t="s">
        <v>10</v>
      </c>
      <c r="F1256">
        <v>3449904</v>
      </c>
      <c r="G1256" s="1">
        <v>411</v>
      </c>
      <c r="H1256" s="2">
        <v>199736</v>
      </c>
      <c r="I1256" t="str">
        <f>VLOOKUP(Tabela1[[#This Row],[CO_PAIS]],'[1]nome do paixs'!$A:$B,2,0)</f>
        <v>Índia</v>
      </c>
      <c r="J1256" t="s">
        <v>12</v>
      </c>
    </row>
    <row r="1257" spans="1:10">
      <c r="A1257">
        <v>2023</v>
      </c>
      <c r="B1257">
        <v>6</v>
      </c>
      <c r="C1257">
        <v>8807</v>
      </c>
      <c r="D1257">
        <v>245</v>
      </c>
      <c r="E1257" t="s">
        <v>10</v>
      </c>
      <c r="F1257">
        <v>3424402</v>
      </c>
      <c r="G1257" s="1">
        <v>153</v>
      </c>
      <c r="H1257" s="2">
        <v>46207</v>
      </c>
      <c r="I1257" t="str">
        <f>VLOOKUP(Tabela1[[#This Row],[CO_PAIS]],'[1]nome do paixs'!$A:$B,2,0)</f>
        <v>Espanha</v>
      </c>
      <c r="J1257" t="s">
        <v>13</v>
      </c>
    </row>
    <row r="1258" spans="1:10">
      <c r="A1258">
        <v>2023</v>
      </c>
      <c r="B1258">
        <v>6</v>
      </c>
      <c r="C1258">
        <v>8807</v>
      </c>
      <c r="D1258">
        <v>474</v>
      </c>
      <c r="E1258" t="s">
        <v>10</v>
      </c>
      <c r="F1258">
        <v>3454102</v>
      </c>
      <c r="G1258" s="1">
        <v>46</v>
      </c>
      <c r="H1258" s="2">
        <v>117311</v>
      </c>
      <c r="I1258" t="str">
        <f>VLOOKUP(Tabela1[[#This Row],[CO_PAIS]],'[1]nome do paixs'!$A:$B,2,0)</f>
        <v>Marrocos</v>
      </c>
      <c r="J1258" t="s">
        <v>11</v>
      </c>
    </row>
    <row r="1259" spans="1:10">
      <c r="A1259">
        <v>2023</v>
      </c>
      <c r="B1259">
        <v>6</v>
      </c>
      <c r="C1259">
        <v>8807</v>
      </c>
      <c r="D1259">
        <v>190</v>
      </c>
      <c r="E1259" t="s">
        <v>10</v>
      </c>
      <c r="F1259">
        <v>3454102</v>
      </c>
      <c r="G1259" s="1">
        <v>4600</v>
      </c>
      <c r="H1259" s="2">
        <v>4425203</v>
      </c>
      <c r="I1259" t="str">
        <f>VLOOKUP(Tabela1[[#This Row],[CO_PAIS]],'[1]nome do paixs'!$A:$B,2,0)</f>
        <v>Coreia do Sul</v>
      </c>
      <c r="J1259" t="s">
        <v>11</v>
      </c>
    </row>
    <row r="1260" spans="1:10">
      <c r="A1260">
        <v>2023</v>
      </c>
      <c r="B1260">
        <v>6</v>
      </c>
      <c r="C1260">
        <v>8807</v>
      </c>
      <c r="D1260">
        <v>791</v>
      </c>
      <c r="E1260" t="s">
        <v>10</v>
      </c>
      <c r="F1260">
        <v>3424402</v>
      </c>
      <c r="G1260" s="1">
        <v>205</v>
      </c>
      <c r="H1260" s="2">
        <v>206986</v>
      </c>
      <c r="I1260" t="str">
        <f>VLOOKUP(Tabela1[[#This Row],[CO_PAIS]],'[1]nome do paixs'!$A:$B,2,0)</f>
        <v>Tcheca, República</v>
      </c>
      <c r="J1260" t="s">
        <v>13</v>
      </c>
    </row>
    <row r="1261" spans="1:10">
      <c r="A1261">
        <v>2023</v>
      </c>
      <c r="B1261">
        <v>6</v>
      </c>
      <c r="C1261">
        <v>8807</v>
      </c>
      <c r="D1261">
        <v>603</v>
      </c>
      <c r="E1261" t="s">
        <v>10</v>
      </c>
      <c r="F1261">
        <v>3449904</v>
      </c>
      <c r="G1261" s="1">
        <v>24</v>
      </c>
      <c r="H1261" s="2">
        <v>10244</v>
      </c>
      <c r="I1261" t="str">
        <f>VLOOKUP(Tabela1[[#This Row],[CO_PAIS]],'[1]nome do paixs'!$A:$B,2,0)</f>
        <v>Polônia</v>
      </c>
      <c r="J1261" t="s">
        <v>12</v>
      </c>
    </row>
    <row r="1262" spans="1:10">
      <c r="A1262">
        <v>2023</v>
      </c>
      <c r="B1262">
        <v>6</v>
      </c>
      <c r="C1262">
        <v>8807</v>
      </c>
      <c r="D1262">
        <v>87</v>
      </c>
      <c r="E1262" t="s">
        <v>10</v>
      </c>
      <c r="F1262">
        <v>3449904</v>
      </c>
      <c r="G1262" s="1">
        <v>985</v>
      </c>
      <c r="H1262" s="2">
        <v>1169303</v>
      </c>
      <c r="I1262" t="str">
        <f>VLOOKUP(Tabela1[[#This Row],[CO_PAIS]],'[1]nome do paixs'!$A:$B,2,0)</f>
        <v>Bélgica</v>
      </c>
      <c r="J1262" t="s">
        <v>12</v>
      </c>
    </row>
    <row r="1263" spans="1:10">
      <c r="A1263">
        <v>2023</v>
      </c>
      <c r="B1263">
        <v>6</v>
      </c>
      <c r="C1263">
        <v>8807</v>
      </c>
      <c r="D1263">
        <v>607</v>
      </c>
      <c r="E1263" t="s">
        <v>10</v>
      </c>
      <c r="F1263">
        <v>3449904</v>
      </c>
      <c r="G1263" s="1">
        <v>311</v>
      </c>
      <c r="H1263" s="2">
        <v>172871</v>
      </c>
      <c r="I1263" t="str">
        <f>VLOOKUP(Tabela1[[#This Row],[CO_PAIS]],'[1]nome do paixs'!$A:$B,2,0)</f>
        <v>Portugal</v>
      </c>
      <c r="J1263" t="s">
        <v>12</v>
      </c>
    </row>
    <row r="1264" spans="1:10">
      <c r="A1264">
        <v>2023</v>
      </c>
      <c r="B1264">
        <v>6</v>
      </c>
      <c r="C1264">
        <v>8807</v>
      </c>
      <c r="D1264">
        <v>190</v>
      </c>
      <c r="E1264" t="s">
        <v>10</v>
      </c>
      <c r="F1264">
        <v>3449904</v>
      </c>
      <c r="G1264" s="1">
        <v>9</v>
      </c>
      <c r="H1264" s="2">
        <v>12095</v>
      </c>
      <c r="I1264" t="str">
        <f>VLOOKUP(Tabela1[[#This Row],[CO_PAIS]],'[1]nome do paixs'!$A:$B,2,0)</f>
        <v>Coreia do Sul</v>
      </c>
      <c r="J1264" t="s">
        <v>12</v>
      </c>
    </row>
    <row r="1265" spans="1:10">
      <c r="A1265">
        <v>2023</v>
      </c>
      <c r="B1265">
        <v>6</v>
      </c>
      <c r="C1265">
        <v>8807</v>
      </c>
      <c r="D1265">
        <v>461</v>
      </c>
      <c r="E1265" t="s">
        <v>10</v>
      </c>
      <c r="F1265">
        <v>3449904</v>
      </c>
      <c r="G1265" s="1">
        <v>2</v>
      </c>
      <c r="H1265" s="2">
        <v>70938</v>
      </c>
      <c r="I1265" t="str">
        <f>VLOOKUP(Tabela1[[#This Row],[CO_PAIS]],'[1]nome do paixs'!$A:$B,2,0)</f>
        <v>Maldivas</v>
      </c>
      <c r="J1265" t="s">
        <v>12</v>
      </c>
    </row>
    <row r="1266" spans="1:10">
      <c r="A1266">
        <v>2023</v>
      </c>
      <c r="B1266">
        <v>6</v>
      </c>
      <c r="C1266">
        <v>8807</v>
      </c>
      <c r="D1266">
        <v>23</v>
      </c>
      <c r="E1266" t="s">
        <v>10</v>
      </c>
      <c r="F1266">
        <v>3454102</v>
      </c>
      <c r="G1266" s="1">
        <v>7223</v>
      </c>
      <c r="H1266" s="2">
        <v>961667</v>
      </c>
      <c r="I1266" t="str">
        <f>VLOOKUP(Tabela1[[#This Row],[CO_PAIS]],'[1]nome do paixs'!$A:$B,2,0)</f>
        <v>Alemanha</v>
      </c>
      <c r="J1266" t="s">
        <v>11</v>
      </c>
    </row>
    <row r="1267" spans="1:10">
      <c r="A1267">
        <v>2023</v>
      </c>
      <c r="B1267">
        <v>6</v>
      </c>
      <c r="C1267">
        <v>8807</v>
      </c>
      <c r="D1267">
        <v>375</v>
      </c>
      <c r="E1267" t="s">
        <v>10</v>
      </c>
      <c r="F1267">
        <v>3454102</v>
      </c>
      <c r="G1267" s="1">
        <v>34</v>
      </c>
      <c r="H1267" s="2">
        <v>14478</v>
      </c>
      <c r="I1267" t="str">
        <f>VLOOKUP(Tabela1[[#This Row],[CO_PAIS]],'[1]nome do paixs'!$A:$B,2,0)</f>
        <v>Irlanda</v>
      </c>
      <c r="J1267" t="s">
        <v>11</v>
      </c>
    </row>
    <row r="1268" spans="1:10">
      <c r="A1268">
        <v>2023</v>
      </c>
      <c r="B1268">
        <v>6</v>
      </c>
      <c r="C1268">
        <v>8807</v>
      </c>
      <c r="D1268">
        <v>23</v>
      </c>
      <c r="E1268" t="s">
        <v>10</v>
      </c>
      <c r="F1268">
        <v>3449904</v>
      </c>
      <c r="G1268" s="1">
        <v>196</v>
      </c>
      <c r="H1268" s="2">
        <v>221405</v>
      </c>
      <c r="I1268" t="str">
        <f>VLOOKUP(Tabela1[[#This Row],[CO_PAIS]],'[1]nome do paixs'!$A:$B,2,0)</f>
        <v>Alemanha</v>
      </c>
      <c r="J1268" t="s">
        <v>12</v>
      </c>
    </row>
    <row r="1269" spans="1:10">
      <c r="A1269">
        <v>2023</v>
      </c>
      <c r="B1269">
        <v>6</v>
      </c>
      <c r="C1269">
        <v>8807</v>
      </c>
      <c r="D1269">
        <v>275</v>
      </c>
      <c r="E1269" t="s">
        <v>10</v>
      </c>
      <c r="F1269">
        <v>3424402</v>
      </c>
      <c r="G1269" s="1">
        <v>307</v>
      </c>
      <c r="H1269" s="2">
        <v>383229</v>
      </c>
      <c r="I1269" t="str">
        <f>VLOOKUP(Tabela1[[#This Row],[CO_PAIS]],'[1]nome do paixs'!$A:$B,2,0)</f>
        <v>França</v>
      </c>
      <c r="J1269" t="s">
        <v>13</v>
      </c>
    </row>
    <row r="1270" spans="1:10">
      <c r="A1270">
        <v>2023</v>
      </c>
      <c r="B1270">
        <v>6</v>
      </c>
      <c r="C1270">
        <v>8807</v>
      </c>
      <c r="D1270">
        <v>87</v>
      </c>
      <c r="E1270" t="s">
        <v>10</v>
      </c>
      <c r="F1270">
        <v>3454102</v>
      </c>
      <c r="G1270" s="1">
        <v>2919</v>
      </c>
      <c r="H1270" s="2">
        <v>3073963</v>
      </c>
      <c r="I1270" t="str">
        <f>VLOOKUP(Tabela1[[#This Row],[CO_PAIS]],'[1]nome do paixs'!$A:$B,2,0)</f>
        <v>Bélgica</v>
      </c>
      <c r="J1270" t="s">
        <v>11</v>
      </c>
    </row>
    <row r="1271" spans="1:10">
      <c r="A1271">
        <v>2023</v>
      </c>
      <c r="B1271">
        <v>6</v>
      </c>
      <c r="C1271">
        <v>8807</v>
      </c>
      <c r="D1271">
        <v>275</v>
      </c>
      <c r="E1271" t="s">
        <v>10</v>
      </c>
      <c r="F1271">
        <v>3449904</v>
      </c>
      <c r="G1271" s="1">
        <v>242</v>
      </c>
      <c r="H1271" s="2">
        <v>298538</v>
      </c>
      <c r="I1271" t="str">
        <f>VLOOKUP(Tabela1[[#This Row],[CO_PAIS]],'[1]nome do paixs'!$A:$B,2,0)</f>
        <v>França</v>
      </c>
      <c r="J1271" t="s">
        <v>12</v>
      </c>
    </row>
    <row r="1272" spans="1:10">
      <c r="A1272">
        <v>2023</v>
      </c>
      <c r="B1272">
        <v>6</v>
      </c>
      <c r="C1272">
        <v>8807</v>
      </c>
      <c r="D1272">
        <v>493</v>
      </c>
      <c r="E1272" t="s">
        <v>10</v>
      </c>
      <c r="F1272">
        <v>3454102</v>
      </c>
      <c r="G1272" s="1">
        <v>10649</v>
      </c>
      <c r="H1272" s="2">
        <v>3813246</v>
      </c>
      <c r="I1272" t="str">
        <f>VLOOKUP(Tabela1[[#This Row],[CO_PAIS]],'[1]nome do paixs'!$A:$B,2,0)</f>
        <v>México</v>
      </c>
      <c r="J1272" t="s">
        <v>11</v>
      </c>
    </row>
    <row r="1273" spans="1:10">
      <c r="A1273">
        <v>2023</v>
      </c>
      <c r="B1273">
        <v>6</v>
      </c>
      <c r="C1273">
        <v>8807</v>
      </c>
      <c r="D1273">
        <v>249</v>
      </c>
      <c r="E1273" t="s">
        <v>10</v>
      </c>
      <c r="F1273">
        <v>3424402</v>
      </c>
      <c r="G1273" s="1">
        <v>226</v>
      </c>
      <c r="H1273" s="2">
        <v>81310</v>
      </c>
      <c r="I1273" t="str">
        <f>VLOOKUP(Tabela1[[#This Row],[CO_PAIS]],'[1]nome do paixs'!$A:$B,2,0)</f>
        <v>Estados Unidos</v>
      </c>
      <c r="J1273" t="s">
        <v>13</v>
      </c>
    </row>
    <row r="1274" spans="1:10">
      <c r="A1274">
        <v>2022</v>
      </c>
      <c r="B1274">
        <v>6</v>
      </c>
      <c r="C1274">
        <v>8807</v>
      </c>
      <c r="D1274">
        <v>190</v>
      </c>
      <c r="E1274" t="s">
        <v>10</v>
      </c>
      <c r="F1274">
        <v>3454102</v>
      </c>
      <c r="G1274" s="1">
        <v>4565</v>
      </c>
      <c r="H1274" s="2">
        <v>4482567</v>
      </c>
      <c r="I1274" t="str">
        <f>VLOOKUP(Tabela1[[#This Row],[CO_PAIS]],'[1]nome do paixs'!$A:$B,2,0)</f>
        <v>Coreia do Sul</v>
      </c>
      <c r="J1274" t="s">
        <v>11</v>
      </c>
    </row>
    <row r="1275" spans="1:10">
      <c r="A1275">
        <v>2022</v>
      </c>
      <c r="B1275">
        <v>6</v>
      </c>
      <c r="C1275">
        <v>8807</v>
      </c>
      <c r="D1275">
        <v>628</v>
      </c>
      <c r="E1275" t="s">
        <v>10</v>
      </c>
      <c r="F1275">
        <v>3449904</v>
      </c>
      <c r="G1275" s="1">
        <v>796</v>
      </c>
      <c r="H1275" s="2">
        <v>600191</v>
      </c>
      <c r="I1275" t="str">
        <f>VLOOKUP(Tabela1[[#This Row],[CO_PAIS]],'[1]nome do paixs'!$A:$B,2,0)</f>
        <v>Reino Unido</v>
      </c>
      <c r="J1275" t="s">
        <v>12</v>
      </c>
    </row>
    <row r="1276" spans="1:10">
      <c r="A1276">
        <v>2022</v>
      </c>
      <c r="B1276">
        <v>6</v>
      </c>
      <c r="C1276">
        <v>8807</v>
      </c>
      <c r="D1276">
        <v>249</v>
      </c>
      <c r="E1276" t="s">
        <v>10</v>
      </c>
      <c r="F1276">
        <v>3424402</v>
      </c>
      <c r="G1276" s="1">
        <v>1028</v>
      </c>
      <c r="H1276" s="2">
        <v>223911</v>
      </c>
      <c r="I1276" t="str">
        <f>VLOOKUP(Tabela1[[#This Row],[CO_PAIS]],'[1]nome do paixs'!$A:$B,2,0)</f>
        <v>Estados Unidos</v>
      </c>
      <c r="J1276" t="s">
        <v>13</v>
      </c>
    </row>
    <row r="1277" spans="1:10">
      <c r="A1277">
        <v>2022</v>
      </c>
      <c r="B1277">
        <v>6</v>
      </c>
      <c r="C1277">
        <v>8807</v>
      </c>
      <c r="D1277">
        <v>160</v>
      </c>
      <c r="E1277" t="s">
        <v>10</v>
      </c>
      <c r="F1277">
        <v>3449904</v>
      </c>
      <c r="G1277" s="1">
        <v>2</v>
      </c>
      <c r="H1277" s="2">
        <v>570</v>
      </c>
      <c r="I1277" t="str">
        <f>VLOOKUP(Tabela1[[#This Row],[CO_PAIS]],'[1]nome do paixs'!$A:$B,2,0)</f>
        <v>China</v>
      </c>
      <c r="J1277" t="s">
        <v>12</v>
      </c>
    </row>
    <row r="1278" spans="1:10">
      <c r="A1278">
        <v>2022</v>
      </c>
      <c r="B1278">
        <v>6</v>
      </c>
      <c r="C1278">
        <v>8807</v>
      </c>
      <c r="D1278">
        <v>776</v>
      </c>
      <c r="E1278" t="s">
        <v>10</v>
      </c>
      <c r="F1278">
        <v>3449904</v>
      </c>
      <c r="G1278" s="1">
        <v>4</v>
      </c>
      <c r="H1278" s="2">
        <v>3605</v>
      </c>
      <c r="I1278" t="str">
        <f>VLOOKUP(Tabela1[[#This Row],[CO_PAIS]],'[1]nome do paixs'!$A:$B,2,0)</f>
        <v>Tailândia</v>
      </c>
      <c r="J1278" t="s">
        <v>12</v>
      </c>
    </row>
    <row r="1279" spans="1:10">
      <c r="A1279">
        <v>2022</v>
      </c>
      <c r="B1279">
        <v>6</v>
      </c>
      <c r="C1279">
        <v>8807</v>
      </c>
      <c r="D1279">
        <v>741</v>
      </c>
      <c r="E1279" t="s">
        <v>10</v>
      </c>
      <c r="F1279">
        <v>3454102</v>
      </c>
      <c r="G1279" s="1">
        <v>0</v>
      </c>
      <c r="H1279" s="2">
        <v>549</v>
      </c>
      <c r="I1279" t="str">
        <f>VLOOKUP(Tabela1[[#This Row],[CO_PAIS]],'[1]nome do paixs'!$A:$B,2,0)</f>
        <v>Singapura</v>
      </c>
      <c r="J1279" t="s">
        <v>11</v>
      </c>
    </row>
    <row r="1280" spans="1:10">
      <c r="A1280">
        <v>2022</v>
      </c>
      <c r="B1280">
        <v>6</v>
      </c>
      <c r="C1280">
        <v>8807</v>
      </c>
      <c r="D1280">
        <v>245</v>
      </c>
      <c r="E1280" t="s">
        <v>10</v>
      </c>
      <c r="F1280">
        <v>3454102</v>
      </c>
      <c r="G1280" s="1">
        <v>1700</v>
      </c>
      <c r="H1280" s="2">
        <v>1423862</v>
      </c>
      <c r="I1280" t="str">
        <f>VLOOKUP(Tabela1[[#This Row],[CO_PAIS]],'[1]nome do paixs'!$A:$B,2,0)</f>
        <v>Espanha</v>
      </c>
      <c r="J1280" t="s">
        <v>11</v>
      </c>
    </row>
    <row r="1281" spans="1:10">
      <c r="A1281">
        <v>2022</v>
      </c>
      <c r="B1281">
        <v>6</v>
      </c>
      <c r="C1281">
        <v>8807</v>
      </c>
      <c r="D1281">
        <v>361</v>
      </c>
      <c r="E1281" t="s">
        <v>10</v>
      </c>
      <c r="F1281">
        <v>3449904</v>
      </c>
      <c r="G1281" s="1">
        <v>220</v>
      </c>
      <c r="H1281" s="2">
        <v>89491</v>
      </c>
      <c r="I1281" t="str">
        <f>VLOOKUP(Tabela1[[#This Row],[CO_PAIS]],'[1]nome do paixs'!$A:$B,2,0)</f>
        <v>Índia</v>
      </c>
      <c r="J1281" t="s">
        <v>12</v>
      </c>
    </row>
    <row r="1282" spans="1:10">
      <c r="A1282">
        <v>2022</v>
      </c>
      <c r="B1282">
        <v>6</v>
      </c>
      <c r="C1282">
        <v>8807</v>
      </c>
      <c r="D1282">
        <v>386</v>
      </c>
      <c r="E1282" t="s">
        <v>10</v>
      </c>
      <c r="F1282">
        <v>3454102</v>
      </c>
      <c r="G1282" s="1">
        <v>1152</v>
      </c>
      <c r="H1282" s="2">
        <v>2494816</v>
      </c>
      <c r="I1282" t="str">
        <f>VLOOKUP(Tabela1[[#This Row],[CO_PAIS]],'[1]nome do paixs'!$A:$B,2,0)</f>
        <v>Itália</v>
      </c>
      <c r="J1282" t="s">
        <v>11</v>
      </c>
    </row>
    <row r="1283" spans="1:10">
      <c r="A1283">
        <v>2022</v>
      </c>
      <c r="B1283">
        <v>6</v>
      </c>
      <c r="C1283">
        <v>8807</v>
      </c>
      <c r="D1283">
        <v>474</v>
      </c>
      <c r="E1283" t="s">
        <v>10</v>
      </c>
      <c r="F1283">
        <v>3454102</v>
      </c>
      <c r="G1283" s="1">
        <v>184</v>
      </c>
      <c r="H1283" s="2">
        <v>345271</v>
      </c>
      <c r="I1283" t="str">
        <f>VLOOKUP(Tabela1[[#This Row],[CO_PAIS]],'[1]nome do paixs'!$A:$B,2,0)</f>
        <v>Marrocos</v>
      </c>
      <c r="J1283" t="s">
        <v>11</v>
      </c>
    </row>
    <row r="1284" spans="1:10">
      <c r="A1284">
        <v>2022</v>
      </c>
      <c r="B1284">
        <v>6</v>
      </c>
      <c r="C1284">
        <v>8807</v>
      </c>
      <c r="D1284">
        <v>741</v>
      </c>
      <c r="E1284" t="s">
        <v>10</v>
      </c>
      <c r="F1284">
        <v>3449904</v>
      </c>
      <c r="G1284" s="1">
        <v>157</v>
      </c>
      <c r="H1284" s="2">
        <v>158059</v>
      </c>
      <c r="I1284" t="str">
        <f>VLOOKUP(Tabela1[[#This Row],[CO_PAIS]],'[1]nome do paixs'!$A:$B,2,0)</f>
        <v>Singapura</v>
      </c>
      <c r="J1284" t="s">
        <v>12</v>
      </c>
    </row>
    <row r="1285" spans="1:10">
      <c r="A1285">
        <v>2022</v>
      </c>
      <c r="B1285">
        <v>6</v>
      </c>
      <c r="C1285">
        <v>8807</v>
      </c>
      <c r="D1285">
        <v>676</v>
      </c>
      <c r="E1285" t="s">
        <v>10</v>
      </c>
      <c r="F1285">
        <v>3449904</v>
      </c>
      <c r="G1285" s="1">
        <v>90</v>
      </c>
      <c r="H1285" s="2">
        <v>70058</v>
      </c>
      <c r="I1285" t="str">
        <f>VLOOKUP(Tabela1[[#This Row],[CO_PAIS]],'[1]nome do paixs'!$A:$B,2,0)</f>
        <v>Rússia</v>
      </c>
      <c r="J1285" t="s">
        <v>12</v>
      </c>
    </row>
    <row r="1286" spans="1:10">
      <c r="A1286">
        <v>2022</v>
      </c>
      <c r="B1286">
        <v>6</v>
      </c>
      <c r="C1286">
        <v>8807</v>
      </c>
      <c r="D1286">
        <v>275</v>
      </c>
      <c r="E1286" t="s">
        <v>10</v>
      </c>
      <c r="F1286">
        <v>3454102</v>
      </c>
      <c r="G1286" s="1">
        <v>2835</v>
      </c>
      <c r="H1286" s="2">
        <v>4903484</v>
      </c>
      <c r="I1286" t="str">
        <f>VLOOKUP(Tabela1[[#This Row],[CO_PAIS]],'[1]nome do paixs'!$A:$B,2,0)</f>
        <v>França</v>
      </c>
      <c r="J1286" t="s">
        <v>11</v>
      </c>
    </row>
    <row r="1287" spans="1:10">
      <c r="A1287">
        <v>2022</v>
      </c>
      <c r="B1287">
        <v>6</v>
      </c>
      <c r="C1287">
        <v>8807</v>
      </c>
      <c r="D1287">
        <v>63</v>
      </c>
      <c r="E1287" t="s">
        <v>10</v>
      </c>
      <c r="F1287">
        <v>3449904</v>
      </c>
      <c r="G1287" s="1">
        <v>4</v>
      </c>
      <c r="H1287" s="2">
        <v>16526</v>
      </c>
      <c r="I1287" t="str">
        <f>VLOOKUP(Tabela1[[#This Row],[CO_PAIS]],'[1]nome do paixs'!$A:$B,2,0)</f>
        <v>Argentina</v>
      </c>
      <c r="J1287" t="s">
        <v>12</v>
      </c>
    </row>
    <row r="1288" spans="1:10">
      <c r="A1288">
        <v>2022</v>
      </c>
      <c r="B1288">
        <v>6</v>
      </c>
      <c r="C1288">
        <v>8807</v>
      </c>
      <c r="D1288">
        <v>756</v>
      </c>
      <c r="E1288" t="s">
        <v>10</v>
      </c>
      <c r="F1288">
        <v>3449904</v>
      </c>
      <c r="G1288" s="1">
        <v>1</v>
      </c>
      <c r="H1288" s="2">
        <v>3058</v>
      </c>
      <c r="I1288" t="str">
        <f>VLOOKUP(Tabela1[[#This Row],[CO_PAIS]],'[1]nome do paixs'!$A:$B,2,0)</f>
        <v>África do Sul</v>
      </c>
      <c r="J1288" t="s">
        <v>12</v>
      </c>
    </row>
    <row r="1289" spans="1:10">
      <c r="A1289">
        <v>2022</v>
      </c>
      <c r="B1289">
        <v>6</v>
      </c>
      <c r="C1289">
        <v>8807</v>
      </c>
      <c r="D1289">
        <v>245</v>
      </c>
      <c r="E1289" t="s">
        <v>10</v>
      </c>
      <c r="F1289">
        <v>3449904</v>
      </c>
      <c r="G1289" s="1">
        <v>5805</v>
      </c>
      <c r="H1289" s="2">
        <v>1575737</v>
      </c>
      <c r="I1289" t="str">
        <f>VLOOKUP(Tabela1[[#This Row],[CO_PAIS]],'[1]nome do paixs'!$A:$B,2,0)</f>
        <v>Espanha</v>
      </c>
      <c r="J1289" t="s">
        <v>12</v>
      </c>
    </row>
    <row r="1290" spans="1:10">
      <c r="A1290">
        <v>2022</v>
      </c>
      <c r="B1290">
        <v>6</v>
      </c>
      <c r="C1290">
        <v>8807</v>
      </c>
      <c r="D1290">
        <v>23</v>
      </c>
      <c r="E1290" t="s">
        <v>10</v>
      </c>
      <c r="F1290">
        <v>3454102</v>
      </c>
      <c r="G1290" s="1">
        <v>2770</v>
      </c>
      <c r="H1290" s="2">
        <v>655186</v>
      </c>
      <c r="I1290" t="str">
        <f>VLOOKUP(Tabela1[[#This Row],[CO_PAIS]],'[1]nome do paixs'!$A:$B,2,0)</f>
        <v>Alemanha</v>
      </c>
      <c r="J1290" t="s">
        <v>11</v>
      </c>
    </row>
    <row r="1291" spans="1:10">
      <c r="A1291">
        <v>2022</v>
      </c>
      <c r="B1291">
        <v>6</v>
      </c>
      <c r="C1291">
        <v>8807</v>
      </c>
      <c r="D1291">
        <v>149</v>
      </c>
      <c r="E1291" t="s">
        <v>10</v>
      </c>
      <c r="F1291">
        <v>3454102</v>
      </c>
      <c r="G1291" s="1">
        <v>192</v>
      </c>
      <c r="H1291" s="2">
        <v>66976</v>
      </c>
      <c r="I1291" t="str">
        <f>VLOOKUP(Tabela1[[#This Row],[CO_PAIS]],'[1]nome do paixs'!$A:$B,2,0)</f>
        <v>Canadá</v>
      </c>
      <c r="J1291" t="s">
        <v>11</v>
      </c>
    </row>
    <row r="1292" spans="1:10">
      <c r="A1292">
        <v>2022</v>
      </c>
      <c r="B1292">
        <v>6</v>
      </c>
      <c r="C1292">
        <v>8807</v>
      </c>
      <c r="D1292">
        <v>607</v>
      </c>
      <c r="E1292" t="s">
        <v>10</v>
      </c>
      <c r="F1292">
        <v>3454102</v>
      </c>
      <c r="G1292" s="1">
        <v>11712</v>
      </c>
      <c r="H1292" s="2">
        <v>3938264</v>
      </c>
      <c r="I1292" t="str">
        <f>VLOOKUP(Tabela1[[#This Row],[CO_PAIS]],'[1]nome do paixs'!$A:$B,2,0)</f>
        <v>Portugal</v>
      </c>
      <c r="J1292" t="s">
        <v>11</v>
      </c>
    </row>
    <row r="1293" spans="1:10">
      <c r="A1293">
        <v>2022</v>
      </c>
      <c r="B1293">
        <v>6</v>
      </c>
      <c r="C1293">
        <v>8807</v>
      </c>
      <c r="D1293">
        <v>190</v>
      </c>
      <c r="E1293" t="s">
        <v>10</v>
      </c>
      <c r="F1293">
        <v>3449904</v>
      </c>
      <c r="G1293" s="1">
        <v>9</v>
      </c>
      <c r="H1293" s="2">
        <v>14238</v>
      </c>
      <c r="I1293" t="str">
        <f>VLOOKUP(Tabela1[[#This Row],[CO_PAIS]],'[1]nome do paixs'!$A:$B,2,0)</f>
        <v>Coreia do Sul</v>
      </c>
      <c r="J1293" t="s">
        <v>12</v>
      </c>
    </row>
    <row r="1294" spans="1:10">
      <c r="A1294">
        <v>2022</v>
      </c>
      <c r="B1294">
        <v>6</v>
      </c>
      <c r="C1294">
        <v>8807</v>
      </c>
      <c r="D1294">
        <v>87</v>
      </c>
      <c r="E1294" t="s">
        <v>10</v>
      </c>
      <c r="F1294">
        <v>3454102</v>
      </c>
      <c r="G1294" s="1">
        <v>1680</v>
      </c>
      <c r="H1294" s="2">
        <v>1673512</v>
      </c>
      <c r="I1294" t="str">
        <f>VLOOKUP(Tabela1[[#This Row],[CO_PAIS]],'[1]nome do paixs'!$A:$B,2,0)</f>
        <v>Bélgica</v>
      </c>
      <c r="J1294" t="s">
        <v>11</v>
      </c>
    </row>
    <row r="1295" spans="1:10">
      <c r="A1295">
        <v>2022</v>
      </c>
      <c r="B1295">
        <v>6</v>
      </c>
      <c r="C1295">
        <v>8807</v>
      </c>
      <c r="D1295">
        <v>493</v>
      </c>
      <c r="E1295" t="s">
        <v>10</v>
      </c>
      <c r="F1295">
        <v>3454102</v>
      </c>
      <c r="G1295" s="1">
        <v>6244</v>
      </c>
      <c r="H1295" s="2">
        <v>2747844</v>
      </c>
      <c r="I1295" t="str">
        <f>VLOOKUP(Tabela1[[#This Row],[CO_PAIS]],'[1]nome do paixs'!$A:$B,2,0)</f>
        <v>México</v>
      </c>
      <c r="J1295" t="s">
        <v>11</v>
      </c>
    </row>
    <row r="1296" spans="1:10">
      <c r="A1296">
        <v>2022</v>
      </c>
      <c r="B1296">
        <v>6</v>
      </c>
      <c r="C1296">
        <v>8807</v>
      </c>
      <c r="D1296">
        <v>493</v>
      </c>
      <c r="E1296" t="s">
        <v>10</v>
      </c>
      <c r="F1296">
        <v>3449904</v>
      </c>
      <c r="G1296" s="1">
        <v>1731</v>
      </c>
      <c r="H1296" s="2">
        <v>1176875</v>
      </c>
      <c r="I1296" t="str">
        <f>VLOOKUP(Tabela1[[#This Row],[CO_PAIS]],'[1]nome do paixs'!$A:$B,2,0)</f>
        <v>México</v>
      </c>
      <c r="J1296" t="s">
        <v>12</v>
      </c>
    </row>
    <row r="1297" spans="1:10">
      <c r="A1297">
        <v>2022</v>
      </c>
      <c r="B1297">
        <v>6</v>
      </c>
      <c r="C1297">
        <v>8807</v>
      </c>
      <c r="D1297">
        <v>399</v>
      </c>
      <c r="E1297" t="s">
        <v>10</v>
      </c>
      <c r="F1297">
        <v>3454102</v>
      </c>
      <c r="G1297" s="1">
        <v>7036</v>
      </c>
      <c r="H1297" s="2">
        <v>4104382</v>
      </c>
      <c r="I1297" t="str">
        <f>VLOOKUP(Tabela1[[#This Row],[CO_PAIS]],'[1]nome do paixs'!$A:$B,2,0)</f>
        <v>Japão</v>
      </c>
      <c r="J1297" t="s">
        <v>11</v>
      </c>
    </row>
    <row r="1298" spans="1:10">
      <c r="A1298">
        <v>2022</v>
      </c>
      <c r="B1298">
        <v>6</v>
      </c>
      <c r="C1298">
        <v>8807</v>
      </c>
      <c r="D1298">
        <v>827</v>
      </c>
      <c r="E1298" t="s">
        <v>10</v>
      </c>
      <c r="F1298">
        <v>3449904</v>
      </c>
      <c r="G1298" s="1">
        <v>1</v>
      </c>
      <c r="H1298" s="2">
        <v>1729</v>
      </c>
      <c r="I1298" t="str">
        <f>VLOOKUP(Tabela1[[#This Row],[CO_PAIS]],'[1]nome do paixs'!$A:$B,2,0)</f>
        <v>Turquia</v>
      </c>
      <c r="J1298" t="s">
        <v>12</v>
      </c>
    </row>
    <row r="1299" spans="1:10">
      <c r="A1299">
        <v>2022</v>
      </c>
      <c r="B1299">
        <v>6</v>
      </c>
      <c r="C1299">
        <v>8807</v>
      </c>
      <c r="D1299">
        <v>399</v>
      </c>
      <c r="E1299" t="s">
        <v>10</v>
      </c>
      <c r="F1299">
        <v>3449904</v>
      </c>
      <c r="G1299" s="1">
        <v>852</v>
      </c>
      <c r="H1299" s="2">
        <v>775815</v>
      </c>
      <c r="I1299" t="str">
        <f>VLOOKUP(Tabela1[[#This Row],[CO_PAIS]],'[1]nome do paixs'!$A:$B,2,0)</f>
        <v>Japão</v>
      </c>
      <c r="J1299" t="s">
        <v>12</v>
      </c>
    </row>
    <row r="1300" spans="1:10">
      <c r="A1300">
        <v>2022</v>
      </c>
      <c r="B1300">
        <v>6</v>
      </c>
      <c r="C1300">
        <v>8807</v>
      </c>
      <c r="D1300">
        <v>275</v>
      </c>
      <c r="E1300" t="s">
        <v>10</v>
      </c>
      <c r="F1300">
        <v>3449904</v>
      </c>
      <c r="G1300" s="1">
        <v>354</v>
      </c>
      <c r="H1300" s="2">
        <v>397788</v>
      </c>
      <c r="I1300" t="str">
        <f>VLOOKUP(Tabela1[[#This Row],[CO_PAIS]],'[1]nome do paixs'!$A:$B,2,0)</f>
        <v>França</v>
      </c>
      <c r="J1300" t="s">
        <v>12</v>
      </c>
    </row>
    <row r="1301" spans="1:10">
      <c r="A1301">
        <v>2022</v>
      </c>
      <c r="B1301">
        <v>6</v>
      </c>
      <c r="C1301">
        <v>8807</v>
      </c>
      <c r="D1301">
        <v>386</v>
      </c>
      <c r="E1301" t="s">
        <v>10</v>
      </c>
      <c r="F1301">
        <v>3449904</v>
      </c>
      <c r="G1301" s="1">
        <v>9</v>
      </c>
      <c r="H1301" s="2">
        <v>9012</v>
      </c>
      <c r="I1301" t="str">
        <f>VLOOKUP(Tabela1[[#This Row],[CO_PAIS]],'[1]nome do paixs'!$A:$B,2,0)</f>
        <v>Itália</v>
      </c>
      <c r="J1301" t="s">
        <v>12</v>
      </c>
    </row>
    <row r="1302" spans="1:10">
      <c r="A1302">
        <v>2022</v>
      </c>
      <c r="B1302">
        <v>6</v>
      </c>
      <c r="C1302">
        <v>8807</v>
      </c>
      <c r="D1302">
        <v>791</v>
      </c>
      <c r="E1302" t="s">
        <v>10</v>
      </c>
      <c r="F1302">
        <v>3424402</v>
      </c>
      <c r="G1302" s="1">
        <v>441</v>
      </c>
      <c r="H1302" s="2">
        <v>339016</v>
      </c>
      <c r="I1302" t="str">
        <f>VLOOKUP(Tabela1[[#This Row],[CO_PAIS]],'[1]nome do paixs'!$A:$B,2,0)</f>
        <v>Tcheca, República</v>
      </c>
      <c r="J1302" t="s">
        <v>13</v>
      </c>
    </row>
    <row r="1303" spans="1:10">
      <c r="A1303">
        <v>2022</v>
      </c>
      <c r="B1303">
        <v>6</v>
      </c>
      <c r="C1303">
        <v>8807</v>
      </c>
      <c r="D1303">
        <v>455</v>
      </c>
      <c r="E1303" t="s">
        <v>10</v>
      </c>
      <c r="F1303">
        <v>3454102</v>
      </c>
      <c r="G1303" s="1">
        <v>521</v>
      </c>
      <c r="H1303" s="2">
        <v>62722</v>
      </c>
      <c r="I1303" t="str">
        <f>VLOOKUP(Tabela1[[#This Row],[CO_PAIS]],'[1]nome do paixs'!$A:$B,2,0)</f>
        <v>Malásia</v>
      </c>
      <c r="J1303" t="s">
        <v>11</v>
      </c>
    </row>
    <row r="1304" spans="1:10">
      <c r="A1304">
        <v>2022</v>
      </c>
      <c r="B1304">
        <v>6</v>
      </c>
      <c r="C1304">
        <v>8807</v>
      </c>
      <c r="D1304">
        <v>628</v>
      </c>
      <c r="E1304" t="s">
        <v>10</v>
      </c>
      <c r="F1304">
        <v>3454102</v>
      </c>
      <c r="G1304" s="1">
        <v>269</v>
      </c>
      <c r="H1304" s="2">
        <v>145626</v>
      </c>
      <c r="I1304" t="str">
        <f>VLOOKUP(Tabela1[[#This Row],[CO_PAIS]],'[1]nome do paixs'!$A:$B,2,0)</f>
        <v>Reino Unido</v>
      </c>
      <c r="J1304" t="s">
        <v>11</v>
      </c>
    </row>
    <row r="1305" spans="1:10">
      <c r="A1305">
        <v>2022</v>
      </c>
      <c r="B1305">
        <v>6</v>
      </c>
      <c r="C1305">
        <v>8807</v>
      </c>
      <c r="D1305">
        <v>249</v>
      </c>
      <c r="E1305" t="s">
        <v>10</v>
      </c>
      <c r="F1305">
        <v>3449904</v>
      </c>
      <c r="G1305" s="1">
        <v>7289</v>
      </c>
      <c r="H1305" s="2">
        <v>4284821</v>
      </c>
      <c r="I1305" t="str">
        <f>VLOOKUP(Tabela1[[#This Row],[CO_PAIS]],'[1]nome do paixs'!$A:$B,2,0)</f>
        <v>Estados Unidos</v>
      </c>
      <c r="J1305" t="s">
        <v>12</v>
      </c>
    </row>
    <row r="1306" spans="1:10">
      <c r="A1306">
        <v>2022</v>
      </c>
      <c r="B1306">
        <v>6</v>
      </c>
      <c r="C1306">
        <v>8807</v>
      </c>
      <c r="D1306">
        <v>190</v>
      </c>
      <c r="E1306" t="s">
        <v>10</v>
      </c>
      <c r="F1306">
        <v>3424402</v>
      </c>
      <c r="G1306" s="1">
        <v>98</v>
      </c>
      <c r="H1306" s="2">
        <v>35725</v>
      </c>
      <c r="I1306" t="str">
        <f>VLOOKUP(Tabela1[[#This Row],[CO_PAIS]],'[1]nome do paixs'!$A:$B,2,0)</f>
        <v>Coreia do Sul</v>
      </c>
      <c r="J1306" t="s">
        <v>13</v>
      </c>
    </row>
    <row r="1307" spans="1:10">
      <c r="A1307">
        <v>2022</v>
      </c>
      <c r="B1307">
        <v>6</v>
      </c>
      <c r="C1307">
        <v>8807</v>
      </c>
      <c r="D1307">
        <v>161</v>
      </c>
      <c r="E1307" t="s">
        <v>10</v>
      </c>
      <c r="F1307">
        <v>3449904</v>
      </c>
      <c r="G1307" s="1">
        <v>6</v>
      </c>
      <c r="H1307" s="2">
        <v>6607</v>
      </c>
      <c r="I1307" t="str">
        <f>VLOOKUP(Tabela1[[#This Row],[CO_PAIS]],'[1]nome do paixs'!$A:$B,2,0)</f>
        <v>Taiwan (Formosa)</v>
      </c>
      <c r="J1307" t="s">
        <v>12</v>
      </c>
    </row>
    <row r="1308" spans="1:10">
      <c r="A1308">
        <v>2022</v>
      </c>
      <c r="B1308">
        <v>6</v>
      </c>
      <c r="C1308">
        <v>8807</v>
      </c>
      <c r="D1308">
        <v>72</v>
      </c>
      <c r="E1308" t="s">
        <v>10</v>
      </c>
      <c r="F1308">
        <v>3454102</v>
      </c>
      <c r="G1308" s="1">
        <v>377</v>
      </c>
      <c r="H1308" s="2">
        <v>570245</v>
      </c>
      <c r="I1308" t="str">
        <f>VLOOKUP(Tabela1[[#This Row],[CO_PAIS]],'[1]nome do paixs'!$A:$B,2,0)</f>
        <v>Áustria</v>
      </c>
      <c r="J1308" t="s">
        <v>11</v>
      </c>
    </row>
    <row r="1309" spans="1:10">
      <c r="A1309">
        <v>2022</v>
      </c>
      <c r="B1309">
        <v>6</v>
      </c>
      <c r="C1309">
        <v>8807</v>
      </c>
      <c r="D1309">
        <v>149</v>
      </c>
      <c r="E1309" t="s">
        <v>10</v>
      </c>
      <c r="F1309">
        <v>3449904</v>
      </c>
      <c r="G1309" s="1">
        <v>2</v>
      </c>
      <c r="H1309" s="2">
        <v>1300</v>
      </c>
      <c r="I1309" t="str">
        <f>VLOOKUP(Tabela1[[#This Row],[CO_PAIS]],'[1]nome do paixs'!$A:$B,2,0)</f>
        <v>Canadá</v>
      </c>
      <c r="J1309" t="s">
        <v>12</v>
      </c>
    </row>
    <row r="1310" spans="1:10">
      <c r="A1310">
        <v>2022</v>
      </c>
      <c r="B1310">
        <v>6</v>
      </c>
      <c r="C1310">
        <v>8807</v>
      </c>
      <c r="D1310">
        <v>375</v>
      </c>
      <c r="E1310" t="s">
        <v>10</v>
      </c>
      <c r="F1310">
        <v>3454102</v>
      </c>
      <c r="G1310" s="1">
        <v>2</v>
      </c>
      <c r="H1310" s="2">
        <v>738</v>
      </c>
      <c r="I1310" t="str">
        <f>VLOOKUP(Tabela1[[#This Row],[CO_PAIS]],'[1]nome do paixs'!$A:$B,2,0)</f>
        <v>Irlanda</v>
      </c>
      <c r="J1310" t="s">
        <v>11</v>
      </c>
    </row>
    <row r="1311" spans="1:10">
      <c r="A1311">
        <v>2022</v>
      </c>
      <c r="B1311">
        <v>6</v>
      </c>
      <c r="C1311">
        <v>8807</v>
      </c>
      <c r="D1311">
        <v>87</v>
      </c>
      <c r="E1311" t="s">
        <v>10</v>
      </c>
      <c r="F1311">
        <v>3449904</v>
      </c>
      <c r="G1311" s="1">
        <v>1645</v>
      </c>
      <c r="H1311" s="2">
        <v>1560898</v>
      </c>
      <c r="I1311" t="str">
        <f>VLOOKUP(Tabela1[[#This Row],[CO_PAIS]],'[1]nome do paixs'!$A:$B,2,0)</f>
        <v>Bélgica</v>
      </c>
      <c r="J1311" t="s">
        <v>12</v>
      </c>
    </row>
    <row r="1312" spans="1:10">
      <c r="A1312">
        <v>2022</v>
      </c>
      <c r="B1312">
        <v>6</v>
      </c>
      <c r="C1312">
        <v>8807</v>
      </c>
      <c r="D1312">
        <v>87</v>
      </c>
      <c r="E1312" t="s">
        <v>10</v>
      </c>
      <c r="F1312">
        <v>3424402</v>
      </c>
      <c r="G1312" s="1">
        <v>14</v>
      </c>
      <c r="H1312" s="2">
        <v>22576</v>
      </c>
      <c r="I1312" t="str">
        <f>VLOOKUP(Tabela1[[#This Row],[CO_PAIS]],'[1]nome do paixs'!$A:$B,2,0)</f>
        <v>Bélgica</v>
      </c>
      <c r="J1312" t="s">
        <v>13</v>
      </c>
    </row>
    <row r="1313" spans="1:10">
      <c r="A1313">
        <v>2022</v>
      </c>
      <c r="B1313">
        <v>6</v>
      </c>
      <c r="C1313">
        <v>8807</v>
      </c>
      <c r="D1313">
        <v>105</v>
      </c>
      <c r="E1313" t="s">
        <v>10</v>
      </c>
      <c r="F1313">
        <v>3454102</v>
      </c>
      <c r="G1313" s="1">
        <v>4895</v>
      </c>
      <c r="H1313" s="2">
        <v>3956196</v>
      </c>
      <c r="I1313" t="str">
        <f>VLOOKUP(Tabela1[[#This Row],[CO_PAIS]],'[1]nome do paixs'!$A:$B,2,0)</f>
        <v>Brasil</v>
      </c>
      <c r="J1313" t="s">
        <v>11</v>
      </c>
    </row>
    <row r="1314" spans="1:10">
      <c r="A1314">
        <v>2022</v>
      </c>
      <c r="B1314">
        <v>6</v>
      </c>
      <c r="C1314">
        <v>8807</v>
      </c>
      <c r="D1314">
        <v>607</v>
      </c>
      <c r="E1314" t="s">
        <v>10</v>
      </c>
      <c r="F1314">
        <v>3449904</v>
      </c>
      <c r="G1314" s="1">
        <v>2</v>
      </c>
      <c r="H1314" s="2">
        <v>10088</v>
      </c>
      <c r="I1314" t="str">
        <f>VLOOKUP(Tabela1[[#This Row],[CO_PAIS]],'[1]nome do paixs'!$A:$B,2,0)</f>
        <v>Portugal</v>
      </c>
      <c r="J1314" t="s">
        <v>12</v>
      </c>
    </row>
    <row r="1315" spans="1:10">
      <c r="A1315">
        <v>2022</v>
      </c>
      <c r="B1315">
        <v>6</v>
      </c>
      <c r="C1315">
        <v>8807</v>
      </c>
      <c r="D1315">
        <v>105</v>
      </c>
      <c r="E1315" t="s">
        <v>10</v>
      </c>
      <c r="F1315">
        <v>3449904</v>
      </c>
      <c r="G1315" s="1">
        <v>8943</v>
      </c>
      <c r="H1315" s="2">
        <v>5550574</v>
      </c>
      <c r="I1315" t="str">
        <f>VLOOKUP(Tabela1[[#This Row],[CO_PAIS]],'[1]nome do paixs'!$A:$B,2,0)</f>
        <v>Brasil</v>
      </c>
      <c r="J1315" t="s">
        <v>12</v>
      </c>
    </row>
    <row r="1316" spans="1:10">
      <c r="A1316">
        <v>2022</v>
      </c>
      <c r="B1316">
        <v>6</v>
      </c>
      <c r="C1316">
        <v>8807</v>
      </c>
      <c r="D1316">
        <v>275</v>
      </c>
      <c r="E1316" t="s">
        <v>10</v>
      </c>
      <c r="F1316">
        <v>3424402</v>
      </c>
      <c r="G1316" s="1">
        <v>372</v>
      </c>
      <c r="H1316" s="2">
        <v>487196</v>
      </c>
      <c r="I1316" t="str">
        <f>VLOOKUP(Tabela1[[#This Row],[CO_PAIS]],'[1]nome do paixs'!$A:$B,2,0)</f>
        <v>França</v>
      </c>
      <c r="J1316" t="s">
        <v>13</v>
      </c>
    </row>
    <row r="1317" spans="1:10">
      <c r="A1317">
        <v>2022</v>
      </c>
      <c r="B1317">
        <v>6</v>
      </c>
      <c r="C1317">
        <v>8807</v>
      </c>
      <c r="D1317">
        <v>474</v>
      </c>
      <c r="E1317" t="s">
        <v>10</v>
      </c>
      <c r="F1317">
        <v>3449904</v>
      </c>
      <c r="G1317" s="1">
        <v>5</v>
      </c>
      <c r="H1317" s="2">
        <v>16088</v>
      </c>
      <c r="I1317" t="str">
        <f>VLOOKUP(Tabela1[[#This Row],[CO_PAIS]],'[1]nome do paixs'!$A:$B,2,0)</f>
        <v>Marrocos</v>
      </c>
      <c r="J1317" t="s">
        <v>12</v>
      </c>
    </row>
    <row r="1318" spans="1:10">
      <c r="A1318">
        <v>2022</v>
      </c>
      <c r="B1318">
        <v>6</v>
      </c>
      <c r="C1318">
        <v>8807</v>
      </c>
      <c r="D1318">
        <v>603</v>
      </c>
      <c r="E1318" t="s">
        <v>10</v>
      </c>
      <c r="F1318">
        <v>3449904</v>
      </c>
      <c r="G1318" s="1">
        <v>17</v>
      </c>
      <c r="H1318" s="2">
        <v>13408</v>
      </c>
      <c r="I1318" t="str">
        <f>VLOOKUP(Tabela1[[#This Row],[CO_PAIS]],'[1]nome do paixs'!$A:$B,2,0)</f>
        <v>Polônia</v>
      </c>
      <c r="J1318" t="s">
        <v>12</v>
      </c>
    </row>
    <row r="1319" spans="1:10">
      <c r="A1319">
        <v>2022</v>
      </c>
      <c r="B1319">
        <v>6</v>
      </c>
      <c r="C1319">
        <v>8807</v>
      </c>
      <c r="D1319">
        <v>245</v>
      </c>
      <c r="E1319" t="s">
        <v>10</v>
      </c>
      <c r="F1319">
        <v>3424402</v>
      </c>
      <c r="G1319" s="1">
        <v>228</v>
      </c>
      <c r="H1319" s="2">
        <v>91115</v>
      </c>
      <c r="I1319" t="str">
        <f>VLOOKUP(Tabela1[[#This Row],[CO_PAIS]],'[1]nome do paixs'!$A:$B,2,0)</f>
        <v>Espanha</v>
      </c>
      <c r="J1319" t="s">
        <v>13</v>
      </c>
    </row>
    <row r="1320" spans="1:10">
      <c r="A1320">
        <v>2022</v>
      </c>
      <c r="B1320">
        <v>6</v>
      </c>
      <c r="C1320">
        <v>8807</v>
      </c>
      <c r="D1320">
        <v>23</v>
      </c>
      <c r="E1320" t="s">
        <v>10</v>
      </c>
      <c r="F1320">
        <v>3449904</v>
      </c>
      <c r="G1320" s="1">
        <v>218</v>
      </c>
      <c r="H1320" s="2">
        <v>305662</v>
      </c>
      <c r="I1320" t="str">
        <f>VLOOKUP(Tabela1[[#This Row],[CO_PAIS]],'[1]nome do paixs'!$A:$B,2,0)</f>
        <v>Alemanha</v>
      </c>
      <c r="J1320" t="s">
        <v>12</v>
      </c>
    </row>
    <row r="1321" spans="1:10">
      <c r="A1321">
        <v>2022</v>
      </c>
      <c r="B1321">
        <v>6</v>
      </c>
      <c r="C1321">
        <v>8807</v>
      </c>
      <c r="D1321">
        <v>375</v>
      </c>
      <c r="E1321" t="s">
        <v>10</v>
      </c>
      <c r="F1321">
        <v>3449904</v>
      </c>
      <c r="G1321" s="1">
        <v>11</v>
      </c>
      <c r="H1321" s="2">
        <v>13791</v>
      </c>
      <c r="I1321" t="str">
        <f>VLOOKUP(Tabela1[[#This Row],[CO_PAIS]],'[1]nome do paixs'!$A:$B,2,0)</f>
        <v>Irlanda</v>
      </c>
      <c r="J1321" t="s">
        <v>12</v>
      </c>
    </row>
    <row r="1322" spans="1:10">
      <c r="A1322">
        <v>2022</v>
      </c>
      <c r="B1322">
        <v>6</v>
      </c>
      <c r="C1322">
        <v>8807</v>
      </c>
      <c r="D1322">
        <v>249</v>
      </c>
      <c r="E1322" t="s">
        <v>10</v>
      </c>
      <c r="F1322">
        <v>3454102</v>
      </c>
      <c r="G1322" s="1">
        <v>26700</v>
      </c>
      <c r="H1322" s="2">
        <v>3150096</v>
      </c>
      <c r="I1322" t="str">
        <f>VLOOKUP(Tabela1[[#This Row],[CO_PAIS]],'[1]nome do paixs'!$A:$B,2,0)</f>
        <v>Estados Unidos</v>
      </c>
      <c r="J1322" t="s">
        <v>11</v>
      </c>
    </row>
    <row r="1323" spans="1:10">
      <c r="A1323">
        <v>2021</v>
      </c>
      <c r="B1323">
        <v>6</v>
      </c>
      <c r="C1323">
        <v>8803</v>
      </c>
      <c r="D1323">
        <v>87</v>
      </c>
      <c r="E1323" t="s">
        <v>10</v>
      </c>
      <c r="F1323">
        <v>3454102</v>
      </c>
      <c r="G1323" s="1">
        <v>1107</v>
      </c>
      <c r="H1323" s="2">
        <v>821424</v>
      </c>
      <c r="I1323" t="str">
        <f>VLOOKUP(Tabela1[[#This Row],[CO_PAIS]],'[1]nome do paixs'!$A:$B,2,0)</f>
        <v>Bélgica</v>
      </c>
      <c r="J1323" t="s">
        <v>11</v>
      </c>
    </row>
    <row r="1324" spans="1:10">
      <c r="A1324">
        <v>2021</v>
      </c>
      <c r="B1324">
        <v>6</v>
      </c>
      <c r="C1324">
        <v>8803</v>
      </c>
      <c r="D1324">
        <v>190</v>
      </c>
      <c r="E1324" t="s">
        <v>10</v>
      </c>
      <c r="F1324">
        <v>3424402</v>
      </c>
      <c r="G1324" s="1">
        <v>442</v>
      </c>
      <c r="H1324" s="2">
        <v>93246</v>
      </c>
      <c r="I1324" t="str">
        <f>VLOOKUP(Tabela1[[#This Row],[CO_PAIS]],'[1]nome do paixs'!$A:$B,2,0)</f>
        <v>Coreia do Sul</v>
      </c>
      <c r="J1324" t="s">
        <v>13</v>
      </c>
    </row>
    <row r="1325" spans="1:10">
      <c r="A1325">
        <v>2021</v>
      </c>
      <c r="B1325">
        <v>6</v>
      </c>
      <c r="C1325">
        <v>8803</v>
      </c>
      <c r="D1325">
        <v>361</v>
      </c>
      <c r="E1325" t="s">
        <v>10</v>
      </c>
      <c r="F1325">
        <v>3449904</v>
      </c>
      <c r="G1325" s="1">
        <v>658</v>
      </c>
      <c r="H1325" s="2">
        <v>291652</v>
      </c>
      <c r="I1325" t="str">
        <f>VLOOKUP(Tabela1[[#This Row],[CO_PAIS]],'[1]nome do paixs'!$A:$B,2,0)</f>
        <v>Índia</v>
      </c>
      <c r="J1325" t="s">
        <v>12</v>
      </c>
    </row>
    <row r="1326" spans="1:10">
      <c r="A1326">
        <v>2021</v>
      </c>
      <c r="B1326">
        <v>6</v>
      </c>
      <c r="C1326">
        <v>8803</v>
      </c>
      <c r="D1326">
        <v>105</v>
      </c>
      <c r="E1326" t="s">
        <v>10</v>
      </c>
      <c r="F1326">
        <v>3449904</v>
      </c>
      <c r="G1326" s="1">
        <v>8699</v>
      </c>
      <c r="H1326" s="2">
        <v>5395620</v>
      </c>
      <c r="I1326" t="str">
        <f>VLOOKUP(Tabela1[[#This Row],[CO_PAIS]],'[1]nome do paixs'!$A:$B,2,0)</f>
        <v>Brasil</v>
      </c>
      <c r="J1326" t="s">
        <v>12</v>
      </c>
    </row>
    <row r="1327" spans="1:10">
      <c r="A1327">
        <v>2021</v>
      </c>
      <c r="B1327">
        <v>6</v>
      </c>
      <c r="C1327">
        <v>8803</v>
      </c>
      <c r="D1327">
        <v>827</v>
      </c>
      <c r="E1327" t="s">
        <v>10</v>
      </c>
      <c r="F1327">
        <v>3449904</v>
      </c>
      <c r="G1327" s="1">
        <v>5</v>
      </c>
      <c r="H1327" s="2">
        <v>2810</v>
      </c>
      <c r="I1327" t="str">
        <f>VLOOKUP(Tabela1[[#This Row],[CO_PAIS]],'[1]nome do paixs'!$A:$B,2,0)</f>
        <v>Turquia</v>
      </c>
      <c r="J1327" t="s">
        <v>12</v>
      </c>
    </row>
    <row r="1328" spans="1:10">
      <c r="A1328">
        <v>2021</v>
      </c>
      <c r="B1328">
        <v>6</v>
      </c>
      <c r="C1328">
        <v>8803</v>
      </c>
      <c r="D1328">
        <v>245</v>
      </c>
      <c r="E1328" t="s">
        <v>10</v>
      </c>
      <c r="F1328">
        <v>3449904</v>
      </c>
      <c r="G1328" s="1">
        <v>1331</v>
      </c>
      <c r="H1328" s="2">
        <v>450129</v>
      </c>
      <c r="I1328" t="str">
        <f>VLOOKUP(Tabela1[[#This Row],[CO_PAIS]],'[1]nome do paixs'!$A:$B,2,0)</f>
        <v>Espanha</v>
      </c>
      <c r="J1328" t="s">
        <v>12</v>
      </c>
    </row>
    <row r="1329" spans="1:10">
      <c r="A1329">
        <v>2021</v>
      </c>
      <c r="B1329">
        <v>6</v>
      </c>
      <c r="C1329">
        <v>8803</v>
      </c>
      <c r="D1329">
        <v>72</v>
      </c>
      <c r="E1329" t="s">
        <v>10</v>
      </c>
      <c r="F1329">
        <v>3449904</v>
      </c>
      <c r="G1329" s="1">
        <v>3</v>
      </c>
      <c r="H1329" s="2">
        <v>5202</v>
      </c>
      <c r="I1329" t="str">
        <f>VLOOKUP(Tabela1[[#This Row],[CO_PAIS]],'[1]nome do paixs'!$A:$B,2,0)</f>
        <v>Áustria</v>
      </c>
      <c r="J1329" t="s">
        <v>12</v>
      </c>
    </row>
    <row r="1330" spans="1:10">
      <c r="A1330">
        <v>2021</v>
      </c>
      <c r="B1330">
        <v>6</v>
      </c>
      <c r="C1330">
        <v>8803</v>
      </c>
      <c r="D1330">
        <v>791</v>
      </c>
      <c r="E1330" t="s">
        <v>10</v>
      </c>
      <c r="F1330">
        <v>3449904</v>
      </c>
      <c r="G1330" s="1">
        <v>0</v>
      </c>
      <c r="H1330" s="2">
        <v>857</v>
      </c>
      <c r="I1330" t="str">
        <f>VLOOKUP(Tabela1[[#This Row],[CO_PAIS]],'[1]nome do paixs'!$A:$B,2,0)</f>
        <v>Tcheca, República</v>
      </c>
      <c r="J1330" t="s">
        <v>12</v>
      </c>
    </row>
    <row r="1331" spans="1:10">
      <c r="A1331">
        <v>2021</v>
      </c>
      <c r="B1331">
        <v>6</v>
      </c>
      <c r="C1331">
        <v>8803</v>
      </c>
      <c r="D1331">
        <v>249</v>
      </c>
      <c r="E1331" t="s">
        <v>10</v>
      </c>
      <c r="F1331">
        <v>3454102</v>
      </c>
      <c r="G1331" s="1">
        <v>12033</v>
      </c>
      <c r="H1331" s="2">
        <v>3884877</v>
      </c>
      <c r="I1331" t="str">
        <f>VLOOKUP(Tabela1[[#This Row],[CO_PAIS]],'[1]nome do paixs'!$A:$B,2,0)</f>
        <v>Estados Unidos</v>
      </c>
      <c r="J1331" t="s">
        <v>11</v>
      </c>
    </row>
    <row r="1332" spans="1:10">
      <c r="A1332">
        <v>2021</v>
      </c>
      <c r="B1332">
        <v>6</v>
      </c>
      <c r="C1332">
        <v>8803</v>
      </c>
      <c r="D1332">
        <v>375</v>
      </c>
      <c r="E1332" t="s">
        <v>10</v>
      </c>
      <c r="F1332">
        <v>3454102</v>
      </c>
      <c r="G1332" s="1">
        <v>31</v>
      </c>
      <c r="H1332" s="2">
        <v>4320</v>
      </c>
      <c r="I1332" t="str">
        <f>VLOOKUP(Tabela1[[#This Row],[CO_PAIS]],'[1]nome do paixs'!$A:$B,2,0)</f>
        <v>Irlanda</v>
      </c>
      <c r="J1332" t="s">
        <v>11</v>
      </c>
    </row>
    <row r="1333" spans="1:10">
      <c r="A1333">
        <v>2021</v>
      </c>
      <c r="B1333">
        <v>6</v>
      </c>
      <c r="C1333">
        <v>8803</v>
      </c>
      <c r="D1333">
        <v>676</v>
      </c>
      <c r="E1333" t="s">
        <v>10</v>
      </c>
      <c r="F1333">
        <v>3449904</v>
      </c>
      <c r="G1333" s="1">
        <v>28</v>
      </c>
      <c r="H1333" s="2">
        <v>19431</v>
      </c>
      <c r="I1333" t="str">
        <f>VLOOKUP(Tabela1[[#This Row],[CO_PAIS]],'[1]nome do paixs'!$A:$B,2,0)</f>
        <v>Rússia</v>
      </c>
      <c r="J1333" t="s">
        <v>12</v>
      </c>
    </row>
    <row r="1334" spans="1:10">
      <c r="A1334">
        <v>2021</v>
      </c>
      <c r="B1334">
        <v>6</v>
      </c>
      <c r="C1334">
        <v>8803</v>
      </c>
      <c r="D1334">
        <v>386</v>
      </c>
      <c r="E1334" t="s">
        <v>10</v>
      </c>
      <c r="F1334">
        <v>3454102</v>
      </c>
      <c r="G1334" s="1">
        <v>384</v>
      </c>
      <c r="H1334" s="2">
        <v>993680</v>
      </c>
      <c r="I1334" t="str">
        <f>VLOOKUP(Tabela1[[#This Row],[CO_PAIS]],'[1]nome do paixs'!$A:$B,2,0)</f>
        <v>Itália</v>
      </c>
      <c r="J1334" t="s">
        <v>11</v>
      </c>
    </row>
    <row r="1335" spans="1:10">
      <c r="A1335">
        <v>2021</v>
      </c>
      <c r="B1335">
        <v>6</v>
      </c>
      <c r="C1335">
        <v>8803</v>
      </c>
      <c r="D1335">
        <v>190</v>
      </c>
      <c r="E1335" t="s">
        <v>10</v>
      </c>
      <c r="F1335">
        <v>3449904</v>
      </c>
      <c r="G1335" s="1">
        <v>4</v>
      </c>
      <c r="H1335" s="2">
        <v>4808</v>
      </c>
      <c r="I1335" t="str">
        <f>VLOOKUP(Tabela1[[#This Row],[CO_PAIS]],'[1]nome do paixs'!$A:$B,2,0)</f>
        <v>Coreia do Sul</v>
      </c>
      <c r="J1335" t="s">
        <v>12</v>
      </c>
    </row>
    <row r="1336" spans="1:10">
      <c r="A1336">
        <v>2021</v>
      </c>
      <c r="B1336">
        <v>6</v>
      </c>
      <c r="C1336">
        <v>8803</v>
      </c>
      <c r="D1336">
        <v>399</v>
      </c>
      <c r="E1336" t="s">
        <v>10</v>
      </c>
      <c r="F1336">
        <v>3454102</v>
      </c>
      <c r="G1336" s="1">
        <v>3470</v>
      </c>
      <c r="H1336" s="2">
        <v>2905909</v>
      </c>
      <c r="I1336" t="str">
        <f>VLOOKUP(Tabela1[[#This Row],[CO_PAIS]],'[1]nome do paixs'!$A:$B,2,0)</f>
        <v>Japão</v>
      </c>
      <c r="J1336" t="s">
        <v>11</v>
      </c>
    </row>
    <row r="1337" spans="1:10">
      <c r="A1337">
        <v>2021</v>
      </c>
      <c r="B1337">
        <v>6</v>
      </c>
      <c r="C1337">
        <v>8803</v>
      </c>
      <c r="D1337">
        <v>493</v>
      </c>
      <c r="E1337" t="s">
        <v>10</v>
      </c>
      <c r="F1337">
        <v>3454102</v>
      </c>
      <c r="G1337" s="1">
        <v>10464</v>
      </c>
      <c r="H1337" s="2">
        <v>4521462</v>
      </c>
      <c r="I1337" t="str">
        <f>VLOOKUP(Tabela1[[#This Row],[CO_PAIS]],'[1]nome do paixs'!$A:$B,2,0)</f>
        <v>México</v>
      </c>
      <c r="J1337" t="s">
        <v>11</v>
      </c>
    </row>
    <row r="1338" spans="1:10">
      <c r="A1338">
        <v>2021</v>
      </c>
      <c r="B1338">
        <v>6</v>
      </c>
      <c r="C1338">
        <v>8803</v>
      </c>
      <c r="D1338">
        <v>628</v>
      </c>
      <c r="E1338" t="s">
        <v>10</v>
      </c>
      <c r="F1338">
        <v>3454102</v>
      </c>
      <c r="G1338" s="1">
        <v>553</v>
      </c>
      <c r="H1338" s="2">
        <v>186394</v>
      </c>
      <c r="I1338" t="str">
        <f>VLOOKUP(Tabela1[[#This Row],[CO_PAIS]],'[1]nome do paixs'!$A:$B,2,0)</f>
        <v>Reino Unido</v>
      </c>
      <c r="J1338" t="s">
        <v>11</v>
      </c>
    </row>
    <row r="1339" spans="1:10">
      <c r="A1339">
        <v>2021</v>
      </c>
      <c r="B1339">
        <v>6</v>
      </c>
      <c r="C1339">
        <v>8803</v>
      </c>
      <c r="D1339">
        <v>72</v>
      </c>
      <c r="E1339" t="s">
        <v>10</v>
      </c>
      <c r="F1339">
        <v>3454102</v>
      </c>
      <c r="G1339" s="1">
        <v>2536</v>
      </c>
      <c r="H1339" s="2">
        <v>331700</v>
      </c>
      <c r="I1339" t="str">
        <f>VLOOKUP(Tabela1[[#This Row],[CO_PAIS]],'[1]nome do paixs'!$A:$B,2,0)</f>
        <v>Áustria</v>
      </c>
      <c r="J1339" t="s">
        <v>11</v>
      </c>
    </row>
    <row r="1340" spans="1:10">
      <c r="A1340">
        <v>2021</v>
      </c>
      <c r="B1340">
        <v>6</v>
      </c>
      <c r="C1340">
        <v>8803</v>
      </c>
      <c r="D1340">
        <v>249</v>
      </c>
      <c r="E1340" t="s">
        <v>10</v>
      </c>
      <c r="F1340">
        <v>3449904</v>
      </c>
      <c r="G1340" s="1">
        <v>3250</v>
      </c>
      <c r="H1340" s="2">
        <v>2381717</v>
      </c>
      <c r="I1340" t="str">
        <f>VLOOKUP(Tabela1[[#This Row],[CO_PAIS]],'[1]nome do paixs'!$A:$B,2,0)</f>
        <v>Estados Unidos</v>
      </c>
      <c r="J1340" t="s">
        <v>12</v>
      </c>
    </row>
    <row r="1341" spans="1:10">
      <c r="A1341">
        <v>2021</v>
      </c>
      <c r="B1341">
        <v>6</v>
      </c>
      <c r="C1341">
        <v>8803</v>
      </c>
      <c r="D1341">
        <v>741</v>
      </c>
      <c r="E1341" t="s">
        <v>10</v>
      </c>
      <c r="F1341">
        <v>3449904</v>
      </c>
      <c r="G1341" s="1">
        <v>162</v>
      </c>
      <c r="H1341" s="2">
        <v>161275</v>
      </c>
      <c r="I1341" t="str">
        <f>VLOOKUP(Tabela1[[#This Row],[CO_PAIS]],'[1]nome do paixs'!$A:$B,2,0)</f>
        <v>Singapura</v>
      </c>
      <c r="J1341" t="s">
        <v>12</v>
      </c>
    </row>
    <row r="1342" spans="1:10">
      <c r="A1342">
        <v>2021</v>
      </c>
      <c r="B1342">
        <v>6</v>
      </c>
      <c r="C1342">
        <v>8803</v>
      </c>
      <c r="D1342">
        <v>628</v>
      </c>
      <c r="E1342" t="s">
        <v>10</v>
      </c>
      <c r="F1342">
        <v>3449904</v>
      </c>
      <c r="G1342" s="1">
        <v>258</v>
      </c>
      <c r="H1342" s="2">
        <v>231271</v>
      </c>
      <c r="I1342" t="str">
        <f>VLOOKUP(Tabela1[[#This Row],[CO_PAIS]],'[1]nome do paixs'!$A:$B,2,0)</f>
        <v>Reino Unido</v>
      </c>
      <c r="J1342" t="s">
        <v>12</v>
      </c>
    </row>
    <row r="1343" spans="1:10">
      <c r="A1343">
        <v>2021</v>
      </c>
      <c r="B1343">
        <v>6</v>
      </c>
      <c r="C1343">
        <v>8803</v>
      </c>
      <c r="D1343">
        <v>275</v>
      </c>
      <c r="E1343" t="s">
        <v>10</v>
      </c>
      <c r="F1343">
        <v>3454102</v>
      </c>
      <c r="G1343" s="1">
        <v>1040</v>
      </c>
      <c r="H1343" s="2">
        <v>1762637</v>
      </c>
      <c r="I1343" t="str">
        <f>VLOOKUP(Tabela1[[#This Row],[CO_PAIS]],'[1]nome do paixs'!$A:$B,2,0)</f>
        <v>França</v>
      </c>
      <c r="J1343" t="s">
        <v>11</v>
      </c>
    </row>
    <row r="1344" spans="1:10">
      <c r="A1344">
        <v>2021</v>
      </c>
      <c r="B1344">
        <v>6</v>
      </c>
      <c r="C1344">
        <v>8803</v>
      </c>
      <c r="D1344">
        <v>399</v>
      </c>
      <c r="E1344" t="s">
        <v>10</v>
      </c>
      <c r="F1344">
        <v>3449904</v>
      </c>
      <c r="G1344" s="1">
        <v>922</v>
      </c>
      <c r="H1344" s="2">
        <v>971471</v>
      </c>
      <c r="I1344" t="str">
        <f>VLOOKUP(Tabela1[[#This Row],[CO_PAIS]],'[1]nome do paixs'!$A:$B,2,0)</f>
        <v>Japão</v>
      </c>
      <c r="J1344" t="s">
        <v>12</v>
      </c>
    </row>
    <row r="1345" spans="1:10">
      <c r="A1345">
        <v>2021</v>
      </c>
      <c r="B1345">
        <v>6</v>
      </c>
      <c r="C1345">
        <v>8803</v>
      </c>
      <c r="D1345">
        <v>386</v>
      </c>
      <c r="E1345" t="s">
        <v>10</v>
      </c>
      <c r="F1345">
        <v>3449904</v>
      </c>
      <c r="G1345" s="1">
        <v>28</v>
      </c>
      <c r="H1345" s="2">
        <v>21098</v>
      </c>
      <c r="I1345" t="str">
        <f>VLOOKUP(Tabela1[[#This Row],[CO_PAIS]],'[1]nome do paixs'!$A:$B,2,0)</f>
        <v>Itália</v>
      </c>
      <c r="J1345" t="s">
        <v>12</v>
      </c>
    </row>
    <row r="1346" spans="1:10">
      <c r="A1346">
        <v>2021</v>
      </c>
      <c r="B1346">
        <v>6</v>
      </c>
      <c r="C1346">
        <v>8803</v>
      </c>
      <c r="D1346">
        <v>245</v>
      </c>
      <c r="E1346" t="s">
        <v>10</v>
      </c>
      <c r="F1346">
        <v>3454102</v>
      </c>
      <c r="G1346" s="1">
        <v>1606</v>
      </c>
      <c r="H1346" s="2">
        <v>1502883</v>
      </c>
      <c r="I1346" t="str">
        <f>VLOOKUP(Tabela1[[#This Row],[CO_PAIS]],'[1]nome do paixs'!$A:$B,2,0)</f>
        <v>Espanha</v>
      </c>
      <c r="J1346" t="s">
        <v>11</v>
      </c>
    </row>
    <row r="1347" spans="1:10">
      <c r="A1347">
        <v>2021</v>
      </c>
      <c r="B1347">
        <v>6</v>
      </c>
      <c r="C1347">
        <v>8803</v>
      </c>
      <c r="D1347">
        <v>275</v>
      </c>
      <c r="E1347" t="s">
        <v>10</v>
      </c>
      <c r="F1347">
        <v>3449904</v>
      </c>
      <c r="G1347" s="1">
        <v>99</v>
      </c>
      <c r="H1347" s="2">
        <v>240423</v>
      </c>
      <c r="I1347" t="str">
        <f>VLOOKUP(Tabela1[[#This Row],[CO_PAIS]],'[1]nome do paixs'!$A:$B,2,0)</f>
        <v>França</v>
      </c>
      <c r="J1347" t="s">
        <v>12</v>
      </c>
    </row>
    <row r="1348" spans="1:10">
      <c r="A1348">
        <v>2021</v>
      </c>
      <c r="B1348">
        <v>6</v>
      </c>
      <c r="C1348">
        <v>8803</v>
      </c>
      <c r="D1348">
        <v>23</v>
      </c>
      <c r="E1348" t="s">
        <v>10</v>
      </c>
      <c r="F1348">
        <v>3454102</v>
      </c>
      <c r="G1348" s="1">
        <v>652</v>
      </c>
      <c r="H1348" s="2">
        <v>143801</v>
      </c>
      <c r="I1348" t="str">
        <f>VLOOKUP(Tabela1[[#This Row],[CO_PAIS]],'[1]nome do paixs'!$A:$B,2,0)</f>
        <v>Alemanha</v>
      </c>
      <c r="J1348" t="s">
        <v>11</v>
      </c>
    </row>
    <row r="1349" spans="1:10">
      <c r="A1349">
        <v>2021</v>
      </c>
      <c r="B1349">
        <v>6</v>
      </c>
      <c r="C1349">
        <v>8803</v>
      </c>
      <c r="D1349">
        <v>607</v>
      </c>
      <c r="E1349" t="s">
        <v>10</v>
      </c>
      <c r="F1349">
        <v>3449904</v>
      </c>
      <c r="G1349" s="1">
        <v>22</v>
      </c>
      <c r="H1349" s="2">
        <v>92709</v>
      </c>
      <c r="I1349" t="str">
        <f>VLOOKUP(Tabela1[[#This Row],[CO_PAIS]],'[1]nome do paixs'!$A:$B,2,0)</f>
        <v>Portugal</v>
      </c>
      <c r="J1349" t="s">
        <v>12</v>
      </c>
    </row>
    <row r="1350" spans="1:10">
      <c r="A1350">
        <v>2021</v>
      </c>
      <c r="B1350">
        <v>6</v>
      </c>
      <c r="C1350">
        <v>8803</v>
      </c>
      <c r="D1350">
        <v>474</v>
      </c>
      <c r="E1350" t="s">
        <v>10</v>
      </c>
      <c r="F1350">
        <v>3454102</v>
      </c>
      <c r="G1350" s="1">
        <v>138</v>
      </c>
      <c r="H1350" s="2">
        <v>245495</v>
      </c>
      <c r="I1350" t="str">
        <f>VLOOKUP(Tabela1[[#This Row],[CO_PAIS]],'[1]nome do paixs'!$A:$B,2,0)</f>
        <v>Marrocos</v>
      </c>
      <c r="J1350" t="s">
        <v>11</v>
      </c>
    </row>
    <row r="1351" spans="1:10">
      <c r="A1351">
        <v>2021</v>
      </c>
      <c r="B1351">
        <v>6</v>
      </c>
      <c r="C1351">
        <v>8803</v>
      </c>
      <c r="D1351">
        <v>607</v>
      </c>
      <c r="E1351" t="s">
        <v>10</v>
      </c>
      <c r="F1351">
        <v>3454102</v>
      </c>
      <c r="G1351" s="1">
        <v>8629</v>
      </c>
      <c r="H1351" s="2">
        <v>3142836</v>
      </c>
      <c r="I1351" t="str">
        <f>VLOOKUP(Tabela1[[#This Row],[CO_PAIS]],'[1]nome do paixs'!$A:$B,2,0)</f>
        <v>Portugal</v>
      </c>
      <c r="J1351" t="s">
        <v>11</v>
      </c>
    </row>
    <row r="1352" spans="1:10">
      <c r="A1352">
        <v>2021</v>
      </c>
      <c r="B1352">
        <v>6</v>
      </c>
      <c r="C1352">
        <v>8803</v>
      </c>
      <c r="D1352">
        <v>791</v>
      </c>
      <c r="E1352" t="s">
        <v>10</v>
      </c>
      <c r="F1352">
        <v>3424402</v>
      </c>
      <c r="G1352" s="1">
        <v>101</v>
      </c>
      <c r="H1352" s="2">
        <v>89544</v>
      </c>
      <c r="I1352" t="str">
        <f>VLOOKUP(Tabela1[[#This Row],[CO_PAIS]],'[1]nome do paixs'!$A:$B,2,0)</f>
        <v>Tcheca, República</v>
      </c>
      <c r="J1352" t="s">
        <v>13</v>
      </c>
    </row>
    <row r="1353" spans="1:10">
      <c r="A1353">
        <v>2021</v>
      </c>
      <c r="B1353">
        <v>6</v>
      </c>
      <c r="C1353">
        <v>8803</v>
      </c>
      <c r="D1353">
        <v>87</v>
      </c>
      <c r="E1353" t="s">
        <v>10</v>
      </c>
      <c r="F1353">
        <v>3449904</v>
      </c>
      <c r="G1353" s="1">
        <v>514</v>
      </c>
      <c r="H1353" s="2">
        <v>470018</v>
      </c>
      <c r="I1353" t="str">
        <f>VLOOKUP(Tabela1[[#This Row],[CO_PAIS]],'[1]nome do paixs'!$A:$B,2,0)</f>
        <v>Bélgica</v>
      </c>
      <c r="J1353" t="s">
        <v>12</v>
      </c>
    </row>
    <row r="1354" spans="1:10">
      <c r="A1354">
        <v>2021</v>
      </c>
      <c r="B1354">
        <v>6</v>
      </c>
      <c r="C1354">
        <v>8803</v>
      </c>
      <c r="D1354">
        <v>149</v>
      </c>
      <c r="E1354" t="s">
        <v>10</v>
      </c>
      <c r="F1354">
        <v>3454102</v>
      </c>
      <c r="G1354" s="1">
        <v>285</v>
      </c>
      <c r="H1354" s="2">
        <v>279576</v>
      </c>
      <c r="I1354" t="str">
        <f>VLOOKUP(Tabela1[[#This Row],[CO_PAIS]],'[1]nome do paixs'!$A:$B,2,0)</f>
        <v>Canadá</v>
      </c>
      <c r="J1354" t="s">
        <v>11</v>
      </c>
    </row>
    <row r="1355" spans="1:10">
      <c r="A1355">
        <v>2021</v>
      </c>
      <c r="B1355">
        <v>6</v>
      </c>
      <c r="C1355">
        <v>8803</v>
      </c>
      <c r="D1355">
        <v>493</v>
      </c>
      <c r="E1355" t="s">
        <v>10</v>
      </c>
      <c r="F1355">
        <v>3449904</v>
      </c>
      <c r="G1355" s="1">
        <v>1012</v>
      </c>
      <c r="H1355" s="2">
        <v>748699</v>
      </c>
      <c r="I1355" t="str">
        <f>VLOOKUP(Tabela1[[#This Row],[CO_PAIS]],'[1]nome do paixs'!$A:$B,2,0)</f>
        <v>México</v>
      </c>
      <c r="J1355" t="s">
        <v>12</v>
      </c>
    </row>
    <row r="1356" spans="1:10">
      <c r="A1356">
        <v>2021</v>
      </c>
      <c r="B1356">
        <v>6</v>
      </c>
      <c r="C1356">
        <v>8803</v>
      </c>
      <c r="D1356">
        <v>105</v>
      </c>
      <c r="E1356" t="s">
        <v>10</v>
      </c>
      <c r="F1356">
        <v>3454102</v>
      </c>
      <c r="G1356" s="1">
        <v>1846</v>
      </c>
      <c r="H1356" s="2">
        <v>969380</v>
      </c>
      <c r="I1356" t="str">
        <f>VLOOKUP(Tabela1[[#This Row],[CO_PAIS]],'[1]nome do paixs'!$A:$B,2,0)</f>
        <v>Brasil</v>
      </c>
      <c r="J1356" t="s">
        <v>11</v>
      </c>
    </row>
    <row r="1357" spans="1:10">
      <c r="A1357">
        <v>2021</v>
      </c>
      <c r="B1357">
        <v>6</v>
      </c>
      <c r="C1357">
        <v>8803</v>
      </c>
      <c r="D1357">
        <v>190</v>
      </c>
      <c r="E1357" t="s">
        <v>10</v>
      </c>
      <c r="F1357">
        <v>3454102</v>
      </c>
      <c r="G1357" s="1">
        <v>1217</v>
      </c>
      <c r="H1357" s="2">
        <v>1124849</v>
      </c>
      <c r="I1357" t="str">
        <f>VLOOKUP(Tabela1[[#This Row],[CO_PAIS]],'[1]nome do paixs'!$A:$B,2,0)</f>
        <v>Coreia do Sul</v>
      </c>
      <c r="J1357" t="s">
        <v>11</v>
      </c>
    </row>
    <row r="1358" spans="1:10">
      <c r="A1358">
        <v>2021</v>
      </c>
      <c r="B1358">
        <v>6</v>
      </c>
      <c r="C1358">
        <v>8803</v>
      </c>
      <c r="D1358">
        <v>275</v>
      </c>
      <c r="E1358" t="s">
        <v>10</v>
      </c>
      <c r="F1358">
        <v>3424402</v>
      </c>
      <c r="G1358" s="1">
        <v>137</v>
      </c>
      <c r="H1358" s="2">
        <v>181355</v>
      </c>
      <c r="I1358" t="str">
        <f>VLOOKUP(Tabela1[[#This Row],[CO_PAIS]],'[1]nome do paixs'!$A:$B,2,0)</f>
        <v>França</v>
      </c>
      <c r="J1358" t="s">
        <v>13</v>
      </c>
    </row>
    <row r="1359" spans="1:10">
      <c r="A1359">
        <v>2021</v>
      </c>
      <c r="B1359">
        <v>6</v>
      </c>
      <c r="C1359">
        <v>8803</v>
      </c>
      <c r="D1359">
        <v>23</v>
      </c>
      <c r="E1359" t="s">
        <v>10</v>
      </c>
      <c r="F1359">
        <v>3449904</v>
      </c>
      <c r="G1359" s="1">
        <v>48</v>
      </c>
      <c r="H1359" s="2">
        <v>63910</v>
      </c>
      <c r="I1359" t="str">
        <f>VLOOKUP(Tabela1[[#This Row],[CO_PAIS]],'[1]nome do paixs'!$A:$B,2,0)</f>
        <v>Alemanha</v>
      </c>
      <c r="J1359" t="s">
        <v>12</v>
      </c>
    </row>
    <row r="1360" spans="1:10">
      <c r="A1360">
        <v>2025</v>
      </c>
      <c r="B1360">
        <v>7</v>
      </c>
      <c r="C1360">
        <v>8807</v>
      </c>
      <c r="D1360">
        <v>607</v>
      </c>
      <c r="E1360" t="s">
        <v>10</v>
      </c>
      <c r="F1360">
        <v>3449904</v>
      </c>
      <c r="G1360" s="1">
        <v>34</v>
      </c>
      <c r="H1360" s="2">
        <v>70115</v>
      </c>
      <c r="I1360" t="str">
        <f>VLOOKUP(Tabela1[[#This Row],[CO_PAIS]],'[1]nome do paixs'!$A:$B,2,0)</f>
        <v>Portugal</v>
      </c>
      <c r="J1360" t="s">
        <v>12</v>
      </c>
    </row>
    <row r="1361" spans="1:10">
      <c r="A1361">
        <v>2025</v>
      </c>
      <c r="B1361">
        <v>7</v>
      </c>
      <c r="C1361">
        <v>8807</v>
      </c>
      <c r="D1361">
        <v>249</v>
      </c>
      <c r="E1361" t="s">
        <v>10</v>
      </c>
      <c r="F1361">
        <v>3424402</v>
      </c>
      <c r="G1361" s="1">
        <v>1288</v>
      </c>
      <c r="H1361" s="2">
        <v>339274</v>
      </c>
      <c r="I1361" t="str">
        <f>VLOOKUP(Tabela1[[#This Row],[CO_PAIS]],'[1]nome do paixs'!$A:$B,2,0)</f>
        <v>Estados Unidos</v>
      </c>
      <c r="J1361" t="s">
        <v>13</v>
      </c>
    </row>
    <row r="1362" spans="1:10">
      <c r="A1362">
        <v>2025</v>
      </c>
      <c r="B1362">
        <v>7</v>
      </c>
      <c r="C1362">
        <v>8807</v>
      </c>
      <c r="D1362">
        <v>791</v>
      </c>
      <c r="E1362" t="s">
        <v>10</v>
      </c>
      <c r="F1362">
        <v>3424402</v>
      </c>
      <c r="G1362" s="1">
        <v>463</v>
      </c>
      <c r="H1362" s="2">
        <v>336320</v>
      </c>
      <c r="I1362" t="str">
        <f>VLOOKUP(Tabela1[[#This Row],[CO_PAIS]],'[1]nome do paixs'!$A:$B,2,0)</f>
        <v>Tcheca, República</v>
      </c>
      <c r="J1362" t="s">
        <v>13</v>
      </c>
    </row>
    <row r="1363" spans="1:10">
      <c r="A1363">
        <v>2025</v>
      </c>
      <c r="B1363">
        <v>7</v>
      </c>
      <c r="C1363">
        <v>8807</v>
      </c>
      <c r="D1363">
        <v>493</v>
      </c>
      <c r="E1363" t="s">
        <v>10</v>
      </c>
      <c r="F1363">
        <v>3454102</v>
      </c>
      <c r="G1363" s="1">
        <v>14295</v>
      </c>
      <c r="H1363" s="2">
        <v>8040480</v>
      </c>
      <c r="I1363" t="str">
        <f>VLOOKUP(Tabela1[[#This Row],[CO_PAIS]],'[1]nome do paixs'!$A:$B,2,0)</f>
        <v>México</v>
      </c>
      <c r="J1363" t="s">
        <v>11</v>
      </c>
    </row>
    <row r="1364" spans="1:10">
      <c r="A1364">
        <v>2025</v>
      </c>
      <c r="B1364">
        <v>7</v>
      </c>
      <c r="C1364">
        <v>8807</v>
      </c>
      <c r="D1364">
        <v>827</v>
      </c>
      <c r="E1364" t="s">
        <v>10</v>
      </c>
      <c r="F1364">
        <v>3449904</v>
      </c>
      <c r="G1364" s="1">
        <v>2</v>
      </c>
      <c r="H1364" s="2">
        <v>2699</v>
      </c>
      <c r="I1364" t="str">
        <f>VLOOKUP(Tabela1[[#This Row],[CO_PAIS]],'[1]nome do paixs'!$A:$B,2,0)</f>
        <v>Turquia</v>
      </c>
      <c r="J1364" t="s">
        <v>12</v>
      </c>
    </row>
    <row r="1365" spans="1:10">
      <c r="A1365">
        <v>2025</v>
      </c>
      <c r="B1365">
        <v>7</v>
      </c>
      <c r="C1365">
        <v>8807</v>
      </c>
      <c r="D1365">
        <v>399</v>
      </c>
      <c r="E1365" t="s">
        <v>10</v>
      </c>
      <c r="F1365">
        <v>3454102</v>
      </c>
      <c r="G1365" s="1">
        <v>1802</v>
      </c>
      <c r="H1365" s="2">
        <v>1065867</v>
      </c>
      <c r="I1365" t="str">
        <f>VLOOKUP(Tabela1[[#This Row],[CO_PAIS]],'[1]nome do paixs'!$A:$B,2,0)</f>
        <v>Japão</v>
      </c>
      <c r="J1365" t="s">
        <v>11</v>
      </c>
    </row>
    <row r="1366" spans="1:10">
      <c r="A1366">
        <v>2025</v>
      </c>
      <c r="B1366">
        <v>7</v>
      </c>
      <c r="C1366">
        <v>8807</v>
      </c>
      <c r="D1366">
        <v>607</v>
      </c>
      <c r="E1366" t="s">
        <v>10</v>
      </c>
      <c r="F1366">
        <v>3454102</v>
      </c>
      <c r="G1366" s="1">
        <v>16126</v>
      </c>
      <c r="H1366" s="2">
        <v>6003715</v>
      </c>
      <c r="I1366" t="str">
        <f>VLOOKUP(Tabela1[[#This Row],[CO_PAIS]],'[1]nome do paixs'!$A:$B,2,0)</f>
        <v>Portugal</v>
      </c>
      <c r="J1366" t="s">
        <v>11</v>
      </c>
    </row>
    <row r="1367" spans="1:10">
      <c r="A1367">
        <v>2025</v>
      </c>
      <c r="B1367">
        <v>7</v>
      </c>
      <c r="C1367">
        <v>8807</v>
      </c>
      <c r="D1367">
        <v>245</v>
      </c>
      <c r="E1367" t="s">
        <v>10</v>
      </c>
      <c r="F1367">
        <v>3424402</v>
      </c>
      <c r="G1367" s="1">
        <v>301</v>
      </c>
      <c r="H1367" s="2">
        <v>105160</v>
      </c>
      <c r="I1367" t="str">
        <f>VLOOKUP(Tabela1[[#This Row],[CO_PAIS]],'[1]nome do paixs'!$A:$B,2,0)</f>
        <v>Espanha</v>
      </c>
      <c r="J1367" t="s">
        <v>13</v>
      </c>
    </row>
    <row r="1368" spans="1:10">
      <c r="A1368">
        <v>2025</v>
      </c>
      <c r="B1368">
        <v>7</v>
      </c>
      <c r="C1368">
        <v>8807</v>
      </c>
      <c r="D1368">
        <v>190</v>
      </c>
      <c r="E1368" t="s">
        <v>10</v>
      </c>
      <c r="F1368">
        <v>3454102</v>
      </c>
      <c r="G1368" s="1">
        <v>7995</v>
      </c>
      <c r="H1368" s="2">
        <v>5859385</v>
      </c>
      <c r="I1368" t="str">
        <f>VLOOKUP(Tabela1[[#This Row],[CO_PAIS]],'[1]nome do paixs'!$A:$B,2,0)</f>
        <v>Coreia do Sul</v>
      </c>
      <c r="J1368" t="s">
        <v>11</v>
      </c>
    </row>
    <row r="1369" spans="1:10">
      <c r="A1369">
        <v>2025</v>
      </c>
      <c r="B1369">
        <v>7</v>
      </c>
      <c r="C1369">
        <v>8807</v>
      </c>
      <c r="D1369">
        <v>249</v>
      </c>
      <c r="E1369" t="s">
        <v>10</v>
      </c>
      <c r="F1369">
        <v>3449904</v>
      </c>
      <c r="G1369" s="1">
        <v>9110</v>
      </c>
      <c r="H1369" s="2">
        <v>6282021</v>
      </c>
      <c r="I1369" t="str">
        <f>VLOOKUP(Tabela1[[#This Row],[CO_PAIS]],'[1]nome do paixs'!$A:$B,2,0)</f>
        <v>Estados Unidos</v>
      </c>
      <c r="J1369" t="s">
        <v>12</v>
      </c>
    </row>
    <row r="1370" spans="1:10">
      <c r="A1370">
        <v>2025</v>
      </c>
      <c r="B1370">
        <v>7</v>
      </c>
      <c r="C1370">
        <v>8807</v>
      </c>
      <c r="D1370">
        <v>375</v>
      </c>
      <c r="E1370" t="s">
        <v>10</v>
      </c>
      <c r="F1370">
        <v>3449904</v>
      </c>
      <c r="G1370" s="1">
        <v>9</v>
      </c>
      <c r="H1370" s="2">
        <v>5600</v>
      </c>
      <c r="I1370" t="str">
        <f>VLOOKUP(Tabela1[[#This Row],[CO_PAIS]],'[1]nome do paixs'!$A:$B,2,0)</f>
        <v>Irlanda</v>
      </c>
      <c r="J1370" t="s">
        <v>12</v>
      </c>
    </row>
    <row r="1371" spans="1:10">
      <c r="A1371">
        <v>2025</v>
      </c>
      <c r="B1371">
        <v>7</v>
      </c>
      <c r="C1371">
        <v>8807</v>
      </c>
      <c r="D1371">
        <v>275</v>
      </c>
      <c r="E1371" t="s">
        <v>10</v>
      </c>
      <c r="F1371">
        <v>3424402</v>
      </c>
      <c r="G1371" s="1">
        <v>295</v>
      </c>
      <c r="H1371" s="2">
        <v>423539</v>
      </c>
      <c r="I1371" t="str">
        <f>VLOOKUP(Tabela1[[#This Row],[CO_PAIS]],'[1]nome do paixs'!$A:$B,2,0)</f>
        <v>França</v>
      </c>
      <c r="J1371" t="s">
        <v>13</v>
      </c>
    </row>
    <row r="1372" spans="1:10">
      <c r="A1372">
        <v>2025</v>
      </c>
      <c r="B1372">
        <v>7</v>
      </c>
      <c r="C1372">
        <v>8807</v>
      </c>
      <c r="D1372">
        <v>361</v>
      </c>
      <c r="E1372" t="s">
        <v>10</v>
      </c>
      <c r="F1372">
        <v>3449904</v>
      </c>
      <c r="G1372" s="1">
        <v>1280</v>
      </c>
      <c r="H1372" s="2">
        <v>745183</v>
      </c>
      <c r="I1372" t="str">
        <f>VLOOKUP(Tabela1[[#This Row],[CO_PAIS]],'[1]nome do paixs'!$A:$B,2,0)</f>
        <v>Índia</v>
      </c>
      <c r="J1372" t="s">
        <v>12</v>
      </c>
    </row>
    <row r="1373" spans="1:10">
      <c r="A1373">
        <v>2025</v>
      </c>
      <c r="B1373">
        <v>7</v>
      </c>
      <c r="C1373">
        <v>8807</v>
      </c>
      <c r="D1373">
        <v>87</v>
      </c>
      <c r="E1373" t="s">
        <v>10</v>
      </c>
      <c r="F1373">
        <v>3454102</v>
      </c>
      <c r="G1373" s="1">
        <v>1454</v>
      </c>
      <c r="H1373" s="2">
        <v>1213208</v>
      </c>
      <c r="I1373" t="str">
        <f>VLOOKUP(Tabela1[[#This Row],[CO_PAIS]],'[1]nome do paixs'!$A:$B,2,0)</f>
        <v>Bélgica</v>
      </c>
      <c r="J1373" t="s">
        <v>11</v>
      </c>
    </row>
    <row r="1374" spans="1:10">
      <c r="A1374">
        <v>2025</v>
      </c>
      <c r="B1374">
        <v>7</v>
      </c>
      <c r="C1374">
        <v>8807</v>
      </c>
      <c r="D1374">
        <v>190</v>
      </c>
      <c r="E1374" t="s">
        <v>10</v>
      </c>
      <c r="F1374">
        <v>3424402</v>
      </c>
      <c r="G1374" s="1">
        <v>16</v>
      </c>
      <c r="H1374" s="2">
        <v>4593</v>
      </c>
      <c r="I1374" t="str">
        <f>VLOOKUP(Tabela1[[#This Row],[CO_PAIS]],'[1]nome do paixs'!$A:$B,2,0)</f>
        <v>Coreia do Sul</v>
      </c>
      <c r="J1374" t="s">
        <v>13</v>
      </c>
    </row>
    <row r="1375" spans="1:10">
      <c r="A1375">
        <v>2025</v>
      </c>
      <c r="B1375">
        <v>7</v>
      </c>
      <c r="C1375">
        <v>8807</v>
      </c>
      <c r="D1375">
        <v>87</v>
      </c>
      <c r="E1375" t="s">
        <v>10</v>
      </c>
      <c r="F1375">
        <v>3424402</v>
      </c>
      <c r="G1375" s="1">
        <v>22</v>
      </c>
      <c r="H1375" s="2">
        <v>95899</v>
      </c>
      <c r="I1375" t="str">
        <f>VLOOKUP(Tabela1[[#This Row],[CO_PAIS]],'[1]nome do paixs'!$A:$B,2,0)</f>
        <v>Bélgica</v>
      </c>
      <c r="J1375" t="s">
        <v>13</v>
      </c>
    </row>
    <row r="1376" spans="1:10">
      <c r="A1376">
        <v>2025</v>
      </c>
      <c r="B1376">
        <v>7</v>
      </c>
      <c r="C1376">
        <v>8807</v>
      </c>
      <c r="D1376">
        <v>493</v>
      </c>
      <c r="E1376" t="s">
        <v>10</v>
      </c>
      <c r="F1376">
        <v>3449904</v>
      </c>
      <c r="G1376" s="1">
        <v>2173</v>
      </c>
      <c r="H1376" s="2">
        <v>1671745</v>
      </c>
      <c r="I1376" t="str">
        <f>VLOOKUP(Tabela1[[#This Row],[CO_PAIS]],'[1]nome do paixs'!$A:$B,2,0)</f>
        <v>México</v>
      </c>
      <c r="J1376" t="s">
        <v>12</v>
      </c>
    </row>
    <row r="1377" spans="1:10">
      <c r="A1377">
        <v>2025</v>
      </c>
      <c r="B1377">
        <v>7</v>
      </c>
      <c r="C1377">
        <v>8807</v>
      </c>
      <c r="D1377">
        <v>399</v>
      </c>
      <c r="E1377" t="s">
        <v>10</v>
      </c>
      <c r="F1377">
        <v>3449904</v>
      </c>
      <c r="G1377" s="1">
        <v>193</v>
      </c>
      <c r="H1377" s="2">
        <v>245269</v>
      </c>
      <c r="I1377" t="str">
        <f>VLOOKUP(Tabela1[[#This Row],[CO_PAIS]],'[1]nome do paixs'!$A:$B,2,0)</f>
        <v>Japão</v>
      </c>
      <c r="J1377" t="s">
        <v>12</v>
      </c>
    </row>
    <row r="1378" spans="1:10">
      <c r="A1378">
        <v>2025</v>
      </c>
      <c r="B1378">
        <v>7</v>
      </c>
      <c r="C1378">
        <v>8807</v>
      </c>
      <c r="D1378">
        <v>23</v>
      </c>
      <c r="E1378" t="s">
        <v>10</v>
      </c>
      <c r="F1378">
        <v>3449904</v>
      </c>
      <c r="G1378" s="1">
        <v>488</v>
      </c>
      <c r="H1378" s="2">
        <v>954932</v>
      </c>
      <c r="I1378" t="str">
        <f>VLOOKUP(Tabela1[[#This Row],[CO_PAIS]],'[1]nome do paixs'!$A:$B,2,0)</f>
        <v>Alemanha</v>
      </c>
      <c r="J1378" t="s">
        <v>12</v>
      </c>
    </row>
    <row r="1379" spans="1:10">
      <c r="A1379">
        <v>2025</v>
      </c>
      <c r="B1379">
        <v>7</v>
      </c>
      <c r="C1379">
        <v>8807</v>
      </c>
      <c r="D1379">
        <v>474</v>
      </c>
      <c r="E1379" t="s">
        <v>10</v>
      </c>
      <c r="F1379">
        <v>3454102</v>
      </c>
      <c r="G1379" s="1">
        <v>184</v>
      </c>
      <c r="H1379" s="2">
        <v>495311</v>
      </c>
      <c r="I1379" t="str">
        <f>VLOOKUP(Tabela1[[#This Row],[CO_PAIS]],'[1]nome do paixs'!$A:$B,2,0)</f>
        <v>Marrocos</v>
      </c>
      <c r="J1379" t="s">
        <v>11</v>
      </c>
    </row>
    <row r="1380" spans="1:10">
      <c r="A1380">
        <v>2025</v>
      </c>
      <c r="B1380">
        <v>7</v>
      </c>
      <c r="C1380">
        <v>8807</v>
      </c>
      <c r="D1380">
        <v>149</v>
      </c>
      <c r="E1380" t="s">
        <v>10</v>
      </c>
      <c r="F1380">
        <v>3449904</v>
      </c>
      <c r="G1380" s="1">
        <v>16</v>
      </c>
      <c r="H1380" s="2">
        <v>10580</v>
      </c>
      <c r="I1380" t="str">
        <f>VLOOKUP(Tabela1[[#This Row],[CO_PAIS]],'[1]nome do paixs'!$A:$B,2,0)</f>
        <v>Canadá</v>
      </c>
      <c r="J1380" t="s">
        <v>12</v>
      </c>
    </row>
    <row r="1381" spans="1:10">
      <c r="A1381">
        <v>2025</v>
      </c>
      <c r="B1381">
        <v>7</v>
      </c>
      <c r="C1381">
        <v>8807</v>
      </c>
      <c r="D1381">
        <v>72</v>
      </c>
      <c r="E1381" t="s">
        <v>10</v>
      </c>
      <c r="F1381">
        <v>3408504</v>
      </c>
      <c r="G1381" s="1">
        <v>0</v>
      </c>
      <c r="H1381" s="2">
        <v>1080</v>
      </c>
      <c r="I1381" t="str">
        <f>VLOOKUP(Tabela1[[#This Row],[CO_PAIS]],'[1]nome do paixs'!$A:$B,2,0)</f>
        <v>Áustria</v>
      </c>
      <c r="J1381" t="s">
        <v>14</v>
      </c>
    </row>
    <row r="1382" spans="1:10">
      <c r="A1382">
        <v>2025</v>
      </c>
      <c r="B1382">
        <v>7</v>
      </c>
      <c r="C1382">
        <v>8807</v>
      </c>
      <c r="D1382">
        <v>386</v>
      </c>
      <c r="E1382" t="s">
        <v>10</v>
      </c>
      <c r="F1382">
        <v>3454102</v>
      </c>
      <c r="G1382" s="1">
        <v>768</v>
      </c>
      <c r="H1382" s="2">
        <v>2179447</v>
      </c>
      <c r="I1382" t="str">
        <f>VLOOKUP(Tabela1[[#This Row],[CO_PAIS]],'[1]nome do paixs'!$A:$B,2,0)</f>
        <v>Itália</v>
      </c>
      <c r="J1382" t="s">
        <v>11</v>
      </c>
    </row>
    <row r="1383" spans="1:10">
      <c r="A1383">
        <v>2025</v>
      </c>
      <c r="B1383">
        <v>7</v>
      </c>
      <c r="C1383">
        <v>8807</v>
      </c>
      <c r="D1383">
        <v>149</v>
      </c>
      <c r="E1383" t="s">
        <v>10</v>
      </c>
      <c r="F1383">
        <v>3454102</v>
      </c>
      <c r="G1383" s="1">
        <v>228</v>
      </c>
      <c r="H1383" s="2">
        <v>304718</v>
      </c>
      <c r="I1383" t="str">
        <f>VLOOKUP(Tabela1[[#This Row],[CO_PAIS]],'[1]nome do paixs'!$A:$B,2,0)</f>
        <v>Canadá</v>
      </c>
      <c r="J1383" t="s">
        <v>11</v>
      </c>
    </row>
    <row r="1384" spans="1:10">
      <c r="A1384">
        <v>2025</v>
      </c>
      <c r="B1384">
        <v>7</v>
      </c>
      <c r="C1384">
        <v>8807</v>
      </c>
      <c r="D1384">
        <v>245</v>
      </c>
      <c r="E1384" t="s">
        <v>10</v>
      </c>
      <c r="F1384">
        <v>3449904</v>
      </c>
      <c r="G1384" s="1">
        <v>5222</v>
      </c>
      <c r="H1384" s="2">
        <v>2158795</v>
      </c>
      <c r="I1384" t="str">
        <f>VLOOKUP(Tabela1[[#This Row],[CO_PAIS]],'[1]nome do paixs'!$A:$B,2,0)</f>
        <v>Espanha</v>
      </c>
      <c r="J1384" t="s">
        <v>12</v>
      </c>
    </row>
    <row r="1385" spans="1:10">
      <c r="A1385">
        <v>2025</v>
      </c>
      <c r="B1385">
        <v>7</v>
      </c>
      <c r="C1385">
        <v>8807</v>
      </c>
      <c r="D1385">
        <v>275</v>
      </c>
      <c r="E1385" t="s">
        <v>10</v>
      </c>
      <c r="F1385">
        <v>3408504</v>
      </c>
      <c r="G1385" s="1">
        <v>5</v>
      </c>
      <c r="H1385" s="2">
        <v>10631</v>
      </c>
      <c r="I1385" t="str">
        <f>VLOOKUP(Tabela1[[#This Row],[CO_PAIS]],'[1]nome do paixs'!$A:$B,2,0)</f>
        <v>França</v>
      </c>
      <c r="J1385" t="s">
        <v>14</v>
      </c>
    </row>
    <row r="1386" spans="1:10">
      <c r="A1386">
        <v>2025</v>
      </c>
      <c r="B1386">
        <v>7</v>
      </c>
      <c r="C1386">
        <v>8807</v>
      </c>
      <c r="D1386">
        <v>149</v>
      </c>
      <c r="E1386" t="s">
        <v>10</v>
      </c>
      <c r="F1386">
        <v>3408504</v>
      </c>
      <c r="G1386" s="1">
        <v>9</v>
      </c>
      <c r="H1386" s="2">
        <v>14077</v>
      </c>
      <c r="I1386" t="str">
        <f>VLOOKUP(Tabela1[[#This Row],[CO_PAIS]],'[1]nome do paixs'!$A:$B,2,0)</f>
        <v>Canadá</v>
      </c>
      <c r="J1386" t="s">
        <v>14</v>
      </c>
    </row>
    <row r="1387" spans="1:10">
      <c r="A1387">
        <v>2025</v>
      </c>
      <c r="B1387">
        <v>7</v>
      </c>
      <c r="C1387">
        <v>8807</v>
      </c>
      <c r="D1387">
        <v>375</v>
      </c>
      <c r="E1387" t="s">
        <v>10</v>
      </c>
      <c r="F1387">
        <v>3454102</v>
      </c>
      <c r="G1387" s="1">
        <v>29</v>
      </c>
      <c r="H1387" s="2">
        <v>17723</v>
      </c>
      <c r="I1387" t="str">
        <f>VLOOKUP(Tabela1[[#This Row],[CO_PAIS]],'[1]nome do paixs'!$A:$B,2,0)</f>
        <v>Irlanda</v>
      </c>
      <c r="J1387" t="s">
        <v>11</v>
      </c>
    </row>
    <row r="1388" spans="1:10">
      <c r="A1388">
        <v>2025</v>
      </c>
      <c r="B1388">
        <v>7</v>
      </c>
      <c r="C1388">
        <v>8807</v>
      </c>
      <c r="D1388">
        <v>461</v>
      </c>
      <c r="E1388" t="s">
        <v>10</v>
      </c>
      <c r="F1388">
        <v>3449904</v>
      </c>
      <c r="G1388" s="1">
        <v>3</v>
      </c>
      <c r="H1388" s="2">
        <v>78820</v>
      </c>
      <c r="I1388" t="str">
        <f>VLOOKUP(Tabela1[[#This Row],[CO_PAIS]],'[1]nome do paixs'!$A:$B,2,0)</f>
        <v>Maldivas</v>
      </c>
      <c r="J1388" t="s">
        <v>12</v>
      </c>
    </row>
    <row r="1389" spans="1:10">
      <c r="A1389">
        <v>2025</v>
      </c>
      <c r="B1389">
        <v>7</v>
      </c>
      <c r="C1389">
        <v>8807</v>
      </c>
      <c r="D1389">
        <v>87</v>
      </c>
      <c r="E1389" t="s">
        <v>10</v>
      </c>
      <c r="F1389">
        <v>3449904</v>
      </c>
      <c r="G1389" s="1">
        <v>10612</v>
      </c>
      <c r="H1389" s="2">
        <v>5655406</v>
      </c>
      <c r="I1389" t="str">
        <f>VLOOKUP(Tabela1[[#This Row],[CO_PAIS]],'[1]nome do paixs'!$A:$B,2,0)</f>
        <v>Bélgica</v>
      </c>
      <c r="J1389" t="s">
        <v>12</v>
      </c>
    </row>
    <row r="1390" spans="1:10">
      <c r="A1390">
        <v>2025</v>
      </c>
      <c r="B1390">
        <v>7</v>
      </c>
      <c r="C1390">
        <v>8807</v>
      </c>
      <c r="D1390">
        <v>190</v>
      </c>
      <c r="E1390" t="s">
        <v>10</v>
      </c>
      <c r="F1390">
        <v>3449904</v>
      </c>
      <c r="G1390" s="1">
        <v>109</v>
      </c>
      <c r="H1390" s="2">
        <v>371075</v>
      </c>
      <c r="I1390" t="str">
        <f>VLOOKUP(Tabela1[[#This Row],[CO_PAIS]],'[1]nome do paixs'!$A:$B,2,0)</f>
        <v>Coreia do Sul</v>
      </c>
      <c r="J1390" t="s">
        <v>12</v>
      </c>
    </row>
    <row r="1391" spans="1:10">
      <c r="A1391">
        <v>2025</v>
      </c>
      <c r="B1391">
        <v>7</v>
      </c>
      <c r="C1391">
        <v>8807</v>
      </c>
      <c r="D1391">
        <v>275</v>
      </c>
      <c r="E1391" t="s">
        <v>10</v>
      </c>
      <c r="F1391">
        <v>3454102</v>
      </c>
      <c r="G1391" s="1">
        <v>2759</v>
      </c>
      <c r="H1391" s="2">
        <v>4203794</v>
      </c>
      <c r="I1391" t="str">
        <f>VLOOKUP(Tabela1[[#This Row],[CO_PAIS]],'[1]nome do paixs'!$A:$B,2,0)</f>
        <v>França</v>
      </c>
      <c r="J1391" t="s">
        <v>11</v>
      </c>
    </row>
    <row r="1392" spans="1:10">
      <c r="A1392">
        <v>2025</v>
      </c>
      <c r="B1392">
        <v>7</v>
      </c>
      <c r="C1392">
        <v>8807</v>
      </c>
      <c r="D1392">
        <v>741</v>
      </c>
      <c r="E1392" t="s">
        <v>10</v>
      </c>
      <c r="F1392">
        <v>3449904</v>
      </c>
      <c r="G1392" s="1">
        <v>110</v>
      </c>
      <c r="H1392" s="2">
        <v>129284</v>
      </c>
      <c r="I1392" t="str">
        <f>VLOOKUP(Tabela1[[#This Row],[CO_PAIS]],'[1]nome do paixs'!$A:$B,2,0)</f>
        <v>Singapura</v>
      </c>
      <c r="J1392" t="s">
        <v>12</v>
      </c>
    </row>
    <row r="1393" spans="1:10">
      <c r="A1393">
        <v>2025</v>
      </c>
      <c r="B1393">
        <v>7</v>
      </c>
      <c r="C1393">
        <v>8807</v>
      </c>
      <c r="D1393">
        <v>72</v>
      </c>
      <c r="E1393" t="s">
        <v>10</v>
      </c>
      <c r="F1393">
        <v>3449904</v>
      </c>
      <c r="G1393" s="1">
        <v>1</v>
      </c>
      <c r="H1393" s="2">
        <v>585</v>
      </c>
      <c r="I1393" t="str">
        <f>VLOOKUP(Tabela1[[#This Row],[CO_PAIS]],'[1]nome do paixs'!$A:$B,2,0)</f>
        <v>Áustria</v>
      </c>
      <c r="J1393" t="s">
        <v>12</v>
      </c>
    </row>
    <row r="1394" spans="1:10">
      <c r="A1394">
        <v>2025</v>
      </c>
      <c r="B1394">
        <v>7</v>
      </c>
      <c r="C1394">
        <v>8807</v>
      </c>
      <c r="D1394">
        <v>249</v>
      </c>
      <c r="E1394" t="s">
        <v>10</v>
      </c>
      <c r="F1394">
        <v>3454102</v>
      </c>
      <c r="G1394" s="1">
        <v>38336</v>
      </c>
      <c r="H1394" s="2">
        <v>11751233</v>
      </c>
      <c r="I1394" t="str">
        <f>VLOOKUP(Tabela1[[#This Row],[CO_PAIS]],'[1]nome do paixs'!$A:$B,2,0)</f>
        <v>Estados Unidos</v>
      </c>
      <c r="J1394" t="s">
        <v>11</v>
      </c>
    </row>
    <row r="1395" spans="1:10">
      <c r="A1395">
        <v>2025</v>
      </c>
      <c r="B1395">
        <v>7</v>
      </c>
      <c r="C1395">
        <v>8807</v>
      </c>
      <c r="D1395">
        <v>249</v>
      </c>
      <c r="E1395" t="s">
        <v>10</v>
      </c>
      <c r="F1395">
        <v>3408504</v>
      </c>
      <c r="G1395" s="1">
        <v>9</v>
      </c>
      <c r="H1395" s="2">
        <v>14851</v>
      </c>
      <c r="I1395" t="str">
        <f>VLOOKUP(Tabela1[[#This Row],[CO_PAIS]],'[1]nome do paixs'!$A:$B,2,0)</f>
        <v>Estados Unidos</v>
      </c>
      <c r="J1395" t="s">
        <v>14</v>
      </c>
    </row>
    <row r="1396" spans="1:10">
      <c r="A1396">
        <v>2025</v>
      </c>
      <c r="B1396">
        <v>7</v>
      </c>
      <c r="C1396">
        <v>8807</v>
      </c>
      <c r="D1396">
        <v>493</v>
      </c>
      <c r="E1396" t="s">
        <v>10</v>
      </c>
      <c r="F1396">
        <v>3424402</v>
      </c>
      <c r="G1396" s="1">
        <v>44</v>
      </c>
      <c r="H1396" s="2">
        <v>94051</v>
      </c>
      <c r="I1396" t="str">
        <f>VLOOKUP(Tabela1[[#This Row],[CO_PAIS]],'[1]nome do paixs'!$A:$B,2,0)</f>
        <v>México</v>
      </c>
      <c r="J1396" t="s">
        <v>13</v>
      </c>
    </row>
    <row r="1397" spans="1:10">
      <c r="A1397">
        <v>2025</v>
      </c>
      <c r="B1397">
        <v>7</v>
      </c>
      <c r="C1397">
        <v>8807</v>
      </c>
      <c r="D1397">
        <v>386</v>
      </c>
      <c r="E1397" t="s">
        <v>10</v>
      </c>
      <c r="F1397">
        <v>3449904</v>
      </c>
      <c r="G1397" s="1">
        <v>50</v>
      </c>
      <c r="H1397" s="2">
        <v>73007</v>
      </c>
      <c r="I1397" t="str">
        <f>VLOOKUP(Tabela1[[#This Row],[CO_PAIS]],'[1]nome do paixs'!$A:$B,2,0)</f>
        <v>Itália</v>
      </c>
      <c r="J1397" t="s">
        <v>12</v>
      </c>
    </row>
    <row r="1398" spans="1:10">
      <c r="A1398">
        <v>2025</v>
      </c>
      <c r="B1398">
        <v>7</v>
      </c>
      <c r="C1398">
        <v>8807</v>
      </c>
      <c r="D1398">
        <v>791</v>
      </c>
      <c r="E1398" t="s">
        <v>10</v>
      </c>
      <c r="F1398">
        <v>3449904</v>
      </c>
      <c r="G1398" s="1">
        <v>16</v>
      </c>
      <c r="H1398" s="2">
        <v>26800</v>
      </c>
      <c r="I1398" t="str">
        <f>VLOOKUP(Tabela1[[#This Row],[CO_PAIS]],'[1]nome do paixs'!$A:$B,2,0)</f>
        <v>Tcheca, República</v>
      </c>
      <c r="J1398" t="s">
        <v>12</v>
      </c>
    </row>
    <row r="1399" spans="1:10">
      <c r="A1399">
        <v>2025</v>
      </c>
      <c r="B1399">
        <v>7</v>
      </c>
      <c r="C1399">
        <v>8807</v>
      </c>
      <c r="D1399">
        <v>23</v>
      </c>
      <c r="E1399" t="s">
        <v>10</v>
      </c>
      <c r="F1399">
        <v>3424402</v>
      </c>
      <c r="G1399" s="1">
        <v>30</v>
      </c>
      <c r="H1399" s="2">
        <v>62635</v>
      </c>
      <c r="I1399" t="str">
        <f>VLOOKUP(Tabela1[[#This Row],[CO_PAIS]],'[1]nome do paixs'!$A:$B,2,0)</f>
        <v>Alemanha</v>
      </c>
      <c r="J1399" t="s">
        <v>13</v>
      </c>
    </row>
    <row r="1400" spans="1:10">
      <c r="A1400">
        <v>2025</v>
      </c>
      <c r="B1400">
        <v>7</v>
      </c>
      <c r="C1400">
        <v>8807</v>
      </c>
      <c r="D1400">
        <v>105</v>
      </c>
      <c r="E1400" t="s">
        <v>10</v>
      </c>
      <c r="F1400">
        <v>3454102</v>
      </c>
      <c r="G1400" s="1">
        <v>3662</v>
      </c>
      <c r="H1400" s="2">
        <v>3660486</v>
      </c>
      <c r="I1400" t="str">
        <f>VLOOKUP(Tabela1[[#This Row],[CO_PAIS]],'[1]nome do paixs'!$A:$B,2,0)</f>
        <v>Brasil</v>
      </c>
      <c r="J1400" t="s">
        <v>11</v>
      </c>
    </row>
    <row r="1401" spans="1:10">
      <c r="A1401">
        <v>2025</v>
      </c>
      <c r="B1401">
        <v>7</v>
      </c>
      <c r="C1401">
        <v>8807</v>
      </c>
      <c r="D1401">
        <v>275</v>
      </c>
      <c r="E1401" t="s">
        <v>10</v>
      </c>
      <c r="F1401">
        <v>3449904</v>
      </c>
      <c r="G1401" s="1">
        <v>210</v>
      </c>
      <c r="H1401" s="2">
        <v>287692</v>
      </c>
      <c r="I1401" t="str">
        <f>VLOOKUP(Tabela1[[#This Row],[CO_PAIS]],'[1]nome do paixs'!$A:$B,2,0)</f>
        <v>França</v>
      </c>
      <c r="J1401" t="s">
        <v>12</v>
      </c>
    </row>
    <row r="1402" spans="1:10">
      <c r="A1402">
        <v>2025</v>
      </c>
      <c r="B1402">
        <v>7</v>
      </c>
      <c r="C1402">
        <v>8807</v>
      </c>
      <c r="D1402">
        <v>399</v>
      </c>
      <c r="E1402" t="s">
        <v>10</v>
      </c>
      <c r="F1402">
        <v>3408504</v>
      </c>
      <c r="G1402" s="1">
        <v>0</v>
      </c>
      <c r="H1402" s="2">
        <v>3577</v>
      </c>
      <c r="I1402" t="str">
        <f>VLOOKUP(Tabela1[[#This Row],[CO_PAIS]],'[1]nome do paixs'!$A:$B,2,0)</f>
        <v>Japão</v>
      </c>
      <c r="J1402" t="s">
        <v>14</v>
      </c>
    </row>
    <row r="1403" spans="1:10">
      <c r="A1403">
        <v>2025</v>
      </c>
      <c r="B1403">
        <v>7</v>
      </c>
      <c r="C1403">
        <v>8807</v>
      </c>
      <c r="D1403">
        <v>105</v>
      </c>
      <c r="E1403" t="s">
        <v>10</v>
      </c>
      <c r="F1403">
        <v>3449904</v>
      </c>
      <c r="G1403" s="1">
        <v>13360</v>
      </c>
      <c r="H1403" s="2">
        <v>9969843</v>
      </c>
      <c r="I1403" t="str">
        <f>VLOOKUP(Tabela1[[#This Row],[CO_PAIS]],'[1]nome do paixs'!$A:$B,2,0)</f>
        <v>Brasil</v>
      </c>
      <c r="J1403" t="s">
        <v>12</v>
      </c>
    </row>
    <row r="1404" spans="1:10">
      <c r="A1404">
        <v>2025</v>
      </c>
      <c r="B1404">
        <v>7</v>
      </c>
      <c r="C1404">
        <v>8807</v>
      </c>
      <c r="D1404">
        <v>23</v>
      </c>
      <c r="E1404" t="s">
        <v>10</v>
      </c>
      <c r="F1404">
        <v>3454102</v>
      </c>
      <c r="G1404" s="1">
        <v>14419</v>
      </c>
      <c r="H1404" s="2">
        <v>956415</v>
      </c>
      <c r="I1404" t="str">
        <f>VLOOKUP(Tabela1[[#This Row],[CO_PAIS]],'[1]nome do paixs'!$A:$B,2,0)</f>
        <v>Alemanha</v>
      </c>
      <c r="J1404" t="s">
        <v>11</v>
      </c>
    </row>
    <row r="1405" spans="1:10">
      <c r="A1405">
        <v>2025</v>
      </c>
      <c r="B1405">
        <v>7</v>
      </c>
      <c r="C1405">
        <v>8807</v>
      </c>
      <c r="D1405">
        <v>628</v>
      </c>
      <c r="E1405" t="s">
        <v>10</v>
      </c>
      <c r="F1405">
        <v>3449904</v>
      </c>
      <c r="G1405" s="1">
        <v>440</v>
      </c>
      <c r="H1405" s="2">
        <v>449888</v>
      </c>
      <c r="I1405" t="str">
        <f>VLOOKUP(Tabela1[[#This Row],[CO_PAIS]],'[1]nome do paixs'!$A:$B,2,0)</f>
        <v>Reino Unido</v>
      </c>
      <c r="J1405" t="s">
        <v>12</v>
      </c>
    </row>
    <row r="1406" spans="1:10">
      <c r="A1406">
        <v>2025</v>
      </c>
      <c r="B1406">
        <v>7</v>
      </c>
      <c r="C1406">
        <v>8807</v>
      </c>
      <c r="D1406">
        <v>245</v>
      </c>
      <c r="E1406" t="s">
        <v>10</v>
      </c>
      <c r="F1406">
        <v>3454102</v>
      </c>
      <c r="G1406" s="1">
        <v>1740</v>
      </c>
      <c r="H1406" s="2">
        <v>1410535</v>
      </c>
      <c r="I1406" t="str">
        <f>VLOOKUP(Tabela1[[#This Row],[CO_PAIS]],'[1]nome do paixs'!$A:$B,2,0)</f>
        <v>Espanha</v>
      </c>
      <c r="J1406" t="s">
        <v>11</v>
      </c>
    </row>
    <row r="1407" spans="1:10">
      <c r="A1407">
        <v>2025</v>
      </c>
      <c r="B1407">
        <v>7</v>
      </c>
      <c r="C1407">
        <v>8807</v>
      </c>
      <c r="D1407">
        <v>791</v>
      </c>
      <c r="E1407" t="s">
        <v>10</v>
      </c>
      <c r="F1407">
        <v>3454102</v>
      </c>
      <c r="G1407" s="1">
        <v>0</v>
      </c>
      <c r="H1407" s="2">
        <v>1043</v>
      </c>
      <c r="I1407" t="str">
        <f>VLOOKUP(Tabela1[[#This Row],[CO_PAIS]],'[1]nome do paixs'!$A:$B,2,0)</f>
        <v>Tcheca, República</v>
      </c>
      <c r="J1407" t="s">
        <v>11</v>
      </c>
    </row>
    <row r="1408" spans="1:10">
      <c r="A1408">
        <v>2025</v>
      </c>
      <c r="B1408">
        <v>7</v>
      </c>
      <c r="C1408">
        <v>8807</v>
      </c>
      <c r="D1408">
        <v>161</v>
      </c>
      <c r="E1408" t="s">
        <v>10</v>
      </c>
      <c r="F1408">
        <v>3449904</v>
      </c>
      <c r="G1408" s="1">
        <v>0</v>
      </c>
      <c r="H1408" s="2">
        <v>23</v>
      </c>
      <c r="I1408" t="str">
        <f>VLOOKUP(Tabela1[[#This Row],[CO_PAIS]],'[1]nome do paixs'!$A:$B,2,0)</f>
        <v>Taiwan (Formosa)</v>
      </c>
      <c r="J1408" t="s">
        <v>12</v>
      </c>
    </row>
    <row r="1409" spans="1:10">
      <c r="A1409">
        <v>2025</v>
      </c>
      <c r="B1409">
        <v>7</v>
      </c>
      <c r="C1409">
        <v>8807</v>
      </c>
      <c r="D1409">
        <v>105</v>
      </c>
      <c r="E1409" t="s">
        <v>10</v>
      </c>
      <c r="F1409">
        <v>3408504</v>
      </c>
      <c r="G1409" s="1">
        <v>7</v>
      </c>
      <c r="H1409" s="2">
        <v>3267</v>
      </c>
      <c r="I1409" t="str">
        <f>VLOOKUP(Tabela1[[#This Row],[CO_PAIS]],'[1]nome do paixs'!$A:$B,2,0)</f>
        <v>Brasil</v>
      </c>
      <c r="J1409" t="s">
        <v>14</v>
      </c>
    </row>
    <row r="1410" spans="1:10">
      <c r="A1410">
        <v>2025</v>
      </c>
      <c r="B1410">
        <v>7</v>
      </c>
      <c r="C1410">
        <v>8807</v>
      </c>
      <c r="D1410">
        <v>455</v>
      </c>
      <c r="E1410" t="s">
        <v>10</v>
      </c>
      <c r="F1410">
        <v>3454102</v>
      </c>
      <c r="G1410" s="1">
        <v>2753</v>
      </c>
      <c r="H1410" s="2">
        <v>277307</v>
      </c>
      <c r="I1410" t="str">
        <f>VLOOKUP(Tabela1[[#This Row],[CO_PAIS]],'[1]nome do paixs'!$A:$B,2,0)</f>
        <v>Malásia</v>
      </c>
      <c r="J1410" t="s">
        <v>11</v>
      </c>
    </row>
    <row r="1411" spans="1:10">
      <c r="A1411">
        <v>2025</v>
      </c>
      <c r="B1411">
        <v>7</v>
      </c>
      <c r="C1411">
        <v>8807</v>
      </c>
      <c r="D1411">
        <v>72</v>
      </c>
      <c r="E1411" t="s">
        <v>10</v>
      </c>
      <c r="F1411">
        <v>3454102</v>
      </c>
      <c r="G1411" s="1">
        <v>38867</v>
      </c>
      <c r="H1411" s="2">
        <v>3987655</v>
      </c>
      <c r="I1411" t="str">
        <f>VLOOKUP(Tabela1[[#This Row],[CO_PAIS]],'[1]nome do paixs'!$A:$B,2,0)</f>
        <v>Áustria</v>
      </c>
      <c r="J1411" t="s">
        <v>11</v>
      </c>
    </row>
    <row r="1412" spans="1:10">
      <c r="A1412">
        <v>2025</v>
      </c>
      <c r="B1412">
        <v>7</v>
      </c>
      <c r="C1412">
        <v>8807</v>
      </c>
      <c r="D1412">
        <v>628</v>
      </c>
      <c r="E1412" t="s">
        <v>10</v>
      </c>
      <c r="F1412">
        <v>3454102</v>
      </c>
      <c r="G1412" s="1">
        <v>313</v>
      </c>
      <c r="H1412" s="2">
        <v>163102</v>
      </c>
      <c r="I1412" t="str">
        <f>VLOOKUP(Tabela1[[#This Row],[CO_PAIS]],'[1]nome do paixs'!$A:$B,2,0)</f>
        <v>Reino Unido</v>
      </c>
      <c r="J1412" t="s">
        <v>11</v>
      </c>
    </row>
    <row r="1413" spans="1:10">
      <c r="A1413">
        <v>2024</v>
      </c>
      <c r="B1413">
        <v>7</v>
      </c>
      <c r="C1413">
        <v>8807</v>
      </c>
      <c r="D1413">
        <v>399</v>
      </c>
      <c r="E1413" t="s">
        <v>10</v>
      </c>
      <c r="F1413">
        <v>3454102</v>
      </c>
      <c r="G1413" s="1">
        <v>2760</v>
      </c>
      <c r="H1413" s="2">
        <v>2029200</v>
      </c>
      <c r="I1413" t="str">
        <f>VLOOKUP(Tabela1[[#This Row],[CO_PAIS]],'[1]nome do paixs'!$A:$B,2,0)</f>
        <v>Japão</v>
      </c>
      <c r="J1413" t="s">
        <v>11</v>
      </c>
    </row>
    <row r="1414" spans="1:10">
      <c r="A1414">
        <v>2024</v>
      </c>
      <c r="B1414">
        <v>7</v>
      </c>
      <c r="C1414">
        <v>8807</v>
      </c>
      <c r="D1414">
        <v>23</v>
      </c>
      <c r="E1414" t="s">
        <v>10</v>
      </c>
      <c r="F1414">
        <v>3424402</v>
      </c>
      <c r="G1414" s="1">
        <v>38</v>
      </c>
      <c r="H1414" s="2">
        <v>69852</v>
      </c>
      <c r="I1414" t="str">
        <f>VLOOKUP(Tabela1[[#This Row],[CO_PAIS]],'[1]nome do paixs'!$A:$B,2,0)</f>
        <v>Alemanha</v>
      </c>
      <c r="J1414" t="s">
        <v>13</v>
      </c>
    </row>
    <row r="1415" spans="1:10">
      <c r="A1415">
        <v>2024</v>
      </c>
      <c r="B1415">
        <v>7</v>
      </c>
      <c r="C1415">
        <v>8807</v>
      </c>
      <c r="D1415">
        <v>149</v>
      </c>
      <c r="E1415" t="s">
        <v>10</v>
      </c>
      <c r="F1415">
        <v>3449904</v>
      </c>
      <c r="G1415" s="1">
        <v>110</v>
      </c>
      <c r="H1415" s="2">
        <v>116299</v>
      </c>
      <c r="I1415" t="str">
        <f>VLOOKUP(Tabela1[[#This Row],[CO_PAIS]],'[1]nome do paixs'!$A:$B,2,0)</f>
        <v>Canadá</v>
      </c>
      <c r="J1415" t="s">
        <v>12</v>
      </c>
    </row>
    <row r="1416" spans="1:10">
      <c r="A1416">
        <v>2024</v>
      </c>
      <c r="B1416">
        <v>7</v>
      </c>
      <c r="C1416">
        <v>8807</v>
      </c>
      <c r="D1416">
        <v>791</v>
      </c>
      <c r="E1416" t="s">
        <v>10</v>
      </c>
      <c r="F1416">
        <v>3449904</v>
      </c>
      <c r="G1416" s="1">
        <v>22</v>
      </c>
      <c r="H1416" s="2">
        <v>37638</v>
      </c>
      <c r="I1416" t="str">
        <f>VLOOKUP(Tabela1[[#This Row],[CO_PAIS]],'[1]nome do paixs'!$A:$B,2,0)</f>
        <v>Tcheca, República</v>
      </c>
      <c r="J1416" t="s">
        <v>12</v>
      </c>
    </row>
    <row r="1417" spans="1:10">
      <c r="A1417">
        <v>2024</v>
      </c>
      <c r="B1417">
        <v>7</v>
      </c>
      <c r="C1417">
        <v>8807</v>
      </c>
      <c r="D1417">
        <v>245</v>
      </c>
      <c r="E1417" t="s">
        <v>10</v>
      </c>
      <c r="F1417">
        <v>3424402</v>
      </c>
      <c r="G1417" s="1">
        <v>195</v>
      </c>
      <c r="H1417" s="2">
        <v>75054</v>
      </c>
      <c r="I1417" t="str">
        <f>VLOOKUP(Tabela1[[#This Row],[CO_PAIS]],'[1]nome do paixs'!$A:$B,2,0)</f>
        <v>Espanha</v>
      </c>
      <c r="J1417" t="s">
        <v>13</v>
      </c>
    </row>
    <row r="1418" spans="1:10">
      <c r="A1418">
        <v>2024</v>
      </c>
      <c r="B1418">
        <v>7</v>
      </c>
      <c r="C1418">
        <v>8807</v>
      </c>
      <c r="D1418">
        <v>160</v>
      </c>
      <c r="E1418" t="s">
        <v>10</v>
      </c>
      <c r="F1418">
        <v>3449904</v>
      </c>
      <c r="G1418" s="1">
        <v>0</v>
      </c>
      <c r="H1418" s="2">
        <v>117</v>
      </c>
      <c r="I1418" t="str">
        <f>VLOOKUP(Tabela1[[#This Row],[CO_PAIS]],'[1]nome do paixs'!$A:$B,2,0)</f>
        <v>China</v>
      </c>
      <c r="J1418" t="s">
        <v>12</v>
      </c>
    </row>
    <row r="1419" spans="1:10">
      <c r="A1419">
        <v>2024</v>
      </c>
      <c r="B1419">
        <v>7</v>
      </c>
      <c r="C1419">
        <v>8807</v>
      </c>
      <c r="D1419">
        <v>493</v>
      </c>
      <c r="E1419" t="s">
        <v>10</v>
      </c>
      <c r="F1419">
        <v>3454102</v>
      </c>
      <c r="G1419" s="1">
        <v>10761</v>
      </c>
      <c r="H1419" s="2">
        <v>4979680</v>
      </c>
      <c r="I1419" t="str">
        <f>VLOOKUP(Tabela1[[#This Row],[CO_PAIS]],'[1]nome do paixs'!$A:$B,2,0)</f>
        <v>México</v>
      </c>
      <c r="J1419" t="s">
        <v>11</v>
      </c>
    </row>
    <row r="1420" spans="1:10">
      <c r="A1420">
        <v>2024</v>
      </c>
      <c r="B1420">
        <v>7</v>
      </c>
      <c r="C1420">
        <v>8807</v>
      </c>
      <c r="D1420">
        <v>72</v>
      </c>
      <c r="E1420" t="s">
        <v>10</v>
      </c>
      <c r="F1420">
        <v>3454102</v>
      </c>
      <c r="G1420" s="1">
        <v>7097</v>
      </c>
      <c r="H1420" s="2">
        <v>1149741</v>
      </c>
      <c r="I1420" t="str">
        <f>VLOOKUP(Tabela1[[#This Row],[CO_PAIS]],'[1]nome do paixs'!$A:$B,2,0)</f>
        <v>Áustria</v>
      </c>
      <c r="J1420" t="s">
        <v>11</v>
      </c>
    </row>
    <row r="1421" spans="1:10">
      <c r="A1421">
        <v>2024</v>
      </c>
      <c r="B1421">
        <v>7</v>
      </c>
      <c r="C1421">
        <v>8807</v>
      </c>
      <c r="D1421">
        <v>249</v>
      </c>
      <c r="E1421" t="s">
        <v>10</v>
      </c>
      <c r="F1421">
        <v>3454102</v>
      </c>
      <c r="G1421" s="1">
        <v>36923</v>
      </c>
      <c r="H1421" s="2">
        <v>11378806</v>
      </c>
      <c r="I1421" t="str">
        <f>VLOOKUP(Tabela1[[#This Row],[CO_PAIS]],'[1]nome do paixs'!$A:$B,2,0)</f>
        <v>Estados Unidos</v>
      </c>
      <c r="J1421" t="s">
        <v>11</v>
      </c>
    </row>
    <row r="1422" spans="1:10">
      <c r="A1422">
        <v>2024</v>
      </c>
      <c r="B1422">
        <v>7</v>
      </c>
      <c r="C1422">
        <v>8807</v>
      </c>
      <c r="D1422">
        <v>361</v>
      </c>
      <c r="E1422" t="s">
        <v>10</v>
      </c>
      <c r="F1422">
        <v>3449904</v>
      </c>
      <c r="G1422" s="1">
        <v>723</v>
      </c>
      <c r="H1422" s="2">
        <v>423965</v>
      </c>
      <c r="I1422" t="str">
        <f>VLOOKUP(Tabela1[[#This Row],[CO_PAIS]],'[1]nome do paixs'!$A:$B,2,0)</f>
        <v>Índia</v>
      </c>
      <c r="J1422" t="s">
        <v>12</v>
      </c>
    </row>
    <row r="1423" spans="1:10">
      <c r="A1423">
        <v>2024</v>
      </c>
      <c r="B1423">
        <v>7</v>
      </c>
      <c r="C1423">
        <v>8807</v>
      </c>
      <c r="D1423">
        <v>245</v>
      </c>
      <c r="E1423" t="s">
        <v>10</v>
      </c>
      <c r="F1423">
        <v>3449904</v>
      </c>
      <c r="G1423" s="1">
        <v>3475</v>
      </c>
      <c r="H1423" s="2">
        <v>1761933</v>
      </c>
      <c r="I1423" t="str">
        <f>VLOOKUP(Tabela1[[#This Row],[CO_PAIS]],'[1]nome do paixs'!$A:$B,2,0)</f>
        <v>Espanha</v>
      </c>
      <c r="J1423" t="s">
        <v>12</v>
      </c>
    </row>
    <row r="1424" spans="1:10">
      <c r="A1424">
        <v>2024</v>
      </c>
      <c r="B1424">
        <v>7</v>
      </c>
      <c r="C1424">
        <v>8807</v>
      </c>
      <c r="D1424">
        <v>249</v>
      </c>
      <c r="E1424" t="s">
        <v>10</v>
      </c>
      <c r="F1424">
        <v>3424402</v>
      </c>
      <c r="G1424" s="1">
        <v>1746</v>
      </c>
      <c r="H1424" s="2">
        <v>309733</v>
      </c>
      <c r="I1424" t="str">
        <f>VLOOKUP(Tabela1[[#This Row],[CO_PAIS]],'[1]nome do paixs'!$A:$B,2,0)</f>
        <v>Estados Unidos</v>
      </c>
      <c r="J1424" t="s">
        <v>13</v>
      </c>
    </row>
    <row r="1425" spans="1:10">
      <c r="A1425">
        <v>2024</v>
      </c>
      <c r="B1425">
        <v>7</v>
      </c>
      <c r="C1425">
        <v>8807</v>
      </c>
      <c r="D1425">
        <v>676</v>
      </c>
      <c r="E1425" t="s">
        <v>10</v>
      </c>
      <c r="F1425">
        <v>3454102</v>
      </c>
      <c r="G1425" s="1">
        <v>2071</v>
      </c>
      <c r="H1425" s="2">
        <v>165348</v>
      </c>
      <c r="I1425" t="str">
        <f>VLOOKUP(Tabela1[[#This Row],[CO_PAIS]],'[1]nome do paixs'!$A:$B,2,0)</f>
        <v>Rússia</v>
      </c>
      <c r="J1425" t="s">
        <v>11</v>
      </c>
    </row>
    <row r="1426" spans="1:10">
      <c r="A1426">
        <v>2024</v>
      </c>
      <c r="B1426">
        <v>7</v>
      </c>
      <c r="C1426">
        <v>8807</v>
      </c>
      <c r="D1426">
        <v>245</v>
      </c>
      <c r="E1426" t="s">
        <v>10</v>
      </c>
      <c r="F1426">
        <v>3454102</v>
      </c>
      <c r="G1426" s="1">
        <v>974</v>
      </c>
      <c r="H1426" s="2">
        <v>766143</v>
      </c>
      <c r="I1426" t="str">
        <f>VLOOKUP(Tabela1[[#This Row],[CO_PAIS]],'[1]nome do paixs'!$A:$B,2,0)</f>
        <v>Espanha</v>
      </c>
      <c r="J1426" t="s">
        <v>11</v>
      </c>
    </row>
    <row r="1427" spans="1:10">
      <c r="A1427">
        <v>2024</v>
      </c>
      <c r="B1427">
        <v>7</v>
      </c>
      <c r="C1427">
        <v>8807</v>
      </c>
      <c r="D1427">
        <v>386</v>
      </c>
      <c r="E1427" t="s">
        <v>10</v>
      </c>
      <c r="F1427">
        <v>3449904</v>
      </c>
      <c r="G1427" s="1">
        <v>5</v>
      </c>
      <c r="H1427" s="2">
        <v>1768</v>
      </c>
      <c r="I1427" t="str">
        <f>VLOOKUP(Tabela1[[#This Row],[CO_PAIS]],'[1]nome do paixs'!$A:$B,2,0)</f>
        <v>Itália</v>
      </c>
      <c r="J1427" t="s">
        <v>12</v>
      </c>
    </row>
    <row r="1428" spans="1:10">
      <c r="A1428">
        <v>2024</v>
      </c>
      <c r="B1428">
        <v>7</v>
      </c>
      <c r="C1428">
        <v>8807</v>
      </c>
      <c r="D1428">
        <v>455</v>
      </c>
      <c r="E1428" t="s">
        <v>10</v>
      </c>
      <c r="F1428">
        <v>3449904</v>
      </c>
      <c r="G1428" s="1">
        <v>0</v>
      </c>
      <c r="H1428" s="2">
        <v>2458</v>
      </c>
      <c r="I1428" t="str">
        <f>VLOOKUP(Tabela1[[#This Row],[CO_PAIS]],'[1]nome do paixs'!$A:$B,2,0)</f>
        <v>Malásia</v>
      </c>
      <c r="J1428" t="s">
        <v>12</v>
      </c>
    </row>
    <row r="1429" spans="1:10">
      <c r="A1429">
        <v>2024</v>
      </c>
      <c r="B1429">
        <v>7</v>
      </c>
      <c r="C1429">
        <v>8807</v>
      </c>
      <c r="D1429">
        <v>375</v>
      </c>
      <c r="E1429" t="s">
        <v>10</v>
      </c>
      <c r="F1429">
        <v>3454102</v>
      </c>
      <c r="G1429" s="1">
        <v>70</v>
      </c>
      <c r="H1429" s="2">
        <v>45226</v>
      </c>
      <c r="I1429" t="str">
        <f>VLOOKUP(Tabela1[[#This Row],[CO_PAIS]],'[1]nome do paixs'!$A:$B,2,0)</f>
        <v>Irlanda</v>
      </c>
      <c r="J1429" t="s">
        <v>11</v>
      </c>
    </row>
    <row r="1430" spans="1:10">
      <c r="A1430">
        <v>2024</v>
      </c>
      <c r="B1430">
        <v>7</v>
      </c>
      <c r="C1430">
        <v>8807</v>
      </c>
      <c r="D1430">
        <v>791</v>
      </c>
      <c r="E1430" t="s">
        <v>10</v>
      </c>
      <c r="F1430">
        <v>3424402</v>
      </c>
      <c r="G1430" s="1">
        <v>552</v>
      </c>
      <c r="H1430" s="2">
        <v>419885</v>
      </c>
      <c r="I1430" t="str">
        <f>VLOOKUP(Tabela1[[#This Row],[CO_PAIS]],'[1]nome do paixs'!$A:$B,2,0)</f>
        <v>Tcheca, República</v>
      </c>
      <c r="J1430" t="s">
        <v>13</v>
      </c>
    </row>
    <row r="1431" spans="1:10">
      <c r="A1431">
        <v>2024</v>
      </c>
      <c r="B1431">
        <v>7</v>
      </c>
      <c r="C1431">
        <v>8807</v>
      </c>
      <c r="D1431">
        <v>493</v>
      </c>
      <c r="E1431" t="s">
        <v>10</v>
      </c>
      <c r="F1431">
        <v>3449904</v>
      </c>
      <c r="G1431" s="1">
        <v>1911</v>
      </c>
      <c r="H1431" s="2">
        <v>1278344</v>
      </c>
      <c r="I1431" t="str">
        <f>VLOOKUP(Tabela1[[#This Row],[CO_PAIS]],'[1]nome do paixs'!$A:$B,2,0)</f>
        <v>México</v>
      </c>
      <c r="J1431" t="s">
        <v>12</v>
      </c>
    </row>
    <row r="1432" spans="1:10">
      <c r="A1432">
        <v>2024</v>
      </c>
      <c r="B1432">
        <v>7</v>
      </c>
      <c r="C1432">
        <v>8807</v>
      </c>
      <c r="D1432">
        <v>23</v>
      </c>
      <c r="E1432" t="s">
        <v>10</v>
      </c>
      <c r="F1432">
        <v>3454102</v>
      </c>
      <c r="G1432" s="1">
        <v>18380</v>
      </c>
      <c r="H1432" s="2">
        <v>1105230</v>
      </c>
      <c r="I1432" t="str">
        <f>VLOOKUP(Tabela1[[#This Row],[CO_PAIS]],'[1]nome do paixs'!$A:$B,2,0)</f>
        <v>Alemanha</v>
      </c>
      <c r="J1432" t="s">
        <v>11</v>
      </c>
    </row>
    <row r="1433" spans="1:10">
      <c r="A1433">
        <v>2024</v>
      </c>
      <c r="B1433">
        <v>7</v>
      </c>
      <c r="C1433">
        <v>8807</v>
      </c>
      <c r="D1433">
        <v>607</v>
      </c>
      <c r="E1433" t="s">
        <v>10</v>
      </c>
      <c r="F1433">
        <v>3449904</v>
      </c>
      <c r="G1433" s="1">
        <v>6</v>
      </c>
      <c r="H1433" s="2">
        <v>21922</v>
      </c>
      <c r="I1433" t="str">
        <f>VLOOKUP(Tabela1[[#This Row],[CO_PAIS]],'[1]nome do paixs'!$A:$B,2,0)</f>
        <v>Portugal</v>
      </c>
      <c r="J1433" t="s">
        <v>12</v>
      </c>
    </row>
    <row r="1434" spans="1:10">
      <c r="A1434">
        <v>2024</v>
      </c>
      <c r="B1434">
        <v>7</v>
      </c>
      <c r="C1434">
        <v>8807</v>
      </c>
      <c r="D1434">
        <v>628</v>
      </c>
      <c r="E1434" t="s">
        <v>10</v>
      </c>
      <c r="F1434">
        <v>3449904</v>
      </c>
      <c r="G1434" s="1">
        <v>832</v>
      </c>
      <c r="H1434" s="2">
        <v>1208328</v>
      </c>
      <c r="I1434" t="str">
        <f>VLOOKUP(Tabela1[[#This Row],[CO_PAIS]],'[1]nome do paixs'!$A:$B,2,0)</f>
        <v>Reino Unido</v>
      </c>
      <c r="J1434" t="s">
        <v>12</v>
      </c>
    </row>
    <row r="1435" spans="1:10">
      <c r="A1435">
        <v>2024</v>
      </c>
      <c r="B1435">
        <v>7</v>
      </c>
      <c r="C1435">
        <v>8807</v>
      </c>
      <c r="D1435">
        <v>275</v>
      </c>
      <c r="E1435" t="s">
        <v>10</v>
      </c>
      <c r="F1435">
        <v>3424402</v>
      </c>
      <c r="G1435" s="1">
        <v>443</v>
      </c>
      <c r="H1435" s="2">
        <v>944134</v>
      </c>
      <c r="I1435" t="str">
        <f>VLOOKUP(Tabela1[[#This Row],[CO_PAIS]],'[1]nome do paixs'!$A:$B,2,0)</f>
        <v>França</v>
      </c>
      <c r="J1435" t="s">
        <v>13</v>
      </c>
    </row>
    <row r="1436" spans="1:10">
      <c r="A1436">
        <v>2024</v>
      </c>
      <c r="B1436">
        <v>7</v>
      </c>
      <c r="C1436">
        <v>8807</v>
      </c>
      <c r="D1436">
        <v>190</v>
      </c>
      <c r="E1436" t="s">
        <v>10</v>
      </c>
      <c r="F1436">
        <v>3454102</v>
      </c>
      <c r="G1436" s="1">
        <v>4942</v>
      </c>
      <c r="H1436" s="2">
        <v>3847089</v>
      </c>
      <c r="I1436" t="str">
        <f>VLOOKUP(Tabela1[[#This Row],[CO_PAIS]],'[1]nome do paixs'!$A:$B,2,0)</f>
        <v>Coreia do Sul</v>
      </c>
      <c r="J1436" t="s">
        <v>11</v>
      </c>
    </row>
    <row r="1437" spans="1:10">
      <c r="A1437">
        <v>2024</v>
      </c>
      <c r="B1437">
        <v>7</v>
      </c>
      <c r="C1437">
        <v>8807</v>
      </c>
      <c r="D1437">
        <v>23</v>
      </c>
      <c r="E1437" t="s">
        <v>10</v>
      </c>
      <c r="F1437">
        <v>3449904</v>
      </c>
      <c r="G1437" s="1">
        <v>467</v>
      </c>
      <c r="H1437" s="2">
        <v>793315</v>
      </c>
      <c r="I1437" t="str">
        <f>VLOOKUP(Tabela1[[#This Row],[CO_PAIS]],'[1]nome do paixs'!$A:$B,2,0)</f>
        <v>Alemanha</v>
      </c>
      <c r="J1437" t="s">
        <v>12</v>
      </c>
    </row>
    <row r="1438" spans="1:10">
      <c r="A1438">
        <v>2024</v>
      </c>
      <c r="B1438">
        <v>7</v>
      </c>
      <c r="C1438">
        <v>8807</v>
      </c>
      <c r="D1438">
        <v>190</v>
      </c>
      <c r="E1438" t="s">
        <v>10</v>
      </c>
      <c r="F1438">
        <v>3449904</v>
      </c>
      <c r="G1438" s="1">
        <v>71</v>
      </c>
      <c r="H1438" s="2">
        <v>99831</v>
      </c>
      <c r="I1438" t="str">
        <f>VLOOKUP(Tabela1[[#This Row],[CO_PAIS]],'[1]nome do paixs'!$A:$B,2,0)</f>
        <v>Coreia do Sul</v>
      </c>
      <c r="J1438" t="s">
        <v>12</v>
      </c>
    </row>
    <row r="1439" spans="1:10">
      <c r="A1439">
        <v>2024</v>
      </c>
      <c r="B1439">
        <v>7</v>
      </c>
      <c r="C1439">
        <v>8807</v>
      </c>
      <c r="D1439">
        <v>275</v>
      </c>
      <c r="E1439" t="s">
        <v>10</v>
      </c>
      <c r="F1439">
        <v>3449904</v>
      </c>
      <c r="G1439" s="1">
        <v>218</v>
      </c>
      <c r="H1439" s="2">
        <v>310656</v>
      </c>
      <c r="I1439" t="str">
        <f>VLOOKUP(Tabela1[[#This Row],[CO_PAIS]],'[1]nome do paixs'!$A:$B,2,0)</f>
        <v>França</v>
      </c>
      <c r="J1439" t="s">
        <v>12</v>
      </c>
    </row>
    <row r="1440" spans="1:10">
      <c r="A1440">
        <v>2024</v>
      </c>
      <c r="B1440">
        <v>7</v>
      </c>
      <c r="C1440">
        <v>8807</v>
      </c>
      <c r="D1440">
        <v>105</v>
      </c>
      <c r="E1440" t="s">
        <v>10</v>
      </c>
      <c r="F1440">
        <v>3454102</v>
      </c>
      <c r="G1440" s="1">
        <v>8088</v>
      </c>
      <c r="H1440" s="2">
        <v>7907062</v>
      </c>
      <c r="I1440" t="str">
        <f>VLOOKUP(Tabela1[[#This Row],[CO_PAIS]],'[1]nome do paixs'!$A:$B,2,0)</f>
        <v>Brasil</v>
      </c>
      <c r="J1440" t="s">
        <v>11</v>
      </c>
    </row>
    <row r="1441" spans="1:10">
      <c r="A1441">
        <v>2024</v>
      </c>
      <c r="B1441">
        <v>7</v>
      </c>
      <c r="C1441">
        <v>8807</v>
      </c>
      <c r="D1441">
        <v>72</v>
      </c>
      <c r="E1441" t="s">
        <v>10</v>
      </c>
      <c r="F1441">
        <v>3449904</v>
      </c>
      <c r="G1441" s="1">
        <v>15</v>
      </c>
      <c r="H1441" s="2">
        <v>6499</v>
      </c>
      <c r="I1441" t="str">
        <f>VLOOKUP(Tabela1[[#This Row],[CO_PAIS]],'[1]nome do paixs'!$A:$B,2,0)</f>
        <v>Áustria</v>
      </c>
      <c r="J1441" t="s">
        <v>12</v>
      </c>
    </row>
    <row r="1442" spans="1:10">
      <c r="A1442">
        <v>2024</v>
      </c>
      <c r="B1442">
        <v>7</v>
      </c>
      <c r="C1442">
        <v>8807</v>
      </c>
      <c r="D1442">
        <v>455</v>
      </c>
      <c r="E1442" t="s">
        <v>10</v>
      </c>
      <c r="F1442">
        <v>3454102</v>
      </c>
      <c r="G1442" s="1">
        <v>1171</v>
      </c>
      <c r="H1442" s="2">
        <v>216944</v>
      </c>
      <c r="I1442" t="str">
        <f>VLOOKUP(Tabela1[[#This Row],[CO_PAIS]],'[1]nome do paixs'!$A:$B,2,0)</f>
        <v>Malásia</v>
      </c>
      <c r="J1442" t="s">
        <v>11</v>
      </c>
    </row>
    <row r="1443" spans="1:10">
      <c r="A1443">
        <v>2024</v>
      </c>
      <c r="B1443">
        <v>7</v>
      </c>
      <c r="C1443">
        <v>8807</v>
      </c>
      <c r="D1443">
        <v>87</v>
      </c>
      <c r="E1443" t="s">
        <v>10</v>
      </c>
      <c r="F1443">
        <v>3454102</v>
      </c>
      <c r="G1443" s="1">
        <v>2494</v>
      </c>
      <c r="H1443" s="2">
        <v>2137311</v>
      </c>
      <c r="I1443" t="str">
        <f>VLOOKUP(Tabela1[[#This Row],[CO_PAIS]],'[1]nome do paixs'!$A:$B,2,0)</f>
        <v>Bélgica</v>
      </c>
      <c r="J1443" t="s">
        <v>11</v>
      </c>
    </row>
    <row r="1444" spans="1:10">
      <c r="A1444">
        <v>2024</v>
      </c>
      <c r="B1444">
        <v>7</v>
      </c>
      <c r="C1444">
        <v>8807</v>
      </c>
      <c r="D1444">
        <v>249</v>
      </c>
      <c r="E1444" t="s">
        <v>10</v>
      </c>
      <c r="F1444">
        <v>3449904</v>
      </c>
      <c r="G1444" s="1">
        <v>10164</v>
      </c>
      <c r="H1444" s="2">
        <v>7529439</v>
      </c>
      <c r="I1444" t="str">
        <f>VLOOKUP(Tabela1[[#This Row],[CO_PAIS]],'[1]nome do paixs'!$A:$B,2,0)</f>
        <v>Estados Unidos</v>
      </c>
      <c r="J1444" t="s">
        <v>12</v>
      </c>
    </row>
    <row r="1445" spans="1:10">
      <c r="A1445">
        <v>2024</v>
      </c>
      <c r="B1445">
        <v>7</v>
      </c>
      <c r="C1445">
        <v>8807</v>
      </c>
      <c r="D1445">
        <v>474</v>
      </c>
      <c r="E1445" t="s">
        <v>10</v>
      </c>
      <c r="F1445">
        <v>3454102</v>
      </c>
      <c r="G1445" s="1">
        <v>115</v>
      </c>
      <c r="H1445" s="2">
        <v>325293</v>
      </c>
      <c r="I1445" t="str">
        <f>VLOOKUP(Tabela1[[#This Row],[CO_PAIS]],'[1]nome do paixs'!$A:$B,2,0)</f>
        <v>Marrocos</v>
      </c>
      <c r="J1445" t="s">
        <v>11</v>
      </c>
    </row>
    <row r="1446" spans="1:10">
      <c r="A1446">
        <v>2024</v>
      </c>
      <c r="B1446">
        <v>7</v>
      </c>
      <c r="C1446">
        <v>8807</v>
      </c>
      <c r="D1446">
        <v>375</v>
      </c>
      <c r="E1446" t="s">
        <v>10</v>
      </c>
      <c r="F1446">
        <v>3449904</v>
      </c>
      <c r="G1446" s="1">
        <v>107</v>
      </c>
      <c r="H1446" s="2">
        <v>30315</v>
      </c>
      <c r="I1446" t="str">
        <f>VLOOKUP(Tabela1[[#This Row],[CO_PAIS]],'[1]nome do paixs'!$A:$B,2,0)</f>
        <v>Irlanda</v>
      </c>
      <c r="J1446" t="s">
        <v>12</v>
      </c>
    </row>
    <row r="1447" spans="1:10">
      <c r="A1447">
        <v>2024</v>
      </c>
      <c r="B1447">
        <v>7</v>
      </c>
      <c r="C1447">
        <v>8807</v>
      </c>
      <c r="D1447">
        <v>275</v>
      </c>
      <c r="E1447" t="s">
        <v>10</v>
      </c>
      <c r="F1447">
        <v>3454102</v>
      </c>
      <c r="G1447" s="1">
        <v>1282</v>
      </c>
      <c r="H1447" s="2">
        <v>1954516</v>
      </c>
      <c r="I1447" t="str">
        <f>VLOOKUP(Tabela1[[#This Row],[CO_PAIS]],'[1]nome do paixs'!$A:$B,2,0)</f>
        <v>França</v>
      </c>
      <c r="J1447" t="s">
        <v>11</v>
      </c>
    </row>
    <row r="1448" spans="1:10">
      <c r="A1448">
        <v>2024</v>
      </c>
      <c r="B1448">
        <v>7</v>
      </c>
      <c r="C1448">
        <v>8807</v>
      </c>
      <c r="D1448">
        <v>190</v>
      </c>
      <c r="E1448" t="s">
        <v>10</v>
      </c>
      <c r="F1448">
        <v>3424402</v>
      </c>
      <c r="G1448" s="1">
        <v>109</v>
      </c>
      <c r="H1448" s="2">
        <v>42828</v>
      </c>
      <c r="I1448" t="str">
        <f>VLOOKUP(Tabela1[[#This Row],[CO_PAIS]],'[1]nome do paixs'!$A:$B,2,0)</f>
        <v>Coreia do Sul</v>
      </c>
      <c r="J1448" t="s">
        <v>13</v>
      </c>
    </row>
    <row r="1449" spans="1:10">
      <c r="A1449">
        <v>2024</v>
      </c>
      <c r="B1449">
        <v>7</v>
      </c>
      <c r="C1449">
        <v>8807</v>
      </c>
      <c r="D1449">
        <v>461</v>
      </c>
      <c r="E1449" t="s">
        <v>10</v>
      </c>
      <c r="F1449">
        <v>3449904</v>
      </c>
      <c r="G1449" s="1">
        <v>2</v>
      </c>
      <c r="H1449" s="2">
        <v>39410</v>
      </c>
      <c r="I1449" t="str">
        <f>VLOOKUP(Tabela1[[#This Row],[CO_PAIS]],'[1]nome do paixs'!$A:$B,2,0)</f>
        <v>Maldivas</v>
      </c>
      <c r="J1449" t="s">
        <v>12</v>
      </c>
    </row>
    <row r="1450" spans="1:10">
      <c r="A1450">
        <v>2024</v>
      </c>
      <c r="B1450">
        <v>7</v>
      </c>
      <c r="C1450">
        <v>8807</v>
      </c>
      <c r="D1450">
        <v>791</v>
      </c>
      <c r="E1450" t="s">
        <v>10</v>
      </c>
      <c r="F1450">
        <v>3454102</v>
      </c>
      <c r="G1450" s="1">
        <v>1</v>
      </c>
      <c r="H1450" s="2">
        <v>8060</v>
      </c>
      <c r="I1450" t="str">
        <f>VLOOKUP(Tabela1[[#This Row],[CO_PAIS]],'[1]nome do paixs'!$A:$B,2,0)</f>
        <v>Tcheca, República</v>
      </c>
      <c r="J1450" t="s">
        <v>11</v>
      </c>
    </row>
    <row r="1451" spans="1:10">
      <c r="A1451">
        <v>2024</v>
      </c>
      <c r="B1451">
        <v>7</v>
      </c>
      <c r="C1451">
        <v>8807</v>
      </c>
      <c r="D1451">
        <v>827</v>
      </c>
      <c r="E1451" t="s">
        <v>10</v>
      </c>
      <c r="F1451">
        <v>3449904</v>
      </c>
      <c r="G1451" s="1">
        <v>1</v>
      </c>
      <c r="H1451" s="2">
        <v>1781</v>
      </c>
      <c r="I1451" t="str">
        <f>VLOOKUP(Tabela1[[#This Row],[CO_PAIS]],'[1]nome do paixs'!$A:$B,2,0)</f>
        <v>Turquia</v>
      </c>
      <c r="J1451" t="s">
        <v>12</v>
      </c>
    </row>
    <row r="1452" spans="1:10">
      <c r="A1452">
        <v>2024</v>
      </c>
      <c r="B1452">
        <v>7</v>
      </c>
      <c r="C1452">
        <v>8807</v>
      </c>
      <c r="D1452">
        <v>63</v>
      </c>
      <c r="E1452" t="s">
        <v>10</v>
      </c>
      <c r="F1452">
        <v>3449904</v>
      </c>
      <c r="G1452" s="1">
        <v>0</v>
      </c>
      <c r="H1452" s="2">
        <v>4674</v>
      </c>
      <c r="I1452" t="str">
        <f>VLOOKUP(Tabela1[[#This Row],[CO_PAIS]],'[1]nome do paixs'!$A:$B,2,0)</f>
        <v>Argentina</v>
      </c>
      <c r="J1452" t="s">
        <v>12</v>
      </c>
    </row>
    <row r="1453" spans="1:10">
      <c r="A1453">
        <v>2024</v>
      </c>
      <c r="B1453">
        <v>7</v>
      </c>
      <c r="C1453">
        <v>8807</v>
      </c>
      <c r="D1453">
        <v>149</v>
      </c>
      <c r="E1453" t="s">
        <v>10</v>
      </c>
      <c r="F1453">
        <v>3454102</v>
      </c>
      <c r="G1453" s="1">
        <v>797</v>
      </c>
      <c r="H1453" s="2">
        <v>476154</v>
      </c>
      <c r="I1453" t="str">
        <f>VLOOKUP(Tabela1[[#This Row],[CO_PAIS]],'[1]nome do paixs'!$A:$B,2,0)</f>
        <v>Canadá</v>
      </c>
      <c r="J1453" t="s">
        <v>11</v>
      </c>
    </row>
    <row r="1454" spans="1:10">
      <c r="A1454">
        <v>2024</v>
      </c>
      <c r="B1454">
        <v>7</v>
      </c>
      <c r="C1454">
        <v>8807</v>
      </c>
      <c r="D1454">
        <v>87</v>
      </c>
      <c r="E1454" t="s">
        <v>10</v>
      </c>
      <c r="F1454">
        <v>3424402</v>
      </c>
      <c r="G1454" s="1">
        <v>1</v>
      </c>
      <c r="H1454" s="2">
        <v>4462</v>
      </c>
      <c r="I1454" t="str">
        <f>VLOOKUP(Tabela1[[#This Row],[CO_PAIS]],'[1]nome do paixs'!$A:$B,2,0)</f>
        <v>Bélgica</v>
      </c>
      <c r="J1454" t="s">
        <v>13</v>
      </c>
    </row>
    <row r="1455" spans="1:10">
      <c r="A1455">
        <v>2024</v>
      </c>
      <c r="B1455">
        <v>7</v>
      </c>
      <c r="C1455">
        <v>8807</v>
      </c>
      <c r="D1455">
        <v>628</v>
      </c>
      <c r="E1455" t="s">
        <v>10</v>
      </c>
      <c r="F1455">
        <v>3454102</v>
      </c>
      <c r="G1455" s="1">
        <v>720</v>
      </c>
      <c r="H1455" s="2">
        <v>738298</v>
      </c>
      <c r="I1455" t="str">
        <f>VLOOKUP(Tabela1[[#This Row],[CO_PAIS]],'[1]nome do paixs'!$A:$B,2,0)</f>
        <v>Reino Unido</v>
      </c>
      <c r="J1455" t="s">
        <v>11</v>
      </c>
    </row>
    <row r="1456" spans="1:10">
      <c r="A1456">
        <v>2024</v>
      </c>
      <c r="B1456">
        <v>7</v>
      </c>
      <c r="C1456">
        <v>8807</v>
      </c>
      <c r="D1456">
        <v>493</v>
      </c>
      <c r="E1456" t="s">
        <v>10</v>
      </c>
      <c r="F1456">
        <v>3424402</v>
      </c>
      <c r="G1456" s="1">
        <v>2</v>
      </c>
      <c r="H1456" s="2">
        <v>4220</v>
      </c>
      <c r="I1456" t="str">
        <f>VLOOKUP(Tabela1[[#This Row],[CO_PAIS]],'[1]nome do paixs'!$A:$B,2,0)</f>
        <v>México</v>
      </c>
      <c r="J1456" t="s">
        <v>13</v>
      </c>
    </row>
    <row r="1457" spans="1:10">
      <c r="A1457">
        <v>2024</v>
      </c>
      <c r="B1457">
        <v>7</v>
      </c>
      <c r="C1457">
        <v>8807</v>
      </c>
      <c r="D1457">
        <v>399</v>
      </c>
      <c r="E1457" t="s">
        <v>10</v>
      </c>
      <c r="F1457">
        <v>3449904</v>
      </c>
      <c r="G1457" s="1">
        <v>1056</v>
      </c>
      <c r="H1457" s="2">
        <v>1111802</v>
      </c>
      <c r="I1457" t="str">
        <f>VLOOKUP(Tabela1[[#This Row],[CO_PAIS]],'[1]nome do paixs'!$A:$B,2,0)</f>
        <v>Japão</v>
      </c>
      <c r="J1457" t="s">
        <v>12</v>
      </c>
    </row>
    <row r="1458" spans="1:10">
      <c r="A1458">
        <v>2024</v>
      </c>
      <c r="B1458">
        <v>7</v>
      </c>
      <c r="C1458">
        <v>8807</v>
      </c>
      <c r="D1458">
        <v>741</v>
      </c>
      <c r="E1458" t="s">
        <v>10</v>
      </c>
      <c r="F1458">
        <v>3449904</v>
      </c>
      <c r="G1458" s="1">
        <v>69</v>
      </c>
      <c r="H1458" s="2">
        <v>85146</v>
      </c>
      <c r="I1458" t="str">
        <f>VLOOKUP(Tabela1[[#This Row],[CO_PAIS]],'[1]nome do paixs'!$A:$B,2,0)</f>
        <v>Singapura</v>
      </c>
      <c r="J1458" t="s">
        <v>12</v>
      </c>
    </row>
    <row r="1459" spans="1:10">
      <c r="A1459">
        <v>2024</v>
      </c>
      <c r="B1459">
        <v>7</v>
      </c>
      <c r="C1459">
        <v>8807</v>
      </c>
      <c r="D1459">
        <v>607</v>
      </c>
      <c r="E1459" t="s">
        <v>10</v>
      </c>
      <c r="F1459">
        <v>3454102</v>
      </c>
      <c r="G1459" s="1">
        <v>16089</v>
      </c>
      <c r="H1459" s="2">
        <v>5185110</v>
      </c>
      <c r="I1459" t="str">
        <f>VLOOKUP(Tabela1[[#This Row],[CO_PAIS]],'[1]nome do paixs'!$A:$B,2,0)</f>
        <v>Portugal</v>
      </c>
      <c r="J1459" t="s">
        <v>11</v>
      </c>
    </row>
    <row r="1460" spans="1:10">
      <c r="A1460">
        <v>2024</v>
      </c>
      <c r="B1460">
        <v>7</v>
      </c>
      <c r="C1460">
        <v>8807</v>
      </c>
      <c r="D1460">
        <v>87</v>
      </c>
      <c r="E1460" t="s">
        <v>10</v>
      </c>
      <c r="F1460">
        <v>3449904</v>
      </c>
      <c r="G1460" s="1">
        <v>2454</v>
      </c>
      <c r="H1460" s="2">
        <v>2229337</v>
      </c>
      <c r="I1460" t="str">
        <f>VLOOKUP(Tabela1[[#This Row],[CO_PAIS]],'[1]nome do paixs'!$A:$B,2,0)</f>
        <v>Bélgica</v>
      </c>
      <c r="J1460" t="s">
        <v>12</v>
      </c>
    </row>
    <row r="1461" spans="1:10">
      <c r="A1461">
        <v>2024</v>
      </c>
      <c r="B1461">
        <v>7</v>
      </c>
      <c r="C1461">
        <v>8807</v>
      </c>
      <c r="D1461">
        <v>105</v>
      </c>
      <c r="E1461" t="s">
        <v>10</v>
      </c>
      <c r="F1461">
        <v>3449904</v>
      </c>
      <c r="G1461" s="1">
        <v>8519</v>
      </c>
      <c r="H1461" s="2">
        <v>5809981</v>
      </c>
      <c r="I1461" t="str">
        <f>VLOOKUP(Tabela1[[#This Row],[CO_PAIS]],'[1]nome do paixs'!$A:$B,2,0)</f>
        <v>Brasil</v>
      </c>
      <c r="J1461" t="s">
        <v>12</v>
      </c>
    </row>
    <row r="1462" spans="1:10">
      <c r="A1462">
        <v>2024</v>
      </c>
      <c r="B1462">
        <v>7</v>
      </c>
      <c r="C1462">
        <v>8807</v>
      </c>
      <c r="D1462">
        <v>386</v>
      </c>
      <c r="E1462" t="s">
        <v>10</v>
      </c>
      <c r="F1462">
        <v>3454102</v>
      </c>
      <c r="G1462" s="1">
        <v>384</v>
      </c>
      <c r="H1462" s="2">
        <v>1069494</v>
      </c>
      <c r="I1462" t="str">
        <f>VLOOKUP(Tabela1[[#This Row],[CO_PAIS]],'[1]nome do paixs'!$A:$B,2,0)</f>
        <v>Itália</v>
      </c>
      <c r="J1462" t="s">
        <v>11</v>
      </c>
    </row>
    <row r="1463" spans="1:10">
      <c r="A1463">
        <v>2023</v>
      </c>
      <c r="B1463">
        <v>7</v>
      </c>
      <c r="C1463">
        <v>8807</v>
      </c>
      <c r="D1463">
        <v>87</v>
      </c>
      <c r="E1463" t="s">
        <v>10</v>
      </c>
      <c r="F1463">
        <v>3449904</v>
      </c>
      <c r="G1463" s="1">
        <v>817</v>
      </c>
      <c r="H1463" s="2">
        <v>1199199</v>
      </c>
      <c r="I1463" t="str">
        <f>VLOOKUP(Tabela1[[#This Row],[CO_PAIS]],'[1]nome do paixs'!$A:$B,2,0)</f>
        <v>Bélgica</v>
      </c>
      <c r="J1463" t="s">
        <v>12</v>
      </c>
    </row>
    <row r="1464" spans="1:10">
      <c r="A1464">
        <v>2023</v>
      </c>
      <c r="B1464">
        <v>7</v>
      </c>
      <c r="C1464">
        <v>8807</v>
      </c>
      <c r="D1464">
        <v>375</v>
      </c>
      <c r="E1464" t="s">
        <v>10</v>
      </c>
      <c r="F1464">
        <v>3449904</v>
      </c>
      <c r="G1464" s="1">
        <v>10</v>
      </c>
      <c r="H1464" s="2">
        <v>3100</v>
      </c>
      <c r="I1464" t="str">
        <f>VLOOKUP(Tabela1[[#This Row],[CO_PAIS]],'[1]nome do paixs'!$A:$B,2,0)</f>
        <v>Irlanda</v>
      </c>
      <c r="J1464" t="s">
        <v>12</v>
      </c>
    </row>
    <row r="1465" spans="1:10">
      <c r="A1465">
        <v>2023</v>
      </c>
      <c r="B1465">
        <v>7</v>
      </c>
      <c r="C1465">
        <v>8807</v>
      </c>
      <c r="D1465">
        <v>628</v>
      </c>
      <c r="E1465" t="s">
        <v>10</v>
      </c>
      <c r="F1465">
        <v>3449904</v>
      </c>
      <c r="G1465" s="1">
        <v>465</v>
      </c>
      <c r="H1465" s="2">
        <v>646848</v>
      </c>
      <c r="I1465" t="str">
        <f>VLOOKUP(Tabela1[[#This Row],[CO_PAIS]],'[1]nome do paixs'!$A:$B,2,0)</f>
        <v>Reino Unido</v>
      </c>
      <c r="J1465" t="s">
        <v>12</v>
      </c>
    </row>
    <row r="1466" spans="1:10">
      <c r="A1466">
        <v>2023</v>
      </c>
      <c r="B1466">
        <v>7</v>
      </c>
      <c r="C1466">
        <v>8807</v>
      </c>
      <c r="D1466">
        <v>676</v>
      </c>
      <c r="E1466" t="s">
        <v>10</v>
      </c>
      <c r="F1466">
        <v>3449904</v>
      </c>
      <c r="G1466" s="1">
        <v>11</v>
      </c>
      <c r="H1466" s="2">
        <v>4700</v>
      </c>
      <c r="I1466" t="str">
        <f>VLOOKUP(Tabela1[[#This Row],[CO_PAIS]],'[1]nome do paixs'!$A:$B,2,0)</f>
        <v>Rússia</v>
      </c>
      <c r="J1466" t="s">
        <v>12</v>
      </c>
    </row>
    <row r="1467" spans="1:10">
      <c r="A1467">
        <v>2023</v>
      </c>
      <c r="B1467">
        <v>7</v>
      </c>
      <c r="C1467">
        <v>8807</v>
      </c>
      <c r="D1467">
        <v>23</v>
      </c>
      <c r="E1467" t="s">
        <v>10</v>
      </c>
      <c r="F1467">
        <v>3454102</v>
      </c>
      <c r="G1467" s="1">
        <v>15950</v>
      </c>
      <c r="H1467" s="2">
        <v>1897941</v>
      </c>
      <c r="I1467" t="str">
        <f>VLOOKUP(Tabela1[[#This Row],[CO_PAIS]],'[1]nome do paixs'!$A:$B,2,0)</f>
        <v>Alemanha</v>
      </c>
      <c r="J1467" t="s">
        <v>11</v>
      </c>
    </row>
    <row r="1468" spans="1:10">
      <c r="A1468">
        <v>2023</v>
      </c>
      <c r="B1468">
        <v>7</v>
      </c>
      <c r="C1468">
        <v>8807</v>
      </c>
      <c r="D1468">
        <v>249</v>
      </c>
      <c r="E1468" t="s">
        <v>10</v>
      </c>
      <c r="F1468">
        <v>3454102</v>
      </c>
      <c r="G1468" s="1">
        <v>25941</v>
      </c>
      <c r="H1468" s="2">
        <v>7188906</v>
      </c>
      <c r="I1468" t="str">
        <f>VLOOKUP(Tabela1[[#This Row],[CO_PAIS]],'[1]nome do paixs'!$A:$B,2,0)</f>
        <v>Estados Unidos</v>
      </c>
      <c r="J1468" t="s">
        <v>11</v>
      </c>
    </row>
    <row r="1469" spans="1:10">
      <c r="A1469">
        <v>2023</v>
      </c>
      <c r="B1469">
        <v>7</v>
      </c>
      <c r="C1469">
        <v>8807</v>
      </c>
      <c r="D1469">
        <v>603</v>
      </c>
      <c r="E1469" t="s">
        <v>10</v>
      </c>
      <c r="F1469">
        <v>3449904</v>
      </c>
      <c r="G1469" s="1">
        <v>90</v>
      </c>
      <c r="H1469" s="2">
        <v>6829</v>
      </c>
      <c r="I1469" t="str">
        <f>VLOOKUP(Tabela1[[#This Row],[CO_PAIS]],'[1]nome do paixs'!$A:$B,2,0)</f>
        <v>Polônia</v>
      </c>
      <c r="J1469" t="s">
        <v>12</v>
      </c>
    </row>
    <row r="1470" spans="1:10">
      <c r="A1470">
        <v>2023</v>
      </c>
      <c r="B1470">
        <v>7</v>
      </c>
      <c r="C1470">
        <v>8807</v>
      </c>
      <c r="D1470">
        <v>190</v>
      </c>
      <c r="E1470" t="s">
        <v>10</v>
      </c>
      <c r="F1470">
        <v>3449904</v>
      </c>
      <c r="G1470" s="1">
        <v>13</v>
      </c>
      <c r="H1470" s="2">
        <v>17351</v>
      </c>
      <c r="I1470" t="str">
        <f>VLOOKUP(Tabela1[[#This Row],[CO_PAIS]],'[1]nome do paixs'!$A:$B,2,0)</f>
        <v>Coreia do Sul</v>
      </c>
      <c r="J1470" t="s">
        <v>12</v>
      </c>
    </row>
    <row r="1471" spans="1:10">
      <c r="A1471">
        <v>2023</v>
      </c>
      <c r="B1471">
        <v>7</v>
      </c>
      <c r="C1471">
        <v>8807</v>
      </c>
      <c r="D1471">
        <v>275</v>
      </c>
      <c r="E1471" t="s">
        <v>10</v>
      </c>
      <c r="F1471">
        <v>3449904</v>
      </c>
      <c r="G1471" s="1">
        <v>258</v>
      </c>
      <c r="H1471" s="2">
        <v>286741</v>
      </c>
      <c r="I1471" t="str">
        <f>VLOOKUP(Tabela1[[#This Row],[CO_PAIS]],'[1]nome do paixs'!$A:$B,2,0)</f>
        <v>França</v>
      </c>
      <c r="J1471" t="s">
        <v>12</v>
      </c>
    </row>
    <row r="1472" spans="1:10">
      <c r="A1472">
        <v>2023</v>
      </c>
      <c r="B1472">
        <v>7</v>
      </c>
      <c r="C1472">
        <v>8807</v>
      </c>
      <c r="D1472">
        <v>105</v>
      </c>
      <c r="E1472" t="s">
        <v>10</v>
      </c>
      <c r="F1472">
        <v>3454102</v>
      </c>
      <c r="G1472" s="1">
        <v>3812</v>
      </c>
      <c r="H1472" s="2">
        <v>3825251</v>
      </c>
      <c r="I1472" t="str">
        <f>VLOOKUP(Tabela1[[#This Row],[CO_PAIS]],'[1]nome do paixs'!$A:$B,2,0)</f>
        <v>Brasil</v>
      </c>
      <c r="J1472" t="s">
        <v>11</v>
      </c>
    </row>
    <row r="1473" spans="1:10">
      <c r="A1473">
        <v>2023</v>
      </c>
      <c r="B1473">
        <v>7</v>
      </c>
      <c r="C1473">
        <v>8807</v>
      </c>
      <c r="D1473">
        <v>399</v>
      </c>
      <c r="E1473" t="s">
        <v>10</v>
      </c>
      <c r="F1473">
        <v>3449904</v>
      </c>
      <c r="G1473" s="1">
        <v>507</v>
      </c>
      <c r="H1473" s="2">
        <v>494732</v>
      </c>
      <c r="I1473" t="str">
        <f>VLOOKUP(Tabela1[[#This Row],[CO_PAIS]],'[1]nome do paixs'!$A:$B,2,0)</f>
        <v>Japão</v>
      </c>
      <c r="J1473" t="s">
        <v>12</v>
      </c>
    </row>
    <row r="1474" spans="1:10">
      <c r="A1474">
        <v>2023</v>
      </c>
      <c r="B1474">
        <v>7</v>
      </c>
      <c r="C1474">
        <v>8807</v>
      </c>
      <c r="D1474">
        <v>249</v>
      </c>
      <c r="E1474" t="s">
        <v>10</v>
      </c>
      <c r="F1474">
        <v>3424402</v>
      </c>
      <c r="G1474" s="1">
        <v>1145</v>
      </c>
      <c r="H1474" s="2">
        <v>206139</v>
      </c>
      <c r="I1474" t="str">
        <f>VLOOKUP(Tabela1[[#This Row],[CO_PAIS]],'[1]nome do paixs'!$A:$B,2,0)</f>
        <v>Estados Unidos</v>
      </c>
      <c r="J1474" t="s">
        <v>13</v>
      </c>
    </row>
    <row r="1475" spans="1:10">
      <c r="A1475">
        <v>2023</v>
      </c>
      <c r="B1475">
        <v>7</v>
      </c>
      <c r="C1475">
        <v>8807</v>
      </c>
      <c r="D1475">
        <v>493</v>
      </c>
      <c r="E1475" t="s">
        <v>10</v>
      </c>
      <c r="F1475">
        <v>3449904</v>
      </c>
      <c r="G1475" s="1">
        <v>3156</v>
      </c>
      <c r="H1475" s="2">
        <v>1431899</v>
      </c>
      <c r="I1475" t="str">
        <f>VLOOKUP(Tabela1[[#This Row],[CO_PAIS]],'[1]nome do paixs'!$A:$B,2,0)</f>
        <v>México</v>
      </c>
      <c r="J1475" t="s">
        <v>12</v>
      </c>
    </row>
    <row r="1476" spans="1:10">
      <c r="A1476">
        <v>2023</v>
      </c>
      <c r="B1476">
        <v>7</v>
      </c>
      <c r="C1476">
        <v>8807</v>
      </c>
      <c r="D1476">
        <v>461</v>
      </c>
      <c r="E1476" t="s">
        <v>10</v>
      </c>
      <c r="F1476">
        <v>3449904</v>
      </c>
      <c r="G1476" s="1">
        <v>0</v>
      </c>
      <c r="H1476" s="2">
        <v>15764</v>
      </c>
      <c r="I1476" t="str">
        <f>VLOOKUP(Tabela1[[#This Row],[CO_PAIS]],'[1]nome do paixs'!$A:$B,2,0)</f>
        <v>Maldivas</v>
      </c>
      <c r="J1476" t="s">
        <v>12</v>
      </c>
    </row>
    <row r="1477" spans="1:10">
      <c r="A1477">
        <v>2023</v>
      </c>
      <c r="B1477">
        <v>7</v>
      </c>
      <c r="C1477">
        <v>8807</v>
      </c>
      <c r="D1477">
        <v>455</v>
      </c>
      <c r="E1477" t="s">
        <v>10</v>
      </c>
      <c r="F1477">
        <v>3454102</v>
      </c>
      <c r="G1477" s="1">
        <v>3126</v>
      </c>
      <c r="H1477" s="2">
        <v>375093</v>
      </c>
      <c r="I1477" t="str">
        <f>VLOOKUP(Tabela1[[#This Row],[CO_PAIS]],'[1]nome do paixs'!$A:$B,2,0)</f>
        <v>Malásia</v>
      </c>
      <c r="J1477" t="s">
        <v>11</v>
      </c>
    </row>
    <row r="1478" spans="1:10">
      <c r="A1478">
        <v>2023</v>
      </c>
      <c r="B1478">
        <v>7</v>
      </c>
      <c r="C1478">
        <v>8807</v>
      </c>
      <c r="D1478">
        <v>791</v>
      </c>
      <c r="E1478" t="s">
        <v>10</v>
      </c>
      <c r="F1478">
        <v>3449904</v>
      </c>
      <c r="G1478" s="1">
        <v>0</v>
      </c>
      <c r="H1478" s="2">
        <v>2</v>
      </c>
      <c r="I1478" t="str">
        <f>VLOOKUP(Tabela1[[#This Row],[CO_PAIS]],'[1]nome do paixs'!$A:$B,2,0)</f>
        <v>Tcheca, República</v>
      </c>
      <c r="J1478" t="s">
        <v>12</v>
      </c>
    </row>
    <row r="1479" spans="1:10">
      <c r="A1479">
        <v>2023</v>
      </c>
      <c r="B1479">
        <v>7</v>
      </c>
      <c r="C1479">
        <v>8807</v>
      </c>
      <c r="D1479">
        <v>190</v>
      </c>
      <c r="E1479" t="s">
        <v>10</v>
      </c>
      <c r="F1479">
        <v>3454102</v>
      </c>
      <c r="G1479" s="1">
        <v>4566</v>
      </c>
      <c r="H1479" s="2">
        <v>4436108</v>
      </c>
      <c r="I1479" t="str">
        <f>VLOOKUP(Tabela1[[#This Row],[CO_PAIS]],'[1]nome do paixs'!$A:$B,2,0)</f>
        <v>Coreia do Sul</v>
      </c>
      <c r="J1479" t="s">
        <v>11</v>
      </c>
    </row>
    <row r="1480" spans="1:10">
      <c r="A1480">
        <v>2023</v>
      </c>
      <c r="B1480">
        <v>7</v>
      </c>
      <c r="C1480">
        <v>8807</v>
      </c>
      <c r="D1480">
        <v>628</v>
      </c>
      <c r="E1480" t="s">
        <v>10</v>
      </c>
      <c r="F1480">
        <v>3454102</v>
      </c>
      <c r="G1480" s="1">
        <v>132</v>
      </c>
      <c r="H1480" s="2">
        <v>218712</v>
      </c>
      <c r="I1480" t="str">
        <f>VLOOKUP(Tabela1[[#This Row],[CO_PAIS]],'[1]nome do paixs'!$A:$B,2,0)</f>
        <v>Reino Unido</v>
      </c>
      <c r="J1480" t="s">
        <v>11</v>
      </c>
    </row>
    <row r="1481" spans="1:10">
      <c r="A1481">
        <v>2023</v>
      </c>
      <c r="B1481">
        <v>7</v>
      </c>
      <c r="C1481">
        <v>8807</v>
      </c>
      <c r="D1481">
        <v>474</v>
      </c>
      <c r="E1481" t="s">
        <v>10</v>
      </c>
      <c r="F1481">
        <v>3454102</v>
      </c>
      <c r="G1481" s="1">
        <v>92</v>
      </c>
      <c r="H1481" s="2">
        <v>228701</v>
      </c>
      <c r="I1481" t="str">
        <f>VLOOKUP(Tabela1[[#This Row],[CO_PAIS]],'[1]nome do paixs'!$A:$B,2,0)</f>
        <v>Marrocos</v>
      </c>
      <c r="J1481" t="s">
        <v>11</v>
      </c>
    </row>
    <row r="1482" spans="1:10">
      <c r="A1482">
        <v>2023</v>
      </c>
      <c r="B1482">
        <v>7</v>
      </c>
      <c r="C1482">
        <v>8807</v>
      </c>
      <c r="D1482">
        <v>399</v>
      </c>
      <c r="E1482" t="s">
        <v>10</v>
      </c>
      <c r="F1482">
        <v>3454102</v>
      </c>
      <c r="G1482" s="1">
        <v>813</v>
      </c>
      <c r="H1482" s="2">
        <v>808209</v>
      </c>
      <c r="I1482" t="str">
        <f>VLOOKUP(Tabela1[[#This Row],[CO_PAIS]],'[1]nome do paixs'!$A:$B,2,0)</f>
        <v>Japão</v>
      </c>
      <c r="J1482" t="s">
        <v>11</v>
      </c>
    </row>
    <row r="1483" spans="1:10">
      <c r="A1483">
        <v>2023</v>
      </c>
      <c r="B1483">
        <v>7</v>
      </c>
      <c r="C1483">
        <v>8807</v>
      </c>
      <c r="D1483">
        <v>607</v>
      </c>
      <c r="E1483" t="s">
        <v>10</v>
      </c>
      <c r="F1483">
        <v>3454102</v>
      </c>
      <c r="G1483" s="1">
        <v>14941</v>
      </c>
      <c r="H1483" s="2">
        <v>5240192</v>
      </c>
      <c r="I1483" t="str">
        <f>VLOOKUP(Tabela1[[#This Row],[CO_PAIS]],'[1]nome do paixs'!$A:$B,2,0)</f>
        <v>Portugal</v>
      </c>
      <c r="J1483" t="s">
        <v>11</v>
      </c>
    </row>
    <row r="1484" spans="1:10">
      <c r="A1484">
        <v>2023</v>
      </c>
      <c r="B1484">
        <v>7</v>
      </c>
      <c r="C1484">
        <v>8807</v>
      </c>
      <c r="D1484">
        <v>245</v>
      </c>
      <c r="E1484" t="s">
        <v>10</v>
      </c>
      <c r="F1484">
        <v>3454102</v>
      </c>
      <c r="G1484" s="1">
        <v>1072</v>
      </c>
      <c r="H1484" s="2">
        <v>882663</v>
      </c>
      <c r="I1484" t="str">
        <f>VLOOKUP(Tabela1[[#This Row],[CO_PAIS]],'[1]nome do paixs'!$A:$B,2,0)</f>
        <v>Espanha</v>
      </c>
      <c r="J1484" t="s">
        <v>11</v>
      </c>
    </row>
    <row r="1485" spans="1:10">
      <c r="A1485">
        <v>2023</v>
      </c>
      <c r="B1485">
        <v>7</v>
      </c>
      <c r="C1485">
        <v>8807</v>
      </c>
      <c r="D1485">
        <v>149</v>
      </c>
      <c r="E1485" t="s">
        <v>10</v>
      </c>
      <c r="F1485">
        <v>3454102</v>
      </c>
      <c r="G1485" s="1">
        <v>39</v>
      </c>
      <c r="H1485" s="2">
        <v>32558</v>
      </c>
      <c r="I1485" t="str">
        <f>VLOOKUP(Tabela1[[#This Row],[CO_PAIS]],'[1]nome do paixs'!$A:$B,2,0)</f>
        <v>Canadá</v>
      </c>
      <c r="J1485" t="s">
        <v>11</v>
      </c>
    </row>
    <row r="1486" spans="1:10">
      <c r="A1486">
        <v>2023</v>
      </c>
      <c r="B1486">
        <v>7</v>
      </c>
      <c r="C1486">
        <v>8807</v>
      </c>
      <c r="D1486">
        <v>87</v>
      </c>
      <c r="E1486" t="s">
        <v>10</v>
      </c>
      <c r="F1486">
        <v>3454102</v>
      </c>
      <c r="G1486" s="1">
        <v>795</v>
      </c>
      <c r="H1486" s="2">
        <v>847892</v>
      </c>
      <c r="I1486" t="str">
        <f>VLOOKUP(Tabela1[[#This Row],[CO_PAIS]],'[1]nome do paixs'!$A:$B,2,0)</f>
        <v>Bélgica</v>
      </c>
      <c r="J1486" t="s">
        <v>11</v>
      </c>
    </row>
    <row r="1487" spans="1:10">
      <c r="A1487">
        <v>2023</v>
      </c>
      <c r="B1487">
        <v>7</v>
      </c>
      <c r="C1487">
        <v>8807</v>
      </c>
      <c r="D1487">
        <v>827</v>
      </c>
      <c r="E1487" t="s">
        <v>10</v>
      </c>
      <c r="F1487">
        <v>3449904</v>
      </c>
      <c r="G1487" s="1">
        <v>0</v>
      </c>
      <c r="H1487" s="2">
        <v>19</v>
      </c>
      <c r="I1487" t="str">
        <f>VLOOKUP(Tabela1[[#This Row],[CO_PAIS]],'[1]nome do paixs'!$A:$B,2,0)</f>
        <v>Turquia</v>
      </c>
      <c r="J1487" t="s">
        <v>12</v>
      </c>
    </row>
    <row r="1488" spans="1:10">
      <c r="A1488">
        <v>2023</v>
      </c>
      <c r="B1488">
        <v>7</v>
      </c>
      <c r="C1488">
        <v>8807</v>
      </c>
      <c r="D1488">
        <v>386</v>
      </c>
      <c r="E1488" t="s">
        <v>10</v>
      </c>
      <c r="F1488">
        <v>3454102</v>
      </c>
      <c r="G1488" s="1">
        <v>192</v>
      </c>
      <c r="H1488" s="2">
        <v>496562</v>
      </c>
      <c r="I1488" t="str">
        <f>VLOOKUP(Tabela1[[#This Row],[CO_PAIS]],'[1]nome do paixs'!$A:$B,2,0)</f>
        <v>Itália</v>
      </c>
      <c r="J1488" t="s">
        <v>11</v>
      </c>
    </row>
    <row r="1489" spans="1:10">
      <c r="A1489">
        <v>2023</v>
      </c>
      <c r="B1489">
        <v>7</v>
      </c>
      <c r="C1489">
        <v>8807</v>
      </c>
      <c r="D1489">
        <v>190</v>
      </c>
      <c r="E1489" t="s">
        <v>10</v>
      </c>
      <c r="F1489">
        <v>3424402</v>
      </c>
      <c r="G1489" s="1">
        <v>16</v>
      </c>
      <c r="H1489" s="2">
        <v>4950</v>
      </c>
      <c r="I1489" t="str">
        <f>VLOOKUP(Tabela1[[#This Row],[CO_PAIS]],'[1]nome do paixs'!$A:$B,2,0)</f>
        <v>Coreia do Sul</v>
      </c>
      <c r="J1489" t="s">
        <v>13</v>
      </c>
    </row>
    <row r="1490" spans="1:10">
      <c r="A1490">
        <v>2023</v>
      </c>
      <c r="B1490">
        <v>7</v>
      </c>
      <c r="C1490">
        <v>8807</v>
      </c>
      <c r="D1490">
        <v>607</v>
      </c>
      <c r="E1490" t="s">
        <v>10</v>
      </c>
      <c r="F1490">
        <v>3449904</v>
      </c>
      <c r="G1490" s="1">
        <v>2</v>
      </c>
      <c r="H1490" s="2">
        <v>3683</v>
      </c>
      <c r="I1490" t="str">
        <f>VLOOKUP(Tabela1[[#This Row],[CO_PAIS]],'[1]nome do paixs'!$A:$B,2,0)</f>
        <v>Portugal</v>
      </c>
      <c r="J1490" t="s">
        <v>12</v>
      </c>
    </row>
    <row r="1491" spans="1:10">
      <c r="A1491">
        <v>2023</v>
      </c>
      <c r="B1491">
        <v>7</v>
      </c>
      <c r="C1491">
        <v>8807</v>
      </c>
      <c r="D1491">
        <v>791</v>
      </c>
      <c r="E1491" t="s">
        <v>10</v>
      </c>
      <c r="F1491">
        <v>3454102</v>
      </c>
      <c r="G1491" s="1">
        <v>1</v>
      </c>
      <c r="H1491" s="2">
        <v>3609</v>
      </c>
      <c r="I1491" t="str">
        <f>VLOOKUP(Tabela1[[#This Row],[CO_PAIS]],'[1]nome do paixs'!$A:$B,2,0)</f>
        <v>Tcheca, República</v>
      </c>
      <c r="J1491" t="s">
        <v>11</v>
      </c>
    </row>
    <row r="1492" spans="1:10">
      <c r="A1492">
        <v>2023</v>
      </c>
      <c r="B1492">
        <v>7</v>
      </c>
      <c r="C1492">
        <v>8807</v>
      </c>
      <c r="D1492">
        <v>275</v>
      </c>
      <c r="E1492" t="s">
        <v>10</v>
      </c>
      <c r="F1492">
        <v>3424402</v>
      </c>
      <c r="G1492" s="1">
        <v>324</v>
      </c>
      <c r="H1492" s="2">
        <v>312544</v>
      </c>
      <c r="I1492" t="str">
        <f>VLOOKUP(Tabela1[[#This Row],[CO_PAIS]],'[1]nome do paixs'!$A:$B,2,0)</f>
        <v>França</v>
      </c>
      <c r="J1492" t="s">
        <v>13</v>
      </c>
    </row>
    <row r="1493" spans="1:10">
      <c r="A1493">
        <v>2023</v>
      </c>
      <c r="B1493">
        <v>7</v>
      </c>
      <c r="C1493">
        <v>8807</v>
      </c>
      <c r="D1493">
        <v>275</v>
      </c>
      <c r="E1493" t="s">
        <v>10</v>
      </c>
      <c r="F1493">
        <v>3454102</v>
      </c>
      <c r="G1493" s="1">
        <v>1840</v>
      </c>
      <c r="H1493" s="2">
        <v>2073161</v>
      </c>
      <c r="I1493" t="str">
        <f>VLOOKUP(Tabela1[[#This Row],[CO_PAIS]],'[1]nome do paixs'!$A:$B,2,0)</f>
        <v>França</v>
      </c>
      <c r="J1493" t="s">
        <v>11</v>
      </c>
    </row>
    <row r="1494" spans="1:10">
      <c r="A1494">
        <v>2023</v>
      </c>
      <c r="B1494">
        <v>7</v>
      </c>
      <c r="C1494">
        <v>8807</v>
      </c>
      <c r="D1494">
        <v>245</v>
      </c>
      <c r="E1494" t="s">
        <v>10</v>
      </c>
      <c r="F1494">
        <v>3424402</v>
      </c>
      <c r="G1494" s="1">
        <v>83</v>
      </c>
      <c r="H1494" s="2">
        <v>21017</v>
      </c>
      <c r="I1494" t="str">
        <f>VLOOKUP(Tabela1[[#This Row],[CO_PAIS]],'[1]nome do paixs'!$A:$B,2,0)</f>
        <v>Espanha</v>
      </c>
      <c r="J1494" t="s">
        <v>13</v>
      </c>
    </row>
    <row r="1495" spans="1:10">
      <c r="A1495">
        <v>2023</v>
      </c>
      <c r="B1495">
        <v>7</v>
      </c>
      <c r="C1495">
        <v>8807</v>
      </c>
      <c r="D1495">
        <v>474</v>
      </c>
      <c r="E1495" t="s">
        <v>10</v>
      </c>
      <c r="F1495">
        <v>3449904</v>
      </c>
      <c r="G1495" s="1">
        <v>19</v>
      </c>
      <c r="H1495" s="2">
        <v>64514</v>
      </c>
      <c r="I1495" t="str">
        <f>VLOOKUP(Tabela1[[#This Row],[CO_PAIS]],'[1]nome do paixs'!$A:$B,2,0)</f>
        <v>Marrocos</v>
      </c>
      <c r="J1495" t="s">
        <v>12</v>
      </c>
    </row>
    <row r="1496" spans="1:10">
      <c r="A1496">
        <v>2023</v>
      </c>
      <c r="B1496">
        <v>7</v>
      </c>
      <c r="C1496">
        <v>8807</v>
      </c>
      <c r="D1496">
        <v>820</v>
      </c>
      <c r="E1496" t="s">
        <v>10</v>
      </c>
      <c r="F1496">
        <v>3449904</v>
      </c>
      <c r="G1496" s="1">
        <v>2</v>
      </c>
      <c r="H1496" s="2">
        <v>2905</v>
      </c>
      <c r="I1496" t="str">
        <f>VLOOKUP(Tabela1[[#This Row],[CO_PAIS]],'[1]nome do paixs'!$A:$B,2,0)</f>
        <v>Tunísia</v>
      </c>
      <c r="J1496" t="s">
        <v>12</v>
      </c>
    </row>
    <row r="1497" spans="1:10">
      <c r="A1497">
        <v>2023</v>
      </c>
      <c r="B1497">
        <v>7</v>
      </c>
      <c r="C1497">
        <v>8807</v>
      </c>
      <c r="D1497">
        <v>493</v>
      </c>
      <c r="E1497" t="s">
        <v>10</v>
      </c>
      <c r="F1497">
        <v>3454102</v>
      </c>
      <c r="G1497" s="1">
        <v>10337</v>
      </c>
      <c r="H1497" s="2">
        <v>4167576</v>
      </c>
      <c r="I1497" t="str">
        <f>VLOOKUP(Tabela1[[#This Row],[CO_PAIS]],'[1]nome do paixs'!$A:$B,2,0)</f>
        <v>México</v>
      </c>
      <c r="J1497" t="s">
        <v>11</v>
      </c>
    </row>
    <row r="1498" spans="1:10">
      <c r="A1498">
        <v>2023</v>
      </c>
      <c r="B1498">
        <v>7</v>
      </c>
      <c r="C1498">
        <v>8807</v>
      </c>
      <c r="D1498">
        <v>169</v>
      </c>
      <c r="E1498" t="s">
        <v>10</v>
      </c>
      <c r="F1498">
        <v>3449904</v>
      </c>
      <c r="G1498" s="1">
        <v>19</v>
      </c>
      <c r="H1498" s="2">
        <v>39914</v>
      </c>
      <c r="I1498" t="str">
        <f>VLOOKUP(Tabela1[[#This Row],[CO_PAIS]],'[1]nome do paixs'!$A:$B,2,0)</f>
        <v>Colômbia</v>
      </c>
      <c r="J1498" t="s">
        <v>12</v>
      </c>
    </row>
    <row r="1499" spans="1:10">
      <c r="A1499">
        <v>2023</v>
      </c>
      <c r="B1499">
        <v>7</v>
      </c>
      <c r="C1499">
        <v>8807</v>
      </c>
      <c r="D1499">
        <v>375</v>
      </c>
      <c r="E1499" t="s">
        <v>10</v>
      </c>
      <c r="F1499">
        <v>3454102</v>
      </c>
      <c r="G1499" s="1">
        <v>36</v>
      </c>
      <c r="H1499" s="2">
        <v>22920</v>
      </c>
      <c r="I1499" t="str">
        <f>VLOOKUP(Tabela1[[#This Row],[CO_PAIS]],'[1]nome do paixs'!$A:$B,2,0)</f>
        <v>Irlanda</v>
      </c>
      <c r="J1499" t="s">
        <v>11</v>
      </c>
    </row>
    <row r="1500" spans="1:10">
      <c r="A1500">
        <v>2023</v>
      </c>
      <c r="B1500">
        <v>7</v>
      </c>
      <c r="C1500">
        <v>8807</v>
      </c>
      <c r="D1500">
        <v>105</v>
      </c>
      <c r="E1500" t="s">
        <v>10</v>
      </c>
      <c r="F1500">
        <v>3449904</v>
      </c>
      <c r="G1500" s="1">
        <v>5495</v>
      </c>
      <c r="H1500" s="2">
        <v>3062670</v>
      </c>
      <c r="I1500" t="str">
        <f>VLOOKUP(Tabela1[[#This Row],[CO_PAIS]],'[1]nome do paixs'!$A:$B,2,0)</f>
        <v>Brasil</v>
      </c>
      <c r="J1500" t="s">
        <v>12</v>
      </c>
    </row>
    <row r="1501" spans="1:10">
      <c r="A1501">
        <v>2023</v>
      </c>
      <c r="B1501">
        <v>7</v>
      </c>
      <c r="C1501">
        <v>8807</v>
      </c>
      <c r="D1501">
        <v>791</v>
      </c>
      <c r="E1501" t="s">
        <v>10</v>
      </c>
      <c r="F1501">
        <v>3424402</v>
      </c>
      <c r="G1501" s="1">
        <v>186</v>
      </c>
      <c r="H1501" s="2">
        <v>165696</v>
      </c>
      <c r="I1501" t="str">
        <f>VLOOKUP(Tabela1[[#This Row],[CO_PAIS]],'[1]nome do paixs'!$A:$B,2,0)</f>
        <v>Tcheca, República</v>
      </c>
      <c r="J1501" t="s">
        <v>13</v>
      </c>
    </row>
    <row r="1502" spans="1:10">
      <c r="A1502">
        <v>2023</v>
      </c>
      <c r="B1502">
        <v>7</v>
      </c>
      <c r="C1502">
        <v>8807</v>
      </c>
      <c r="D1502">
        <v>245</v>
      </c>
      <c r="E1502" t="s">
        <v>10</v>
      </c>
      <c r="F1502">
        <v>3449904</v>
      </c>
      <c r="G1502" s="1">
        <v>1495</v>
      </c>
      <c r="H1502" s="2">
        <v>525756</v>
      </c>
      <c r="I1502" t="str">
        <f>VLOOKUP(Tabela1[[#This Row],[CO_PAIS]],'[1]nome do paixs'!$A:$B,2,0)</f>
        <v>Espanha</v>
      </c>
      <c r="J1502" t="s">
        <v>12</v>
      </c>
    </row>
    <row r="1503" spans="1:10">
      <c r="A1503">
        <v>2023</v>
      </c>
      <c r="B1503">
        <v>7</v>
      </c>
      <c r="C1503">
        <v>8807</v>
      </c>
      <c r="D1503">
        <v>361</v>
      </c>
      <c r="E1503" t="s">
        <v>10</v>
      </c>
      <c r="F1503">
        <v>3449904</v>
      </c>
      <c r="G1503" s="1">
        <v>1041</v>
      </c>
      <c r="H1503" s="2">
        <v>461862</v>
      </c>
      <c r="I1503" t="str">
        <f>VLOOKUP(Tabela1[[#This Row],[CO_PAIS]],'[1]nome do paixs'!$A:$B,2,0)</f>
        <v>Índia</v>
      </c>
      <c r="J1503" t="s">
        <v>12</v>
      </c>
    </row>
    <row r="1504" spans="1:10">
      <c r="A1504">
        <v>2023</v>
      </c>
      <c r="B1504">
        <v>7</v>
      </c>
      <c r="C1504">
        <v>8807</v>
      </c>
      <c r="D1504">
        <v>72</v>
      </c>
      <c r="E1504" t="s">
        <v>10</v>
      </c>
      <c r="F1504">
        <v>3454102</v>
      </c>
      <c r="G1504" s="1">
        <v>635</v>
      </c>
      <c r="H1504" s="2">
        <v>829018</v>
      </c>
      <c r="I1504" t="str">
        <f>VLOOKUP(Tabela1[[#This Row],[CO_PAIS]],'[1]nome do paixs'!$A:$B,2,0)</f>
        <v>Áustria</v>
      </c>
      <c r="J1504" t="s">
        <v>11</v>
      </c>
    </row>
    <row r="1505" spans="1:10">
      <c r="A1505">
        <v>2023</v>
      </c>
      <c r="B1505">
        <v>7</v>
      </c>
      <c r="C1505">
        <v>8807</v>
      </c>
      <c r="D1505">
        <v>72</v>
      </c>
      <c r="E1505" t="s">
        <v>10</v>
      </c>
      <c r="F1505">
        <v>3449904</v>
      </c>
      <c r="G1505" s="1">
        <v>2</v>
      </c>
      <c r="H1505" s="2">
        <v>2685</v>
      </c>
      <c r="I1505" t="str">
        <f>VLOOKUP(Tabela1[[#This Row],[CO_PAIS]],'[1]nome do paixs'!$A:$B,2,0)</f>
        <v>Áustria</v>
      </c>
      <c r="J1505" t="s">
        <v>12</v>
      </c>
    </row>
    <row r="1506" spans="1:10">
      <c r="A1506">
        <v>2023</v>
      </c>
      <c r="B1506">
        <v>7</v>
      </c>
      <c r="C1506">
        <v>8807</v>
      </c>
      <c r="D1506">
        <v>87</v>
      </c>
      <c r="E1506" t="s">
        <v>10</v>
      </c>
      <c r="F1506">
        <v>3424402</v>
      </c>
      <c r="G1506" s="1">
        <v>1</v>
      </c>
      <c r="H1506" s="2">
        <v>1650</v>
      </c>
      <c r="I1506" t="str">
        <f>VLOOKUP(Tabela1[[#This Row],[CO_PAIS]],'[1]nome do paixs'!$A:$B,2,0)</f>
        <v>Bélgica</v>
      </c>
      <c r="J1506" t="s">
        <v>13</v>
      </c>
    </row>
    <row r="1507" spans="1:10">
      <c r="A1507">
        <v>2023</v>
      </c>
      <c r="B1507">
        <v>7</v>
      </c>
      <c r="C1507">
        <v>8807</v>
      </c>
      <c r="D1507">
        <v>249</v>
      </c>
      <c r="E1507" t="s">
        <v>10</v>
      </c>
      <c r="F1507">
        <v>3449904</v>
      </c>
      <c r="G1507" s="1">
        <v>4173</v>
      </c>
      <c r="H1507" s="2">
        <v>4574947</v>
      </c>
      <c r="I1507" t="str">
        <f>VLOOKUP(Tabela1[[#This Row],[CO_PAIS]],'[1]nome do paixs'!$A:$B,2,0)</f>
        <v>Estados Unidos</v>
      </c>
      <c r="J1507" t="s">
        <v>12</v>
      </c>
    </row>
    <row r="1508" spans="1:10">
      <c r="A1508">
        <v>2023</v>
      </c>
      <c r="B1508">
        <v>7</v>
      </c>
      <c r="C1508">
        <v>8807</v>
      </c>
      <c r="D1508">
        <v>741</v>
      </c>
      <c r="E1508" t="s">
        <v>10</v>
      </c>
      <c r="F1508">
        <v>3449904</v>
      </c>
      <c r="G1508" s="1">
        <v>52</v>
      </c>
      <c r="H1508" s="2">
        <v>62798</v>
      </c>
      <c r="I1508" t="str">
        <f>VLOOKUP(Tabela1[[#This Row],[CO_PAIS]],'[1]nome do paixs'!$A:$B,2,0)</f>
        <v>Singapura</v>
      </c>
      <c r="J1508" t="s">
        <v>12</v>
      </c>
    </row>
    <row r="1509" spans="1:10">
      <c r="A1509">
        <v>2023</v>
      </c>
      <c r="B1509">
        <v>7</v>
      </c>
      <c r="C1509">
        <v>8807</v>
      </c>
      <c r="D1509">
        <v>23</v>
      </c>
      <c r="E1509" t="s">
        <v>10</v>
      </c>
      <c r="F1509">
        <v>3449904</v>
      </c>
      <c r="G1509" s="1">
        <v>223</v>
      </c>
      <c r="H1509" s="2">
        <v>166902</v>
      </c>
      <c r="I1509" t="str">
        <f>VLOOKUP(Tabela1[[#This Row],[CO_PAIS]],'[1]nome do paixs'!$A:$B,2,0)</f>
        <v>Alemanha</v>
      </c>
      <c r="J1509" t="s">
        <v>12</v>
      </c>
    </row>
    <row r="1510" spans="1:10">
      <c r="A1510">
        <v>2023</v>
      </c>
      <c r="B1510">
        <v>7</v>
      </c>
      <c r="C1510">
        <v>8807</v>
      </c>
      <c r="D1510">
        <v>149</v>
      </c>
      <c r="E1510" t="s">
        <v>10</v>
      </c>
      <c r="F1510">
        <v>3449904</v>
      </c>
      <c r="G1510" s="1">
        <v>37</v>
      </c>
      <c r="H1510" s="2">
        <v>56195</v>
      </c>
      <c r="I1510" t="str">
        <f>VLOOKUP(Tabela1[[#This Row],[CO_PAIS]],'[1]nome do paixs'!$A:$B,2,0)</f>
        <v>Canadá</v>
      </c>
      <c r="J1510" t="s">
        <v>12</v>
      </c>
    </row>
    <row r="1511" spans="1:10">
      <c r="A1511">
        <v>2022</v>
      </c>
      <c r="B1511">
        <v>7</v>
      </c>
      <c r="C1511">
        <v>8807</v>
      </c>
      <c r="D1511">
        <v>105</v>
      </c>
      <c r="E1511" t="s">
        <v>10</v>
      </c>
      <c r="F1511">
        <v>3454102</v>
      </c>
      <c r="G1511" s="1">
        <v>7239</v>
      </c>
      <c r="H1511" s="2">
        <v>6210584</v>
      </c>
      <c r="I1511" t="str">
        <f>VLOOKUP(Tabela1[[#This Row],[CO_PAIS]],'[1]nome do paixs'!$A:$B,2,0)</f>
        <v>Brasil</v>
      </c>
      <c r="J1511" t="s">
        <v>11</v>
      </c>
    </row>
    <row r="1512" spans="1:10">
      <c r="A1512">
        <v>2022</v>
      </c>
      <c r="B1512">
        <v>7</v>
      </c>
      <c r="C1512">
        <v>8807</v>
      </c>
      <c r="D1512">
        <v>776</v>
      </c>
      <c r="E1512" t="s">
        <v>10</v>
      </c>
      <c r="F1512">
        <v>3449904</v>
      </c>
      <c r="G1512" s="1">
        <v>35</v>
      </c>
      <c r="H1512" s="2">
        <v>3009</v>
      </c>
      <c r="I1512" t="str">
        <f>VLOOKUP(Tabela1[[#This Row],[CO_PAIS]],'[1]nome do paixs'!$A:$B,2,0)</f>
        <v>Tailândia</v>
      </c>
      <c r="J1512" t="s">
        <v>12</v>
      </c>
    </row>
    <row r="1513" spans="1:10">
      <c r="A1513">
        <v>2022</v>
      </c>
      <c r="B1513">
        <v>7</v>
      </c>
      <c r="C1513">
        <v>8807</v>
      </c>
      <c r="D1513">
        <v>245</v>
      </c>
      <c r="E1513" t="s">
        <v>10</v>
      </c>
      <c r="F1513">
        <v>3424402</v>
      </c>
      <c r="G1513" s="1">
        <v>360</v>
      </c>
      <c r="H1513" s="2">
        <v>134008</v>
      </c>
      <c r="I1513" t="str">
        <f>VLOOKUP(Tabela1[[#This Row],[CO_PAIS]],'[1]nome do paixs'!$A:$B,2,0)</f>
        <v>Espanha</v>
      </c>
      <c r="J1513" t="s">
        <v>13</v>
      </c>
    </row>
    <row r="1514" spans="1:10">
      <c r="A1514">
        <v>2022</v>
      </c>
      <c r="B1514">
        <v>7</v>
      </c>
      <c r="C1514">
        <v>8807</v>
      </c>
      <c r="D1514">
        <v>493</v>
      </c>
      <c r="E1514" t="s">
        <v>10</v>
      </c>
      <c r="F1514">
        <v>3449904</v>
      </c>
      <c r="G1514" s="1">
        <v>1491</v>
      </c>
      <c r="H1514" s="2">
        <v>1183456</v>
      </c>
      <c r="I1514" t="str">
        <f>VLOOKUP(Tabela1[[#This Row],[CO_PAIS]],'[1]nome do paixs'!$A:$B,2,0)</f>
        <v>México</v>
      </c>
      <c r="J1514" t="s">
        <v>12</v>
      </c>
    </row>
    <row r="1515" spans="1:10">
      <c r="A1515">
        <v>2022</v>
      </c>
      <c r="B1515">
        <v>7</v>
      </c>
      <c r="C1515">
        <v>8807</v>
      </c>
      <c r="D1515">
        <v>158</v>
      </c>
      <c r="E1515" t="s">
        <v>10</v>
      </c>
      <c r="F1515">
        <v>3449904</v>
      </c>
      <c r="G1515" s="1">
        <v>91</v>
      </c>
      <c r="H1515" s="2">
        <v>179197</v>
      </c>
      <c r="I1515" t="str">
        <f>VLOOKUP(Tabela1[[#This Row],[CO_PAIS]],'[1]nome do paixs'!$A:$B,2,0)</f>
        <v>Chile</v>
      </c>
      <c r="J1515" t="s">
        <v>12</v>
      </c>
    </row>
    <row r="1516" spans="1:10">
      <c r="A1516">
        <v>2022</v>
      </c>
      <c r="B1516">
        <v>7</v>
      </c>
      <c r="C1516">
        <v>8807</v>
      </c>
      <c r="D1516">
        <v>249</v>
      </c>
      <c r="E1516" t="s">
        <v>10</v>
      </c>
      <c r="F1516">
        <v>3454102</v>
      </c>
      <c r="G1516" s="1">
        <v>20864</v>
      </c>
      <c r="H1516" s="2">
        <v>7377867</v>
      </c>
      <c r="I1516" t="str">
        <f>VLOOKUP(Tabela1[[#This Row],[CO_PAIS]],'[1]nome do paixs'!$A:$B,2,0)</f>
        <v>Estados Unidos</v>
      </c>
      <c r="J1516" t="s">
        <v>11</v>
      </c>
    </row>
    <row r="1517" spans="1:10">
      <c r="A1517">
        <v>2022</v>
      </c>
      <c r="B1517">
        <v>7</v>
      </c>
      <c r="C1517">
        <v>8807</v>
      </c>
      <c r="D1517">
        <v>827</v>
      </c>
      <c r="E1517" t="s">
        <v>10</v>
      </c>
      <c r="F1517">
        <v>3449904</v>
      </c>
      <c r="G1517" s="1">
        <v>1</v>
      </c>
      <c r="H1517" s="2">
        <v>2404</v>
      </c>
      <c r="I1517" t="str">
        <f>VLOOKUP(Tabela1[[#This Row],[CO_PAIS]],'[1]nome do paixs'!$A:$B,2,0)</f>
        <v>Turquia</v>
      </c>
      <c r="J1517" t="s">
        <v>12</v>
      </c>
    </row>
    <row r="1518" spans="1:10">
      <c r="A1518">
        <v>2022</v>
      </c>
      <c r="B1518">
        <v>7</v>
      </c>
      <c r="C1518">
        <v>8807</v>
      </c>
      <c r="D1518">
        <v>791</v>
      </c>
      <c r="E1518" t="s">
        <v>10</v>
      </c>
      <c r="F1518">
        <v>3424402</v>
      </c>
      <c r="G1518" s="1">
        <v>222</v>
      </c>
      <c r="H1518" s="2">
        <v>158898</v>
      </c>
      <c r="I1518" t="str">
        <f>VLOOKUP(Tabela1[[#This Row],[CO_PAIS]],'[1]nome do paixs'!$A:$B,2,0)</f>
        <v>Tcheca, República</v>
      </c>
      <c r="J1518" t="s">
        <v>13</v>
      </c>
    </row>
    <row r="1519" spans="1:10">
      <c r="A1519">
        <v>2022</v>
      </c>
      <c r="B1519">
        <v>7</v>
      </c>
      <c r="C1519">
        <v>8807</v>
      </c>
      <c r="D1519">
        <v>245</v>
      </c>
      <c r="E1519" t="s">
        <v>10</v>
      </c>
      <c r="F1519">
        <v>3449904</v>
      </c>
      <c r="G1519" s="1">
        <v>7315</v>
      </c>
      <c r="H1519" s="2">
        <v>1978880</v>
      </c>
      <c r="I1519" t="str">
        <f>VLOOKUP(Tabela1[[#This Row],[CO_PAIS]],'[1]nome do paixs'!$A:$B,2,0)</f>
        <v>Espanha</v>
      </c>
      <c r="J1519" t="s">
        <v>12</v>
      </c>
    </row>
    <row r="1520" spans="1:10">
      <c r="A1520">
        <v>2022</v>
      </c>
      <c r="B1520">
        <v>7</v>
      </c>
      <c r="C1520">
        <v>8807</v>
      </c>
      <c r="D1520">
        <v>149</v>
      </c>
      <c r="E1520" t="s">
        <v>10</v>
      </c>
      <c r="F1520">
        <v>3454102</v>
      </c>
      <c r="G1520" s="1">
        <v>752</v>
      </c>
      <c r="H1520" s="2">
        <v>680938</v>
      </c>
      <c r="I1520" t="str">
        <f>VLOOKUP(Tabela1[[#This Row],[CO_PAIS]],'[1]nome do paixs'!$A:$B,2,0)</f>
        <v>Canadá</v>
      </c>
      <c r="J1520" t="s">
        <v>11</v>
      </c>
    </row>
    <row r="1521" spans="1:10">
      <c r="A1521">
        <v>2022</v>
      </c>
      <c r="B1521">
        <v>7</v>
      </c>
      <c r="C1521">
        <v>8807</v>
      </c>
      <c r="D1521">
        <v>149</v>
      </c>
      <c r="E1521" t="s">
        <v>10</v>
      </c>
      <c r="F1521">
        <v>3449904</v>
      </c>
      <c r="G1521" s="1">
        <v>2</v>
      </c>
      <c r="H1521" s="2">
        <v>2875</v>
      </c>
      <c r="I1521" t="str">
        <f>VLOOKUP(Tabela1[[#This Row],[CO_PAIS]],'[1]nome do paixs'!$A:$B,2,0)</f>
        <v>Canadá</v>
      </c>
      <c r="J1521" t="s">
        <v>12</v>
      </c>
    </row>
    <row r="1522" spans="1:10">
      <c r="A1522">
        <v>2022</v>
      </c>
      <c r="B1522">
        <v>7</v>
      </c>
      <c r="C1522">
        <v>8807</v>
      </c>
      <c r="D1522">
        <v>245</v>
      </c>
      <c r="E1522" t="s">
        <v>10</v>
      </c>
      <c r="F1522">
        <v>3454102</v>
      </c>
      <c r="G1522" s="1">
        <v>1992</v>
      </c>
      <c r="H1522" s="2">
        <v>1587124</v>
      </c>
      <c r="I1522" t="str">
        <f>VLOOKUP(Tabela1[[#This Row],[CO_PAIS]],'[1]nome do paixs'!$A:$B,2,0)</f>
        <v>Espanha</v>
      </c>
      <c r="J1522" t="s">
        <v>11</v>
      </c>
    </row>
    <row r="1523" spans="1:10">
      <c r="A1523">
        <v>2022</v>
      </c>
      <c r="B1523">
        <v>7</v>
      </c>
      <c r="C1523">
        <v>8807</v>
      </c>
      <c r="D1523">
        <v>23</v>
      </c>
      <c r="E1523" t="s">
        <v>10</v>
      </c>
      <c r="F1523">
        <v>3454102</v>
      </c>
      <c r="G1523" s="1">
        <v>3360</v>
      </c>
      <c r="H1523" s="2">
        <v>873688</v>
      </c>
      <c r="I1523" t="str">
        <f>VLOOKUP(Tabela1[[#This Row],[CO_PAIS]],'[1]nome do paixs'!$A:$B,2,0)</f>
        <v>Alemanha</v>
      </c>
      <c r="J1523" t="s">
        <v>11</v>
      </c>
    </row>
    <row r="1524" spans="1:10">
      <c r="A1524">
        <v>2022</v>
      </c>
      <c r="B1524">
        <v>7</v>
      </c>
      <c r="C1524">
        <v>8807</v>
      </c>
      <c r="D1524">
        <v>160</v>
      </c>
      <c r="E1524" t="s">
        <v>10</v>
      </c>
      <c r="F1524">
        <v>3449904</v>
      </c>
      <c r="G1524" s="1">
        <v>3</v>
      </c>
      <c r="H1524" s="2">
        <v>31</v>
      </c>
      <c r="I1524" t="str">
        <f>VLOOKUP(Tabela1[[#This Row],[CO_PAIS]],'[1]nome do paixs'!$A:$B,2,0)</f>
        <v>China</v>
      </c>
      <c r="J1524" t="s">
        <v>12</v>
      </c>
    </row>
    <row r="1525" spans="1:10">
      <c r="A1525">
        <v>2022</v>
      </c>
      <c r="B1525">
        <v>7</v>
      </c>
      <c r="C1525">
        <v>8807</v>
      </c>
      <c r="D1525">
        <v>149</v>
      </c>
      <c r="E1525" t="s">
        <v>10</v>
      </c>
      <c r="F1525">
        <v>3424402</v>
      </c>
      <c r="G1525" s="1">
        <v>4</v>
      </c>
      <c r="H1525" s="2">
        <v>26275</v>
      </c>
      <c r="I1525" t="str">
        <f>VLOOKUP(Tabela1[[#This Row],[CO_PAIS]],'[1]nome do paixs'!$A:$B,2,0)</f>
        <v>Canadá</v>
      </c>
      <c r="J1525" t="s">
        <v>13</v>
      </c>
    </row>
    <row r="1526" spans="1:10">
      <c r="A1526">
        <v>2022</v>
      </c>
      <c r="B1526">
        <v>7</v>
      </c>
      <c r="C1526">
        <v>8807</v>
      </c>
      <c r="D1526">
        <v>105</v>
      </c>
      <c r="E1526" t="s">
        <v>10</v>
      </c>
      <c r="F1526">
        <v>3449904</v>
      </c>
      <c r="G1526" s="1">
        <v>12035</v>
      </c>
      <c r="H1526" s="2">
        <v>7341144</v>
      </c>
      <c r="I1526" t="str">
        <f>VLOOKUP(Tabela1[[#This Row],[CO_PAIS]],'[1]nome do paixs'!$A:$B,2,0)</f>
        <v>Brasil</v>
      </c>
      <c r="J1526" t="s">
        <v>12</v>
      </c>
    </row>
    <row r="1527" spans="1:10">
      <c r="A1527">
        <v>2022</v>
      </c>
      <c r="B1527">
        <v>7</v>
      </c>
      <c r="C1527">
        <v>8807</v>
      </c>
      <c r="D1527">
        <v>474</v>
      </c>
      <c r="E1527" t="s">
        <v>10</v>
      </c>
      <c r="F1527">
        <v>3449904</v>
      </c>
      <c r="G1527" s="1">
        <v>5</v>
      </c>
      <c r="H1527" s="2">
        <v>16088</v>
      </c>
      <c r="I1527" t="str">
        <f>VLOOKUP(Tabela1[[#This Row],[CO_PAIS]],'[1]nome do paixs'!$A:$B,2,0)</f>
        <v>Marrocos</v>
      </c>
      <c r="J1527" t="s">
        <v>12</v>
      </c>
    </row>
    <row r="1528" spans="1:10">
      <c r="A1528">
        <v>2022</v>
      </c>
      <c r="B1528">
        <v>7</v>
      </c>
      <c r="C1528">
        <v>8807</v>
      </c>
      <c r="D1528">
        <v>741</v>
      </c>
      <c r="E1528" t="s">
        <v>10</v>
      </c>
      <c r="F1528">
        <v>3449904</v>
      </c>
      <c r="G1528" s="1">
        <v>167</v>
      </c>
      <c r="H1528" s="2">
        <v>172570</v>
      </c>
      <c r="I1528" t="str">
        <f>VLOOKUP(Tabela1[[#This Row],[CO_PAIS]],'[1]nome do paixs'!$A:$B,2,0)</f>
        <v>Singapura</v>
      </c>
      <c r="J1528" t="s">
        <v>12</v>
      </c>
    </row>
    <row r="1529" spans="1:10">
      <c r="A1529">
        <v>2022</v>
      </c>
      <c r="B1529">
        <v>7</v>
      </c>
      <c r="C1529">
        <v>8807</v>
      </c>
      <c r="D1529">
        <v>87</v>
      </c>
      <c r="E1529" t="s">
        <v>10</v>
      </c>
      <c r="F1529">
        <v>3454102</v>
      </c>
      <c r="G1529" s="1">
        <v>1675</v>
      </c>
      <c r="H1529" s="2">
        <v>1745275</v>
      </c>
      <c r="I1529" t="str">
        <f>VLOOKUP(Tabela1[[#This Row],[CO_PAIS]],'[1]nome do paixs'!$A:$B,2,0)</f>
        <v>Bélgica</v>
      </c>
      <c r="J1529" t="s">
        <v>11</v>
      </c>
    </row>
    <row r="1530" spans="1:10">
      <c r="A1530">
        <v>2022</v>
      </c>
      <c r="B1530">
        <v>7</v>
      </c>
      <c r="C1530">
        <v>8807</v>
      </c>
      <c r="D1530">
        <v>251</v>
      </c>
      <c r="E1530" t="s">
        <v>10</v>
      </c>
      <c r="F1530">
        <v>3449904</v>
      </c>
      <c r="G1530" s="1">
        <v>7</v>
      </c>
      <c r="H1530" s="2">
        <v>53</v>
      </c>
      <c r="I1530" t="str">
        <f>VLOOKUP(Tabela1[[#This Row],[CO_PAIS]],'[1]nome do paixs'!$A:$B,2,0)</f>
        <v>Estônia</v>
      </c>
      <c r="J1530" t="s">
        <v>12</v>
      </c>
    </row>
    <row r="1531" spans="1:10">
      <c r="A1531">
        <v>2022</v>
      </c>
      <c r="B1531">
        <v>7</v>
      </c>
      <c r="C1531">
        <v>8807</v>
      </c>
      <c r="D1531">
        <v>23</v>
      </c>
      <c r="E1531" t="s">
        <v>10</v>
      </c>
      <c r="F1531">
        <v>3449904</v>
      </c>
      <c r="G1531" s="1">
        <v>144</v>
      </c>
      <c r="H1531" s="2">
        <v>192075</v>
      </c>
      <c r="I1531" t="str">
        <f>VLOOKUP(Tabela1[[#This Row],[CO_PAIS]],'[1]nome do paixs'!$A:$B,2,0)</f>
        <v>Alemanha</v>
      </c>
      <c r="J1531" t="s">
        <v>12</v>
      </c>
    </row>
    <row r="1532" spans="1:10">
      <c r="A1532">
        <v>2022</v>
      </c>
      <c r="B1532">
        <v>7</v>
      </c>
      <c r="C1532">
        <v>8807</v>
      </c>
      <c r="D1532">
        <v>275</v>
      </c>
      <c r="E1532" t="s">
        <v>10</v>
      </c>
      <c r="F1532">
        <v>3424402</v>
      </c>
      <c r="G1532" s="1">
        <v>511</v>
      </c>
      <c r="H1532" s="2">
        <v>709900</v>
      </c>
      <c r="I1532" t="str">
        <f>VLOOKUP(Tabela1[[#This Row],[CO_PAIS]],'[1]nome do paixs'!$A:$B,2,0)</f>
        <v>França</v>
      </c>
      <c r="J1532" t="s">
        <v>13</v>
      </c>
    </row>
    <row r="1533" spans="1:10">
      <c r="A1533">
        <v>2022</v>
      </c>
      <c r="B1533">
        <v>7</v>
      </c>
      <c r="C1533">
        <v>8807</v>
      </c>
      <c r="D1533">
        <v>455</v>
      </c>
      <c r="E1533" t="s">
        <v>10</v>
      </c>
      <c r="F1533">
        <v>3454102</v>
      </c>
      <c r="G1533" s="1">
        <v>2553</v>
      </c>
      <c r="H1533" s="2">
        <v>281776</v>
      </c>
      <c r="I1533" t="str">
        <f>VLOOKUP(Tabela1[[#This Row],[CO_PAIS]],'[1]nome do paixs'!$A:$B,2,0)</f>
        <v>Malásia</v>
      </c>
      <c r="J1533" t="s">
        <v>11</v>
      </c>
    </row>
    <row r="1534" spans="1:10">
      <c r="A1534">
        <v>2022</v>
      </c>
      <c r="B1534">
        <v>7</v>
      </c>
      <c r="C1534">
        <v>8807</v>
      </c>
      <c r="D1534">
        <v>190</v>
      </c>
      <c r="E1534" t="s">
        <v>10</v>
      </c>
      <c r="F1534">
        <v>3449904</v>
      </c>
      <c r="G1534" s="1">
        <v>12</v>
      </c>
      <c r="H1534" s="2">
        <v>15296</v>
      </c>
      <c r="I1534" t="str">
        <f>VLOOKUP(Tabela1[[#This Row],[CO_PAIS]],'[1]nome do paixs'!$A:$B,2,0)</f>
        <v>Coreia do Sul</v>
      </c>
      <c r="J1534" t="s">
        <v>12</v>
      </c>
    </row>
    <row r="1535" spans="1:10">
      <c r="A1535">
        <v>2022</v>
      </c>
      <c r="B1535">
        <v>7</v>
      </c>
      <c r="C1535">
        <v>8807</v>
      </c>
      <c r="D1535">
        <v>275</v>
      </c>
      <c r="E1535" t="s">
        <v>10</v>
      </c>
      <c r="F1535">
        <v>3454102</v>
      </c>
      <c r="G1535" s="1">
        <v>1692</v>
      </c>
      <c r="H1535" s="2">
        <v>3022727</v>
      </c>
      <c r="I1535" t="str">
        <f>VLOOKUP(Tabela1[[#This Row],[CO_PAIS]],'[1]nome do paixs'!$A:$B,2,0)</f>
        <v>França</v>
      </c>
      <c r="J1535" t="s">
        <v>11</v>
      </c>
    </row>
    <row r="1536" spans="1:10">
      <c r="A1536">
        <v>2022</v>
      </c>
      <c r="B1536">
        <v>7</v>
      </c>
      <c r="C1536">
        <v>8807</v>
      </c>
      <c r="D1536">
        <v>628</v>
      </c>
      <c r="E1536" t="s">
        <v>10</v>
      </c>
      <c r="F1536">
        <v>3454102</v>
      </c>
      <c r="G1536" s="1">
        <v>108</v>
      </c>
      <c r="H1536" s="2">
        <v>111183</v>
      </c>
      <c r="I1536" t="str">
        <f>VLOOKUP(Tabela1[[#This Row],[CO_PAIS]],'[1]nome do paixs'!$A:$B,2,0)</f>
        <v>Reino Unido</v>
      </c>
      <c r="J1536" t="s">
        <v>11</v>
      </c>
    </row>
    <row r="1537" spans="1:10">
      <c r="A1537">
        <v>2022</v>
      </c>
      <c r="B1537">
        <v>7</v>
      </c>
      <c r="C1537">
        <v>8807</v>
      </c>
      <c r="D1537">
        <v>603</v>
      </c>
      <c r="E1537" t="s">
        <v>10</v>
      </c>
      <c r="F1537">
        <v>3449904</v>
      </c>
      <c r="G1537" s="1">
        <v>223</v>
      </c>
      <c r="H1537" s="2">
        <v>16761</v>
      </c>
      <c r="I1537" t="str">
        <f>VLOOKUP(Tabela1[[#This Row],[CO_PAIS]],'[1]nome do paixs'!$A:$B,2,0)</f>
        <v>Polônia</v>
      </c>
      <c r="J1537" t="s">
        <v>12</v>
      </c>
    </row>
    <row r="1538" spans="1:10">
      <c r="A1538">
        <v>2022</v>
      </c>
      <c r="B1538">
        <v>7</v>
      </c>
      <c r="C1538">
        <v>8807</v>
      </c>
      <c r="D1538">
        <v>474</v>
      </c>
      <c r="E1538" t="s">
        <v>10</v>
      </c>
      <c r="F1538">
        <v>3454102</v>
      </c>
      <c r="G1538" s="1">
        <v>92</v>
      </c>
      <c r="H1538" s="2">
        <v>171257</v>
      </c>
      <c r="I1538" t="str">
        <f>VLOOKUP(Tabela1[[#This Row],[CO_PAIS]],'[1]nome do paixs'!$A:$B,2,0)</f>
        <v>Marrocos</v>
      </c>
      <c r="J1538" t="s">
        <v>11</v>
      </c>
    </row>
    <row r="1539" spans="1:10">
      <c r="A1539">
        <v>2022</v>
      </c>
      <c r="B1539">
        <v>7</v>
      </c>
      <c r="C1539">
        <v>8807</v>
      </c>
      <c r="D1539">
        <v>386</v>
      </c>
      <c r="E1539" t="s">
        <v>10</v>
      </c>
      <c r="F1539">
        <v>3454102</v>
      </c>
      <c r="G1539" s="1">
        <v>960</v>
      </c>
      <c r="H1539" s="2">
        <v>2459611</v>
      </c>
      <c r="I1539" t="str">
        <f>VLOOKUP(Tabela1[[#This Row],[CO_PAIS]],'[1]nome do paixs'!$A:$B,2,0)</f>
        <v>Itália</v>
      </c>
      <c r="J1539" t="s">
        <v>11</v>
      </c>
    </row>
    <row r="1540" spans="1:10">
      <c r="A1540">
        <v>2022</v>
      </c>
      <c r="B1540">
        <v>7</v>
      </c>
      <c r="C1540">
        <v>8807</v>
      </c>
      <c r="D1540">
        <v>607</v>
      </c>
      <c r="E1540" t="s">
        <v>10</v>
      </c>
      <c r="F1540">
        <v>3449904</v>
      </c>
      <c r="G1540" s="1">
        <v>3</v>
      </c>
      <c r="H1540" s="2">
        <v>14488</v>
      </c>
      <c r="I1540" t="str">
        <f>VLOOKUP(Tabela1[[#This Row],[CO_PAIS]],'[1]nome do paixs'!$A:$B,2,0)</f>
        <v>Portugal</v>
      </c>
      <c r="J1540" t="s">
        <v>12</v>
      </c>
    </row>
    <row r="1541" spans="1:10">
      <c r="A1541">
        <v>2022</v>
      </c>
      <c r="B1541">
        <v>7</v>
      </c>
      <c r="C1541">
        <v>8807</v>
      </c>
      <c r="D1541">
        <v>493</v>
      </c>
      <c r="E1541" t="s">
        <v>10</v>
      </c>
      <c r="F1541">
        <v>3454102</v>
      </c>
      <c r="G1541" s="1">
        <v>11595</v>
      </c>
      <c r="H1541" s="2">
        <v>5144259</v>
      </c>
      <c r="I1541" t="str">
        <f>VLOOKUP(Tabela1[[#This Row],[CO_PAIS]],'[1]nome do paixs'!$A:$B,2,0)</f>
        <v>México</v>
      </c>
      <c r="J1541" t="s">
        <v>11</v>
      </c>
    </row>
    <row r="1542" spans="1:10">
      <c r="A1542">
        <v>2022</v>
      </c>
      <c r="B1542">
        <v>7</v>
      </c>
      <c r="C1542">
        <v>8807</v>
      </c>
      <c r="D1542">
        <v>72</v>
      </c>
      <c r="E1542" t="s">
        <v>10</v>
      </c>
      <c r="F1542">
        <v>3449904</v>
      </c>
      <c r="G1542" s="1">
        <v>1</v>
      </c>
      <c r="H1542" s="2">
        <v>1125</v>
      </c>
      <c r="I1542" t="str">
        <f>VLOOKUP(Tabela1[[#This Row],[CO_PAIS]],'[1]nome do paixs'!$A:$B,2,0)</f>
        <v>Áustria</v>
      </c>
      <c r="J1542" t="s">
        <v>12</v>
      </c>
    </row>
    <row r="1543" spans="1:10">
      <c r="A1543">
        <v>2022</v>
      </c>
      <c r="B1543">
        <v>7</v>
      </c>
      <c r="C1543">
        <v>8807</v>
      </c>
      <c r="D1543">
        <v>607</v>
      </c>
      <c r="E1543" t="s">
        <v>10</v>
      </c>
      <c r="F1543">
        <v>3454102</v>
      </c>
      <c r="G1543" s="1">
        <v>20302</v>
      </c>
      <c r="H1543" s="2">
        <v>6204550</v>
      </c>
      <c r="I1543" t="str">
        <f>VLOOKUP(Tabela1[[#This Row],[CO_PAIS]],'[1]nome do paixs'!$A:$B,2,0)</f>
        <v>Portugal</v>
      </c>
      <c r="J1543" t="s">
        <v>11</v>
      </c>
    </row>
    <row r="1544" spans="1:10">
      <c r="A1544">
        <v>2022</v>
      </c>
      <c r="B1544">
        <v>7</v>
      </c>
      <c r="C1544">
        <v>8807</v>
      </c>
      <c r="D1544">
        <v>190</v>
      </c>
      <c r="E1544" t="s">
        <v>10</v>
      </c>
      <c r="F1544">
        <v>3424402</v>
      </c>
      <c r="G1544" s="1">
        <v>177</v>
      </c>
      <c r="H1544" s="2">
        <v>67147</v>
      </c>
      <c r="I1544" t="str">
        <f>VLOOKUP(Tabela1[[#This Row],[CO_PAIS]],'[1]nome do paixs'!$A:$B,2,0)</f>
        <v>Coreia do Sul</v>
      </c>
      <c r="J1544" t="s">
        <v>13</v>
      </c>
    </row>
    <row r="1545" spans="1:10">
      <c r="A1545">
        <v>2022</v>
      </c>
      <c r="B1545">
        <v>7</v>
      </c>
      <c r="C1545">
        <v>8807</v>
      </c>
      <c r="D1545">
        <v>87</v>
      </c>
      <c r="E1545" t="s">
        <v>10</v>
      </c>
      <c r="F1545">
        <v>3449904</v>
      </c>
      <c r="G1545" s="1">
        <v>1185</v>
      </c>
      <c r="H1545" s="2">
        <v>1395788</v>
      </c>
      <c r="I1545" t="str">
        <f>VLOOKUP(Tabela1[[#This Row],[CO_PAIS]],'[1]nome do paixs'!$A:$B,2,0)</f>
        <v>Bélgica</v>
      </c>
      <c r="J1545" t="s">
        <v>12</v>
      </c>
    </row>
    <row r="1546" spans="1:10">
      <c r="A1546">
        <v>2022</v>
      </c>
      <c r="B1546">
        <v>7</v>
      </c>
      <c r="C1546">
        <v>8807</v>
      </c>
      <c r="D1546">
        <v>676</v>
      </c>
      <c r="E1546" t="s">
        <v>10</v>
      </c>
      <c r="F1546">
        <v>3449904</v>
      </c>
      <c r="G1546" s="1">
        <v>32</v>
      </c>
      <c r="H1546" s="2">
        <v>21664</v>
      </c>
      <c r="I1546" t="str">
        <f>VLOOKUP(Tabela1[[#This Row],[CO_PAIS]],'[1]nome do paixs'!$A:$B,2,0)</f>
        <v>Rússia</v>
      </c>
      <c r="J1546" t="s">
        <v>12</v>
      </c>
    </row>
    <row r="1547" spans="1:10">
      <c r="A1547">
        <v>2022</v>
      </c>
      <c r="B1547">
        <v>7</v>
      </c>
      <c r="C1547">
        <v>8807</v>
      </c>
      <c r="D1547">
        <v>375</v>
      </c>
      <c r="E1547" t="s">
        <v>10</v>
      </c>
      <c r="F1547">
        <v>3454102</v>
      </c>
      <c r="G1547" s="1">
        <v>168</v>
      </c>
      <c r="H1547" s="2">
        <v>131063</v>
      </c>
      <c r="I1547" t="str">
        <f>VLOOKUP(Tabela1[[#This Row],[CO_PAIS]],'[1]nome do paixs'!$A:$B,2,0)</f>
        <v>Irlanda</v>
      </c>
      <c r="J1547" t="s">
        <v>11</v>
      </c>
    </row>
    <row r="1548" spans="1:10">
      <c r="A1548">
        <v>2022</v>
      </c>
      <c r="B1548">
        <v>7</v>
      </c>
      <c r="C1548">
        <v>8807</v>
      </c>
      <c r="D1548">
        <v>249</v>
      </c>
      <c r="E1548" t="s">
        <v>10</v>
      </c>
      <c r="F1548">
        <v>3449904</v>
      </c>
      <c r="G1548" s="1">
        <v>7085</v>
      </c>
      <c r="H1548" s="2">
        <v>4562497</v>
      </c>
      <c r="I1548" t="str">
        <f>VLOOKUP(Tabela1[[#This Row],[CO_PAIS]],'[1]nome do paixs'!$A:$B,2,0)</f>
        <v>Estados Unidos</v>
      </c>
      <c r="J1548" t="s">
        <v>12</v>
      </c>
    </row>
    <row r="1549" spans="1:10">
      <c r="A1549">
        <v>2022</v>
      </c>
      <c r="B1549">
        <v>7</v>
      </c>
      <c r="C1549">
        <v>8807</v>
      </c>
      <c r="D1549">
        <v>375</v>
      </c>
      <c r="E1549" t="s">
        <v>10</v>
      </c>
      <c r="F1549">
        <v>3449904</v>
      </c>
      <c r="G1549" s="1">
        <v>31</v>
      </c>
      <c r="H1549" s="2">
        <v>10140</v>
      </c>
      <c r="I1549" t="str">
        <f>VLOOKUP(Tabela1[[#This Row],[CO_PAIS]],'[1]nome do paixs'!$A:$B,2,0)</f>
        <v>Irlanda</v>
      </c>
      <c r="J1549" t="s">
        <v>12</v>
      </c>
    </row>
    <row r="1550" spans="1:10">
      <c r="A1550">
        <v>2022</v>
      </c>
      <c r="B1550">
        <v>7</v>
      </c>
      <c r="C1550">
        <v>8807</v>
      </c>
      <c r="D1550">
        <v>87</v>
      </c>
      <c r="E1550" t="s">
        <v>10</v>
      </c>
      <c r="F1550">
        <v>3424402</v>
      </c>
      <c r="G1550" s="1">
        <v>18</v>
      </c>
      <c r="H1550" s="2">
        <v>41478</v>
      </c>
      <c r="I1550" t="str">
        <f>VLOOKUP(Tabela1[[#This Row],[CO_PAIS]],'[1]nome do paixs'!$A:$B,2,0)</f>
        <v>Bélgica</v>
      </c>
      <c r="J1550" t="s">
        <v>13</v>
      </c>
    </row>
    <row r="1551" spans="1:10">
      <c r="A1551">
        <v>2022</v>
      </c>
      <c r="B1551">
        <v>7</v>
      </c>
      <c r="C1551">
        <v>8807</v>
      </c>
      <c r="D1551">
        <v>249</v>
      </c>
      <c r="E1551" t="s">
        <v>10</v>
      </c>
      <c r="F1551">
        <v>3424402</v>
      </c>
      <c r="G1551" s="1">
        <v>1925</v>
      </c>
      <c r="H1551" s="2">
        <v>388635</v>
      </c>
      <c r="I1551" t="str">
        <f>VLOOKUP(Tabela1[[#This Row],[CO_PAIS]],'[1]nome do paixs'!$A:$B,2,0)</f>
        <v>Estados Unidos</v>
      </c>
      <c r="J1551" t="s">
        <v>13</v>
      </c>
    </row>
    <row r="1552" spans="1:10">
      <c r="A1552">
        <v>2022</v>
      </c>
      <c r="B1552">
        <v>7</v>
      </c>
      <c r="C1552">
        <v>8807</v>
      </c>
      <c r="D1552">
        <v>399</v>
      </c>
      <c r="E1552" t="s">
        <v>10</v>
      </c>
      <c r="F1552">
        <v>3449904</v>
      </c>
      <c r="G1552" s="1">
        <v>566</v>
      </c>
      <c r="H1552" s="2">
        <v>603519</v>
      </c>
      <c r="I1552" t="str">
        <f>VLOOKUP(Tabela1[[#This Row],[CO_PAIS]],'[1]nome do paixs'!$A:$B,2,0)</f>
        <v>Japão</v>
      </c>
      <c r="J1552" t="s">
        <v>12</v>
      </c>
    </row>
    <row r="1553" spans="1:10">
      <c r="A1553">
        <v>2022</v>
      </c>
      <c r="B1553">
        <v>7</v>
      </c>
      <c r="C1553">
        <v>8807</v>
      </c>
      <c r="D1553">
        <v>628</v>
      </c>
      <c r="E1553" t="s">
        <v>10</v>
      </c>
      <c r="F1553">
        <v>3449904</v>
      </c>
      <c r="G1553" s="1">
        <v>1105</v>
      </c>
      <c r="H1553" s="2">
        <v>572501</v>
      </c>
      <c r="I1553" t="str">
        <f>VLOOKUP(Tabela1[[#This Row],[CO_PAIS]],'[1]nome do paixs'!$A:$B,2,0)</f>
        <v>Reino Unido</v>
      </c>
      <c r="J1553" t="s">
        <v>12</v>
      </c>
    </row>
    <row r="1554" spans="1:10">
      <c r="A1554">
        <v>2022</v>
      </c>
      <c r="B1554">
        <v>7</v>
      </c>
      <c r="C1554">
        <v>8807</v>
      </c>
      <c r="D1554">
        <v>386</v>
      </c>
      <c r="E1554" t="s">
        <v>10</v>
      </c>
      <c r="F1554">
        <v>3449904</v>
      </c>
      <c r="G1554" s="1">
        <v>2</v>
      </c>
      <c r="H1554" s="2">
        <v>12064</v>
      </c>
      <c r="I1554" t="str">
        <f>VLOOKUP(Tabela1[[#This Row],[CO_PAIS]],'[1]nome do paixs'!$A:$B,2,0)</f>
        <v>Itália</v>
      </c>
      <c r="J1554" t="s">
        <v>12</v>
      </c>
    </row>
    <row r="1555" spans="1:10">
      <c r="A1555">
        <v>2022</v>
      </c>
      <c r="B1555">
        <v>7</v>
      </c>
      <c r="C1555">
        <v>8807</v>
      </c>
      <c r="D1555">
        <v>399</v>
      </c>
      <c r="E1555" t="s">
        <v>10</v>
      </c>
      <c r="F1555">
        <v>3454102</v>
      </c>
      <c r="G1555" s="1">
        <v>2888</v>
      </c>
      <c r="H1555" s="2">
        <v>2195396</v>
      </c>
      <c r="I1555" t="str">
        <f>VLOOKUP(Tabela1[[#This Row],[CO_PAIS]],'[1]nome do paixs'!$A:$B,2,0)</f>
        <v>Japão</v>
      </c>
      <c r="J1555" t="s">
        <v>11</v>
      </c>
    </row>
    <row r="1556" spans="1:10">
      <c r="A1556">
        <v>2022</v>
      </c>
      <c r="B1556">
        <v>7</v>
      </c>
      <c r="C1556">
        <v>8807</v>
      </c>
      <c r="D1556">
        <v>361</v>
      </c>
      <c r="E1556" t="s">
        <v>10</v>
      </c>
      <c r="F1556">
        <v>3449904</v>
      </c>
      <c r="G1556" s="1">
        <v>758</v>
      </c>
      <c r="H1556" s="2">
        <v>345725</v>
      </c>
      <c r="I1556" t="str">
        <f>VLOOKUP(Tabela1[[#This Row],[CO_PAIS]],'[1]nome do paixs'!$A:$B,2,0)</f>
        <v>Índia</v>
      </c>
      <c r="J1556" t="s">
        <v>12</v>
      </c>
    </row>
    <row r="1557" spans="1:10">
      <c r="A1557">
        <v>2022</v>
      </c>
      <c r="B1557">
        <v>7</v>
      </c>
      <c r="C1557">
        <v>8807</v>
      </c>
      <c r="D1557">
        <v>275</v>
      </c>
      <c r="E1557" t="s">
        <v>10</v>
      </c>
      <c r="F1557">
        <v>3449904</v>
      </c>
      <c r="G1557" s="1">
        <v>469</v>
      </c>
      <c r="H1557" s="2">
        <v>566961</v>
      </c>
      <c r="I1557" t="str">
        <f>VLOOKUP(Tabela1[[#This Row],[CO_PAIS]],'[1]nome do paixs'!$A:$B,2,0)</f>
        <v>França</v>
      </c>
      <c r="J1557" t="s">
        <v>12</v>
      </c>
    </row>
    <row r="1558" spans="1:10">
      <c r="A1558">
        <v>2022</v>
      </c>
      <c r="B1558">
        <v>7</v>
      </c>
      <c r="C1558">
        <v>8807</v>
      </c>
      <c r="D1558">
        <v>72</v>
      </c>
      <c r="E1558" t="s">
        <v>10</v>
      </c>
      <c r="F1558">
        <v>3454102</v>
      </c>
      <c r="G1558" s="1">
        <v>719</v>
      </c>
      <c r="H1558" s="2">
        <v>799089</v>
      </c>
      <c r="I1558" t="str">
        <f>VLOOKUP(Tabela1[[#This Row],[CO_PAIS]],'[1]nome do paixs'!$A:$B,2,0)</f>
        <v>Áustria</v>
      </c>
      <c r="J1558" t="s">
        <v>11</v>
      </c>
    </row>
    <row r="1559" spans="1:10">
      <c r="A1559">
        <v>2022</v>
      </c>
      <c r="B1559">
        <v>7</v>
      </c>
      <c r="C1559">
        <v>8807</v>
      </c>
      <c r="D1559">
        <v>190</v>
      </c>
      <c r="E1559" t="s">
        <v>10</v>
      </c>
      <c r="F1559">
        <v>3454102</v>
      </c>
      <c r="G1559" s="1">
        <v>3423</v>
      </c>
      <c r="H1559" s="2">
        <v>3364488</v>
      </c>
      <c r="I1559" t="str">
        <f>VLOOKUP(Tabela1[[#This Row],[CO_PAIS]],'[1]nome do paixs'!$A:$B,2,0)</f>
        <v>Coreia do Sul</v>
      </c>
      <c r="J1559" t="s">
        <v>11</v>
      </c>
    </row>
    <row r="1560" spans="1:10">
      <c r="A1560">
        <v>2021</v>
      </c>
      <c r="B1560">
        <v>7</v>
      </c>
      <c r="C1560">
        <v>8803</v>
      </c>
      <c r="D1560">
        <v>23</v>
      </c>
      <c r="E1560" t="s">
        <v>10</v>
      </c>
      <c r="F1560">
        <v>3449904</v>
      </c>
      <c r="G1560" s="1">
        <v>51</v>
      </c>
      <c r="H1560" s="2">
        <v>122341</v>
      </c>
      <c r="I1560" t="str">
        <f>VLOOKUP(Tabela1[[#This Row],[CO_PAIS]],'[1]nome do paixs'!$A:$B,2,0)</f>
        <v>Alemanha</v>
      </c>
      <c r="J1560" t="s">
        <v>12</v>
      </c>
    </row>
    <row r="1561" spans="1:10">
      <c r="A1561">
        <v>2021</v>
      </c>
      <c r="B1561">
        <v>7</v>
      </c>
      <c r="C1561">
        <v>8803</v>
      </c>
      <c r="D1561">
        <v>791</v>
      </c>
      <c r="E1561" t="s">
        <v>10</v>
      </c>
      <c r="F1561">
        <v>3424402</v>
      </c>
      <c r="G1561" s="1">
        <v>100</v>
      </c>
      <c r="H1561" s="2">
        <v>81111</v>
      </c>
      <c r="I1561" t="str">
        <f>VLOOKUP(Tabela1[[#This Row],[CO_PAIS]],'[1]nome do paixs'!$A:$B,2,0)</f>
        <v>Tcheca, República</v>
      </c>
      <c r="J1561" t="s">
        <v>13</v>
      </c>
    </row>
    <row r="1562" spans="1:10">
      <c r="A1562">
        <v>2021</v>
      </c>
      <c r="B1562">
        <v>7</v>
      </c>
      <c r="C1562">
        <v>8803</v>
      </c>
      <c r="D1562">
        <v>607</v>
      </c>
      <c r="E1562" t="s">
        <v>10</v>
      </c>
      <c r="F1562">
        <v>3449904</v>
      </c>
      <c r="G1562" s="1">
        <v>2</v>
      </c>
      <c r="H1562" s="2">
        <v>7089</v>
      </c>
      <c r="I1562" t="str">
        <f>VLOOKUP(Tabela1[[#This Row],[CO_PAIS]],'[1]nome do paixs'!$A:$B,2,0)</f>
        <v>Portugal</v>
      </c>
      <c r="J1562" t="s">
        <v>12</v>
      </c>
    </row>
    <row r="1563" spans="1:10">
      <c r="A1563">
        <v>2021</v>
      </c>
      <c r="B1563">
        <v>7</v>
      </c>
      <c r="C1563">
        <v>8803</v>
      </c>
      <c r="D1563">
        <v>399</v>
      </c>
      <c r="E1563" t="s">
        <v>10</v>
      </c>
      <c r="F1563">
        <v>3454102</v>
      </c>
      <c r="G1563" s="1">
        <v>5035</v>
      </c>
      <c r="H1563" s="2">
        <v>3264794</v>
      </c>
      <c r="I1563" t="str">
        <f>VLOOKUP(Tabela1[[#This Row],[CO_PAIS]],'[1]nome do paixs'!$A:$B,2,0)</f>
        <v>Japão</v>
      </c>
      <c r="J1563" t="s">
        <v>11</v>
      </c>
    </row>
    <row r="1564" spans="1:10">
      <c r="A1564">
        <v>2021</v>
      </c>
      <c r="B1564">
        <v>7</v>
      </c>
      <c r="C1564">
        <v>8803</v>
      </c>
      <c r="D1564">
        <v>361</v>
      </c>
      <c r="E1564" t="s">
        <v>10</v>
      </c>
      <c r="F1564">
        <v>3449904</v>
      </c>
      <c r="G1564" s="1">
        <v>368</v>
      </c>
      <c r="H1564" s="2">
        <v>162961</v>
      </c>
      <c r="I1564" t="str">
        <f>VLOOKUP(Tabela1[[#This Row],[CO_PAIS]],'[1]nome do paixs'!$A:$B,2,0)</f>
        <v>Índia</v>
      </c>
      <c r="J1564" t="s">
        <v>12</v>
      </c>
    </row>
    <row r="1565" spans="1:10">
      <c r="A1565">
        <v>2021</v>
      </c>
      <c r="B1565">
        <v>7</v>
      </c>
      <c r="C1565">
        <v>8803</v>
      </c>
      <c r="D1565">
        <v>607</v>
      </c>
      <c r="E1565" t="s">
        <v>10</v>
      </c>
      <c r="F1565">
        <v>3454102</v>
      </c>
      <c r="G1565" s="1">
        <v>4836</v>
      </c>
      <c r="H1565" s="2">
        <v>1718574</v>
      </c>
      <c r="I1565" t="str">
        <f>VLOOKUP(Tabela1[[#This Row],[CO_PAIS]],'[1]nome do paixs'!$A:$B,2,0)</f>
        <v>Portugal</v>
      </c>
      <c r="J1565" t="s">
        <v>11</v>
      </c>
    </row>
    <row r="1566" spans="1:10">
      <c r="A1566">
        <v>2021</v>
      </c>
      <c r="B1566">
        <v>7</v>
      </c>
      <c r="C1566">
        <v>8803</v>
      </c>
      <c r="D1566">
        <v>741</v>
      </c>
      <c r="E1566" t="s">
        <v>10</v>
      </c>
      <c r="F1566">
        <v>3449904</v>
      </c>
      <c r="G1566" s="1">
        <v>97</v>
      </c>
      <c r="H1566" s="2">
        <v>129335</v>
      </c>
      <c r="I1566" t="str">
        <f>VLOOKUP(Tabela1[[#This Row],[CO_PAIS]],'[1]nome do paixs'!$A:$B,2,0)</f>
        <v>Singapura</v>
      </c>
      <c r="J1566" t="s">
        <v>12</v>
      </c>
    </row>
    <row r="1567" spans="1:10">
      <c r="A1567">
        <v>2021</v>
      </c>
      <c r="B1567">
        <v>7</v>
      </c>
      <c r="C1567">
        <v>8803</v>
      </c>
      <c r="D1567">
        <v>190</v>
      </c>
      <c r="E1567" t="s">
        <v>10</v>
      </c>
      <c r="F1567">
        <v>3449904</v>
      </c>
      <c r="G1567" s="1">
        <v>2</v>
      </c>
      <c r="H1567" s="2">
        <v>3781</v>
      </c>
      <c r="I1567" t="str">
        <f>VLOOKUP(Tabela1[[#This Row],[CO_PAIS]],'[1]nome do paixs'!$A:$B,2,0)</f>
        <v>Coreia do Sul</v>
      </c>
      <c r="J1567" t="s">
        <v>12</v>
      </c>
    </row>
    <row r="1568" spans="1:10">
      <c r="A1568">
        <v>2021</v>
      </c>
      <c r="B1568">
        <v>7</v>
      </c>
      <c r="C1568">
        <v>8803</v>
      </c>
      <c r="D1568">
        <v>245</v>
      </c>
      <c r="E1568" t="s">
        <v>10</v>
      </c>
      <c r="F1568">
        <v>3454102</v>
      </c>
      <c r="G1568" s="1">
        <v>1395</v>
      </c>
      <c r="H1568" s="2">
        <v>1284417</v>
      </c>
      <c r="I1568" t="str">
        <f>VLOOKUP(Tabela1[[#This Row],[CO_PAIS]],'[1]nome do paixs'!$A:$B,2,0)</f>
        <v>Espanha</v>
      </c>
      <c r="J1568" t="s">
        <v>11</v>
      </c>
    </row>
    <row r="1569" spans="1:10">
      <c r="A1569">
        <v>2021</v>
      </c>
      <c r="B1569">
        <v>7</v>
      </c>
      <c r="C1569">
        <v>8803</v>
      </c>
      <c r="D1569">
        <v>628</v>
      </c>
      <c r="E1569" t="s">
        <v>10</v>
      </c>
      <c r="F1569">
        <v>3454102</v>
      </c>
      <c r="G1569" s="1">
        <v>185</v>
      </c>
      <c r="H1569" s="2">
        <v>85635</v>
      </c>
      <c r="I1569" t="str">
        <f>VLOOKUP(Tabela1[[#This Row],[CO_PAIS]],'[1]nome do paixs'!$A:$B,2,0)</f>
        <v>Reino Unido</v>
      </c>
      <c r="J1569" t="s">
        <v>11</v>
      </c>
    </row>
    <row r="1570" spans="1:10">
      <c r="A1570">
        <v>2021</v>
      </c>
      <c r="B1570">
        <v>7</v>
      </c>
      <c r="C1570">
        <v>8803</v>
      </c>
      <c r="D1570">
        <v>190</v>
      </c>
      <c r="E1570" t="s">
        <v>10</v>
      </c>
      <c r="F1570">
        <v>3454102</v>
      </c>
      <c r="G1570" s="1">
        <v>1259</v>
      </c>
      <c r="H1570" s="2">
        <v>1240525</v>
      </c>
      <c r="I1570" t="str">
        <f>VLOOKUP(Tabela1[[#This Row],[CO_PAIS]],'[1]nome do paixs'!$A:$B,2,0)</f>
        <v>Coreia do Sul</v>
      </c>
      <c r="J1570" t="s">
        <v>11</v>
      </c>
    </row>
    <row r="1571" spans="1:10">
      <c r="A1571">
        <v>2021</v>
      </c>
      <c r="B1571">
        <v>7</v>
      </c>
      <c r="C1571">
        <v>8803</v>
      </c>
      <c r="D1571">
        <v>628</v>
      </c>
      <c r="E1571" t="s">
        <v>10</v>
      </c>
      <c r="F1571">
        <v>3449904</v>
      </c>
      <c r="G1571" s="1">
        <v>318</v>
      </c>
      <c r="H1571" s="2">
        <v>234797</v>
      </c>
      <c r="I1571" t="str">
        <f>VLOOKUP(Tabela1[[#This Row],[CO_PAIS]],'[1]nome do paixs'!$A:$B,2,0)</f>
        <v>Reino Unido</v>
      </c>
      <c r="J1571" t="s">
        <v>12</v>
      </c>
    </row>
    <row r="1572" spans="1:10">
      <c r="A1572">
        <v>2021</v>
      </c>
      <c r="B1572">
        <v>7</v>
      </c>
      <c r="C1572">
        <v>8803</v>
      </c>
      <c r="D1572">
        <v>386</v>
      </c>
      <c r="E1572" t="s">
        <v>10</v>
      </c>
      <c r="F1572">
        <v>3454102</v>
      </c>
      <c r="G1572" s="1">
        <v>768</v>
      </c>
      <c r="H1572" s="2">
        <v>1987987</v>
      </c>
      <c r="I1572" t="str">
        <f>VLOOKUP(Tabela1[[#This Row],[CO_PAIS]],'[1]nome do paixs'!$A:$B,2,0)</f>
        <v>Itália</v>
      </c>
      <c r="J1572" t="s">
        <v>11</v>
      </c>
    </row>
    <row r="1573" spans="1:10">
      <c r="A1573">
        <v>2021</v>
      </c>
      <c r="B1573">
        <v>7</v>
      </c>
      <c r="C1573">
        <v>8803</v>
      </c>
      <c r="D1573">
        <v>827</v>
      </c>
      <c r="E1573" t="s">
        <v>10</v>
      </c>
      <c r="F1573">
        <v>3449904</v>
      </c>
      <c r="G1573" s="1">
        <v>1</v>
      </c>
      <c r="H1573" s="2">
        <v>1450</v>
      </c>
      <c r="I1573" t="str">
        <f>VLOOKUP(Tabela1[[#This Row],[CO_PAIS]],'[1]nome do paixs'!$A:$B,2,0)</f>
        <v>Turquia</v>
      </c>
      <c r="J1573" t="s">
        <v>12</v>
      </c>
    </row>
    <row r="1574" spans="1:10">
      <c r="A1574">
        <v>2021</v>
      </c>
      <c r="B1574">
        <v>7</v>
      </c>
      <c r="C1574">
        <v>8803</v>
      </c>
      <c r="D1574">
        <v>87</v>
      </c>
      <c r="E1574" t="s">
        <v>10</v>
      </c>
      <c r="F1574">
        <v>3449904</v>
      </c>
      <c r="G1574" s="1">
        <v>806</v>
      </c>
      <c r="H1574" s="2">
        <v>643912</v>
      </c>
      <c r="I1574" t="str">
        <f>VLOOKUP(Tabela1[[#This Row],[CO_PAIS]],'[1]nome do paixs'!$A:$B,2,0)</f>
        <v>Bélgica</v>
      </c>
      <c r="J1574" t="s">
        <v>12</v>
      </c>
    </row>
    <row r="1575" spans="1:10">
      <c r="A1575">
        <v>2021</v>
      </c>
      <c r="B1575">
        <v>7</v>
      </c>
      <c r="C1575">
        <v>8803</v>
      </c>
      <c r="D1575">
        <v>72</v>
      </c>
      <c r="E1575" t="s">
        <v>10</v>
      </c>
      <c r="F1575">
        <v>3449904</v>
      </c>
      <c r="G1575" s="1">
        <v>0</v>
      </c>
      <c r="H1575" s="2">
        <v>311</v>
      </c>
      <c r="I1575" t="str">
        <f>VLOOKUP(Tabela1[[#This Row],[CO_PAIS]],'[1]nome do paixs'!$A:$B,2,0)</f>
        <v>Áustria</v>
      </c>
      <c r="J1575" t="s">
        <v>12</v>
      </c>
    </row>
    <row r="1576" spans="1:10">
      <c r="A1576">
        <v>2021</v>
      </c>
      <c r="B1576">
        <v>7</v>
      </c>
      <c r="C1576">
        <v>8803</v>
      </c>
      <c r="D1576">
        <v>149</v>
      </c>
      <c r="E1576" t="s">
        <v>10</v>
      </c>
      <c r="F1576">
        <v>3449904</v>
      </c>
      <c r="G1576" s="1">
        <v>2</v>
      </c>
      <c r="H1576" s="2">
        <v>14871</v>
      </c>
      <c r="I1576" t="str">
        <f>VLOOKUP(Tabela1[[#This Row],[CO_PAIS]],'[1]nome do paixs'!$A:$B,2,0)</f>
        <v>Canadá</v>
      </c>
      <c r="J1576" t="s">
        <v>12</v>
      </c>
    </row>
    <row r="1577" spans="1:10">
      <c r="A1577">
        <v>2021</v>
      </c>
      <c r="B1577">
        <v>7</v>
      </c>
      <c r="C1577">
        <v>8803</v>
      </c>
      <c r="D1577">
        <v>249</v>
      </c>
      <c r="E1577" t="s">
        <v>10</v>
      </c>
      <c r="F1577">
        <v>3449904</v>
      </c>
      <c r="G1577" s="1">
        <v>2437</v>
      </c>
      <c r="H1577" s="2">
        <v>2564980</v>
      </c>
      <c r="I1577" t="str">
        <f>VLOOKUP(Tabela1[[#This Row],[CO_PAIS]],'[1]nome do paixs'!$A:$B,2,0)</f>
        <v>Estados Unidos</v>
      </c>
      <c r="J1577" t="s">
        <v>12</v>
      </c>
    </row>
    <row r="1578" spans="1:10">
      <c r="A1578">
        <v>2021</v>
      </c>
      <c r="B1578">
        <v>7</v>
      </c>
      <c r="C1578">
        <v>8803</v>
      </c>
      <c r="D1578">
        <v>190</v>
      </c>
      <c r="E1578" t="s">
        <v>10</v>
      </c>
      <c r="F1578">
        <v>3424402</v>
      </c>
      <c r="G1578" s="1">
        <v>11</v>
      </c>
      <c r="H1578" s="2">
        <v>2674</v>
      </c>
      <c r="I1578" t="str">
        <f>VLOOKUP(Tabela1[[#This Row],[CO_PAIS]],'[1]nome do paixs'!$A:$B,2,0)</f>
        <v>Coreia do Sul</v>
      </c>
      <c r="J1578" t="s">
        <v>13</v>
      </c>
    </row>
    <row r="1579" spans="1:10">
      <c r="A1579">
        <v>2021</v>
      </c>
      <c r="B1579">
        <v>7</v>
      </c>
      <c r="C1579">
        <v>8803</v>
      </c>
      <c r="D1579">
        <v>493</v>
      </c>
      <c r="E1579" t="s">
        <v>10</v>
      </c>
      <c r="F1579">
        <v>3454102</v>
      </c>
      <c r="G1579" s="1">
        <v>8360</v>
      </c>
      <c r="H1579" s="2">
        <v>3443645</v>
      </c>
      <c r="I1579" t="str">
        <f>VLOOKUP(Tabela1[[#This Row],[CO_PAIS]],'[1]nome do paixs'!$A:$B,2,0)</f>
        <v>México</v>
      </c>
      <c r="J1579" t="s">
        <v>11</v>
      </c>
    </row>
    <row r="1580" spans="1:10">
      <c r="A1580">
        <v>2021</v>
      </c>
      <c r="B1580">
        <v>7</v>
      </c>
      <c r="C1580">
        <v>8803</v>
      </c>
      <c r="D1580">
        <v>275</v>
      </c>
      <c r="E1580" t="s">
        <v>10</v>
      </c>
      <c r="F1580">
        <v>3449904</v>
      </c>
      <c r="G1580" s="1">
        <v>229</v>
      </c>
      <c r="H1580" s="2">
        <v>417707</v>
      </c>
      <c r="I1580" t="str">
        <f>VLOOKUP(Tabela1[[#This Row],[CO_PAIS]],'[1]nome do paixs'!$A:$B,2,0)</f>
        <v>França</v>
      </c>
      <c r="J1580" t="s">
        <v>12</v>
      </c>
    </row>
    <row r="1581" spans="1:10">
      <c r="A1581">
        <v>2021</v>
      </c>
      <c r="B1581">
        <v>7</v>
      </c>
      <c r="C1581">
        <v>8803</v>
      </c>
      <c r="D1581">
        <v>249</v>
      </c>
      <c r="E1581" t="s">
        <v>10</v>
      </c>
      <c r="F1581">
        <v>3454102</v>
      </c>
      <c r="G1581" s="1">
        <v>5604</v>
      </c>
      <c r="H1581" s="2">
        <v>1612774</v>
      </c>
      <c r="I1581" t="str">
        <f>VLOOKUP(Tabela1[[#This Row],[CO_PAIS]],'[1]nome do paixs'!$A:$B,2,0)</f>
        <v>Estados Unidos</v>
      </c>
      <c r="J1581" t="s">
        <v>11</v>
      </c>
    </row>
    <row r="1582" spans="1:10">
      <c r="A1582">
        <v>2021</v>
      </c>
      <c r="B1582">
        <v>7</v>
      </c>
      <c r="C1582">
        <v>8803</v>
      </c>
      <c r="D1582">
        <v>245</v>
      </c>
      <c r="E1582" t="s">
        <v>10</v>
      </c>
      <c r="F1582">
        <v>3449904</v>
      </c>
      <c r="G1582" s="1">
        <v>1926</v>
      </c>
      <c r="H1582" s="2">
        <v>722514</v>
      </c>
      <c r="I1582" t="str">
        <f>VLOOKUP(Tabela1[[#This Row],[CO_PAIS]],'[1]nome do paixs'!$A:$B,2,0)</f>
        <v>Espanha</v>
      </c>
      <c r="J1582" t="s">
        <v>12</v>
      </c>
    </row>
    <row r="1583" spans="1:10">
      <c r="A1583">
        <v>2021</v>
      </c>
      <c r="B1583">
        <v>7</v>
      </c>
      <c r="C1583">
        <v>8803</v>
      </c>
      <c r="D1583">
        <v>275</v>
      </c>
      <c r="E1583" t="s">
        <v>10</v>
      </c>
      <c r="F1583">
        <v>3424402</v>
      </c>
      <c r="G1583" s="1">
        <v>137</v>
      </c>
      <c r="H1583" s="2">
        <v>264880</v>
      </c>
      <c r="I1583" t="str">
        <f>VLOOKUP(Tabela1[[#This Row],[CO_PAIS]],'[1]nome do paixs'!$A:$B,2,0)</f>
        <v>França</v>
      </c>
      <c r="J1583" t="s">
        <v>13</v>
      </c>
    </row>
    <row r="1584" spans="1:10">
      <c r="A1584">
        <v>2021</v>
      </c>
      <c r="B1584">
        <v>7</v>
      </c>
      <c r="C1584">
        <v>8803</v>
      </c>
      <c r="D1584">
        <v>105</v>
      </c>
      <c r="E1584" t="s">
        <v>10</v>
      </c>
      <c r="F1584">
        <v>3449904</v>
      </c>
      <c r="G1584" s="1">
        <v>6126</v>
      </c>
      <c r="H1584" s="2">
        <v>3585996</v>
      </c>
      <c r="I1584" t="str">
        <f>VLOOKUP(Tabela1[[#This Row],[CO_PAIS]],'[1]nome do paixs'!$A:$B,2,0)</f>
        <v>Brasil</v>
      </c>
      <c r="J1584" t="s">
        <v>12</v>
      </c>
    </row>
    <row r="1585" spans="1:10">
      <c r="A1585">
        <v>2021</v>
      </c>
      <c r="B1585">
        <v>7</v>
      </c>
      <c r="C1585">
        <v>8803</v>
      </c>
      <c r="D1585">
        <v>399</v>
      </c>
      <c r="E1585" t="s">
        <v>10</v>
      </c>
      <c r="F1585">
        <v>3449904</v>
      </c>
      <c r="G1585" s="1">
        <v>697</v>
      </c>
      <c r="H1585" s="2">
        <v>698324</v>
      </c>
      <c r="I1585" t="str">
        <f>VLOOKUP(Tabela1[[#This Row],[CO_PAIS]],'[1]nome do paixs'!$A:$B,2,0)</f>
        <v>Japão</v>
      </c>
      <c r="J1585" t="s">
        <v>12</v>
      </c>
    </row>
    <row r="1586" spans="1:10">
      <c r="A1586">
        <v>2021</v>
      </c>
      <c r="B1586">
        <v>7</v>
      </c>
      <c r="C1586">
        <v>8803</v>
      </c>
      <c r="D1586">
        <v>87</v>
      </c>
      <c r="E1586" t="s">
        <v>10</v>
      </c>
      <c r="F1586">
        <v>3454102</v>
      </c>
      <c r="G1586" s="1">
        <v>1147</v>
      </c>
      <c r="H1586" s="2">
        <v>1025653</v>
      </c>
      <c r="I1586" t="str">
        <f>VLOOKUP(Tabela1[[#This Row],[CO_PAIS]],'[1]nome do paixs'!$A:$B,2,0)</f>
        <v>Bélgica</v>
      </c>
      <c r="J1586" t="s">
        <v>11</v>
      </c>
    </row>
    <row r="1587" spans="1:10">
      <c r="A1587">
        <v>2021</v>
      </c>
      <c r="B1587">
        <v>7</v>
      </c>
      <c r="C1587">
        <v>8803</v>
      </c>
      <c r="D1587">
        <v>275</v>
      </c>
      <c r="E1587" t="s">
        <v>10</v>
      </c>
      <c r="F1587">
        <v>3454102</v>
      </c>
      <c r="G1587" s="1">
        <v>1823</v>
      </c>
      <c r="H1587" s="2">
        <v>3222239</v>
      </c>
      <c r="I1587" t="str">
        <f>VLOOKUP(Tabela1[[#This Row],[CO_PAIS]],'[1]nome do paixs'!$A:$B,2,0)</f>
        <v>França</v>
      </c>
      <c r="J1587" t="s">
        <v>11</v>
      </c>
    </row>
    <row r="1588" spans="1:10">
      <c r="A1588">
        <v>2021</v>
      </c>
      <c r="B1588">
        <v>7</v>
      </c>
      <c r="C1588">
        <v>8803</v>
      </c>
      <c r="D1588">
        <v>474</v>
      </c>
      <c r="E1588" t="s">
        <v>10</v>
      </c>
      <c r="F1588">
        <v>3454102</v>
      </c>
      <c r="G1588" s="1">
        <v>138</v>
      </c>
      <c r="H1588" s="2">
        <v>246227</v>
      </c>
      <c r="I1588" t="str">
        <f>VLOOKUP(Tabela1[[#This Row],[CO_PAIS]],'[1]nome do paixs'!$A:$B,2,0)</f>
        <v>Marrocos</v>
      </c>
      <c r="J1588" t="s">
        <v>11</v>
      </c>
    </row>
    <row r="1589" spans="1:10">
      <c r="A1589">
        <v>2021</v>
      </c>
      <c r="B1589">
        <v>7</v>
      </c>
      <c r="C1589">
        <v>8803</v>
      </c>
      <c r="D1589">
        <v>105</v>
      </c>
      <c r="E1589" t="s">
        <v>10</v>
      </c>
      <c r="F1589">
        <v>3454102</v>
      </c>
      <c r="G1589" s="1">
        <v>2488</v>
      </c>
      <c r="H1589" s="2">
        <v>1669187</v>
      </c>
      <c r="I1589" t="str">
        <f>VLOOKUP(Tabela1[[#This Row],[CO_PAIS]],'[1]nome do paixs'!$A:$B,2,0)</f>
        <v>Brasil</v>
      </c>
      <c r="J1589" t="s">
        <v>11</v>
      </c>
    </row>
    <row r="1590" spans="1:10">
      <c r="A1590">
        <v>2021</v>
      </c>
      <c r="B1590">
        <v>7</v>
      </c>
      <c r="C1590">
        <v>8803</v>
      </c>
      <c r="D1590">
        <v>386</v>
      </c>
      <c r="E1590" t="s">
        <v>10</v>
      </c>
      <c r="F1590">
        <v>3449904</v>
      </c>
      <c r="G1590" s="1">
        <v>5</v>
      </c>
      <c r="H1590" s="2">
        <v>12039</v>
      </c>
      <c r="I1590" t="str">
        <f>VLOOKUP(Tabela1[[#This Row],[CO_PAIS]],'[1]nome do paixs'!$A:$B,2,0)</f>
        <v>Itália</v>
      </c>
      <c r="J1590" t="s">
        <v>12</v>
      </c>
    </row>
    <row r="1591" spans="1:10">
      <c r="A1591">
        <v>2021</v>
      </c>
      <c r="B1591">
        <v>7</v>
      </c>
      <c r="C1591">
        <v>8803</v>
      </c>
      <c r="D1591">
        <v>493</v>
      </c>
      <c r="E1591" t="s">
        <v>10</v>
      </c>
      <c r="F1591">
        <v>3449904</v>
      </c>
      <c r="G1591" s="1">
        <v>479</v>
      </c>
      <c r="H1591" s="2">
        <v>397968</v>
      </c>
      <c r="I1591" t="str">
        <f>VLOOKUP(Tabela1[[#This Row],[CO_PAIS]],'[1]nome do paixs'!$A:$B,2,0)</f>
        <v>México</v>
      </c>
      <c r="J1591" t="s">
        <v>12</v>
      </c>
    </row>
    <row r="1592" spans="1:10">
      <c r="A1592">
        <v>2021</v>
      </c>
      <c r="B1592">
        <v>7</v>
      </c>
      <c r="C1592">
        <v>8803</v>
      </c>
      <c r="D1592">
        <v>23</v>
      </c>
      <c r="E1592" t="s">
        <v>10</v>
      </c>
      <c r="F1592">
        <v>3454102</v>
      </c>
      <c r="G1592" s="1">
        <v>1804</v>
      </c>
      <c r="H1592" s="2">
        <v>568423</v>
      </c>
      <c r="I1592" t="str">
        <f>VLOOKUP(Tabela1[[#This Row],[CO_PAIS]],'[1]nome do paixs'!$A:$B,2,0)</f>
        <v>Alemanha</v>
      </c>
      <c r="J1592" t="s">
        <v>11</v>
      </c>
    </row>
    <row r="1593" spans="1:10">
      <c r="A1593">
        <v>2021</v>
      </c>
      <c r="B1593">
        <v>7</v>
      </c>
      <c r="C1593">
        <v>8803</v>
      </c>
      <c r="D1593">
        <v>676</v>
      </c>
      <c r="E1593" t="s">
        <v>10</v>
      </c>
      <c r="F1593">
        <v>3449904</v>
      </c>
      <c r="G1593" s="1">
        <v>14</v>
      </c>
      <c r="H1593" s="2">
        <v>11928</v>
      </c>
      <c r="I1593" t="str">
        <f>VLOOKUP(Tabela1[[#This Row],[CO_PAIS]],'[1]nome do paixs'!$A:$B,2,0)</f>
        <v>Rússia</v>
      </c>
      <c r="J1593" t="s">
        <v>12</v>
      </c>
    </row>
    <row r="1594" spans="1:10">
      <c r="A1594">
        <v>2021</v>
      </c>
      <c r="B1594">
        <v>7</v>
      </c>
      <c r="C1594">
        <v>8803</v>
      </c>
      <c r="D1594">
        <v>375</v>
      </c>
      <c r="E1594" t="s">
        <v>10</v>
      </c>
      <c r="F1594">
        <v>3454102</v>
      </c>
      <c r="G1594" s="1">
        <v>38</v>
      </c>
      <c r="H1594" s="2">
        <v>13435</v>
      </c>
      <c r="I1594" t="str">
        <f>VLOOKUP(Tabela1[[#This Row],[CO_PAIS]],'[1]nome do paixs'!$A:$B,2,0)</f>
        <v>Irlanda</v>
      </c>
      <c r="J1594" t="s">
        <v>11</v>
      </c>
    </row>
    <row r="1595" spans="1:10">
      <c r="A1595">
        <v>2021</v>
      </c>
      <c r="B1595">
        <v>7</v>
      </c>
      <c r="C1595">
        <v>8803</v>
      </c>
      <c r="D1595">
        <v>375</v>
      </c>
      <c r="E1595" t="s">
        <v>10</v>
      </c>
      <c r="F1595">
        <v>3449904</v>
      </c>
      <c r="G1595" s="1">
        <v>0</v>
      </c>
      <c r="H1595" s="2">
        <v>155</v>
      </c>
      <c r="I1595" t="str">
        <f>VLOOKUP(Tabela1[[#This Row],[CO_PAIS]],'[1]nome do paixs'!$A:$B,2,0)</f>
        <v>Irlanda</v>
      </c>
      <c r="J1595" t="s">
        <v>12</v>
      </c>
    </row>
    <row r="1596" spans="1:10">
      <c r="A1596">
        <v>2021</v>
      </c>
      <c r="B1596">
        <v>7</v>
      </c>
      <c r="C1596">
        <v>8803</v>
      </c>
      <c r="D1596">
        <v>149</v>
      </c>
      <c r="E1596" t="s">
        <v>10</v>
      </c>
      <c r="F1596">
        <v>3454102</v>
      </c>
      <c r="G1596" s="1">
        <v>35</v>
      </c>
      <c r="H1596" s="2">
        <v>16925</v>
      </c>
      <c r="I1596" t="str">
        <f>VLOOKUP(Tabela1[[#This Row],[CO_PAIS]],'[1]nome do paixs'!$A:$B,2,0)</f>
        <v>Canadá</v>
      </c>
      <c r="J1596" t="s">
        <v>11</v>
      </c>
    </row>
    <row r="1597" spans="1:10">
      <c r="A1597">
        <v>2021</v>
      </c>
      <c r="B1597">
        <v>7</v>
      </c>
      <c r="C1597">
        <v>8803</v>
      </c>
      <c r="D1597">
        <v>72</v>
      </c>
      <c r="E1597" t="s">
        <v>10</v>
      </c>
      <c r="F1597">
        <v>3454102</v>
      </c>
      <c r="G1597" s="1">
        <v>4488</v>
      </c>
      <c r="H1597" s="2">
        <v>575955</v>
      </c>
      <c r="I1597" t="str">
        <f>VLOOKUP(Tabela1[[#This Row],[CO_PAIS]],'[1]nome do paixs'!$A:$B,2,0)</f>
        <v>Áustria</v>
      </c>
      <c r="J1597" t="s">
        <v>11</v>
      </c>
    </row>
    <row r="1598" spans="1:10">
      <c r="A1598">
        <v>2021</v>
      </c>
      <c r="B1598">
        <v>7</v>
      </c>
      <c r="C1598">
        <v>8803</v>
      </c>
      <c r="D1598">
        <v>245</v>
      </c>
      <c r="E1598" t="s">
        <v>10</v>
      </c>
      <c r="F1598">
        <v>3424402</v>
      </c>
      <c r="G1598" s="1">
        <v>56</v>
      </c>
      <c r="H1598" s="2">
        <v>24514</v>
      </c>
      <c r="I1598" t="str">
        <f>VLOOKUP(Tabela1[[#This Row],[CO_PAIS]],'[1]nome do paixs'!$A:$B,2,0)</f>
        <v>Espanha</v>
      </c>
      <c r="J1598" t="s">
        <v>13</v>
      </c>
    </row>
    <row r="1599" spans="1:10">
      <c r="A1599">
        <v>2025</v>
      </c>
      <c r="B1599">
        <v>8</v>
      </c>
      <c r="C1599">
        <v>8807</v>
      </c>
      <c r="D1599">
        <v>160</v>
      </c>
      <c r="E1599" t="s">
        <v>10</v>
      </c>
      <c r="F1599">
        <v>3449904</v>
      </c>
      <c r="G1599" s="1">
        <v>4</v>
      </c>
      <c r="H1599" s="2">
        <v>5100</v>
      </c>
      <c r="I1599" t="str">
        <f>VLOOKUP(Tabela1[[#This Row],[CO_PAIS]],'[1]nome do paixs'!$A:$B,2,0)</f>
        <v>China</v>
      </c>
      <c r="J1599" t="s">
        <v>12</v>
      </c>
    </row>
    <row r="1600" spans="1:10">
      <c r="A1600">
        <v>2025</v>
      </c>
      <c r="B1600">
        <v>8</v>
      </c>
      <c r="C1600">
        <v>8807</v>
      </c>
      <c r="D1600">
        <v>149</v>
      </c>
      <c r="E1600" t="s">
        <v>10</v>
      </c>
      <c r="F1600">
        <v>3449904</v>
      </c>
      <c r="G1600" s="1">
        <v>3</v>
      </c>
      <c r="H1600" s="2">
        <v>5580</v>
      </c>
      <c r="I1600" t="str">
        <f>VLOOKUP(Tabela1[[#This Row],[CO_PAIS]],'[1]nome do paixs'!$A:$B,2,0)</f>
        <v>Canadá</v>
      </c>
      <c r="J1600" t="s">
        <v>12</v>
      </c>
    </row>
    <row r="1601" spans="1:10">
      <c r="A1601">
        <v>2025</v>
      </c>
      <c r="B1601">
        <v>8</v>
      </c>
      <c r="C1601">
        <v>8807</v>
      </c>
      <c r="D1601">
        <v>190</v>
      </c>
      <c r="E1601" t="s">
        <v>10</v>
      </c>
      <c r="F1601">
        <v>3449904</v>
      </c>
      <c r="G1601" s="1">
        <v>174</v>
      </c>
      <c r="H1601" s="2">
        <v>387512</v>
      </c>
      <c r="I1601" t="str">
        <f>VLOOKUP(Tabela1[[#This Row],[CO_PAIS]],'[1]nome do paixs'!$A:$B,2,0)</f>
        <v>Coreia do Sul</v>
      </c>
      <c r="J1601" t="s">
        <v>12</v>
      </c>
    </row>
    <row r="1602" spans="1:10">
      <c r="A1602">
        <v>2025</v>
      </c>
      <c r="B1602">
        <v>8</v>
      </c>
      <c r="C1602">
        <v>8807</v>
      </c>
      <c r="D1602">
        <v>105</v>
      </c>
      <c r="E1602" t="s">
        <v>10</v>
      </c>
      <c r="F1602">
        <v>3449904</v>
      </c>
      <c r="G1602" s="1">
        <v>12680</v>
      </c>
      <c r="H1602" s="2">
        <v>10785099</v>
      </c>
      <c r="I1602" t="str">
        <f>VLOOKUP(Tabela1[[#This Row],[CO_PAIS]],'[1]nome do paixs'!$A:$B,2,0)</f>
        <v>Brasil</v>
      </c>
      <c r="J1602" t="s">
        <v>12</v>
      </c>
    </row>
    <row r="1603" spans="1:10">
      <c r="A1603">
        <v>2025</v>
      </c>
      <c r="B1603">
        <v>8</v>
      </c>
      <c r="C1603">
        <v>8807</v>
      </c>
      <c r="D1603">
        <v>375</v>
      </c>
      <c r="E1603" t="s">
        <v>10</v>
      </c>
      <c r="F1603">
        <v>3408504</v>
      </c>
      <c r="G1603" s="1">
        <v>7</v>
      </c>
      <c r="H1603" s="2">
        <v>4253</v>
      </c>
      <c r="I1603" t="str">
        <f>VLOOKUP(Tabela1[[#This Row],[CO_PAIS]],'[1]nome do paixs'!$A:$B,2,0)</f>
        <v>Irlanda</v>
      </c>
      <c r="J1603" t="s">
        <v>14</v>
      </c>
    </row>
    <row r="1604" spans="1:10">
      <c r="A1604">
        <v>2025</v>
      </c>
      <c r="B1604">
        <v>8</v>
      </c>
      <c r="C1604">
        <v>8807</v>
      </c>
      <c r="D1604">
        <v>607</v>
      </c>
      <c r="E1604" t="s">
        <v>10</v>
      </c>
      <c r="F1604">
        <v>3449904</v>
      </c>
      <c r="G1604" s="1">
        <v>58</v>
      </c>
      <c r="H1604" s="2">
        <v>50471</v>
      </c>
      <c r="I1604" t="str">
        <f>VLOOKUP(Tabela1[[#This Row],[CO_PAIS]],'[1]nome do paixs'!$A:$B,2,0)</f>
        <v>Portugal</v>
      </c>
      <c r="J1604" t="s">
        <v>12</v>
      </c>
    </row>
    <row r="1605" spans="1:10">
      <c r="A1605">
        <v>2025</v>
      </c>
      <c r="B1605">
        <v>8</v>
      </c>
      <c r="C1605">
        <v>8807</v>
      </c>
      <c r="D1605">
        <v>455</v>
      </c>
      <c r="E1605" t="s">
        <v>10</v>
      </c>
      <c r="F1605">
        <v>3454102</v>
      </c>
      <c r="G1605" s="1">
        <v>2406</v>
      </c>
      <c r="H1605" s="2">
        <v>343542</v>
      </c>
      <c r="I1605" t="str">
        <f>VLOOKUP(Tabela1[[#This Row],[CO_PAIS]],'[1]nome do paixs'!$A:$B,2,0)</f>
        <v>Malásia</v>
      </c>
      <c r="J1605" t="s">
        <v>11</v>
      </c>
    </row>
    <row r="1606" spans="1:10">
      <c r="A1606">
        <v>2025</v>
      </c>
      <c r="B1606">
        <v>8</v>
      </c>
      <c r="C1606">
        <v>8807</v>
      </c>
      <c r="D1606">
        <v>72</v>
      </c>
      <c r="E1606" t="s">
        <v>10</v>
      </c>
      <c r="F1606">
        <v>3408504</v>
      </c>
      <c r="G1606" s="1">
        <v>0</v>
      </c>
      <c r="H1606" s="2">
        <v>184</v>
      </c>
      <c r="I1606" t="str">
        <f>VLOOKUP(Tabela1[[#This Row],[CO_PAIS]],'[1]nome do paixs'!$A:$B,2,0)</f>
        <v>Áustria</v>
      </c>
      <c r="J1606" t="s">
        <v>14</v>
      </c>
    </row>
    <row r="1607" spans="1:10">
      <c r="A1607">
        <v>2025</v>
      </c>
      <c r="B1607">
        <v>8</v>
      </c>
      <c r="C1607">
        <v>8807</v>
      </c>
      <c r="D1607">
        <v>607</v>
      </c>
      <c r="E1607" t="s">
        <v>10</v>
      </c>
      <c r="F1607">
        <v>3454102</v>
      </c>
      <c r="G1607" s="1">
        <v>17837</v>
      </c>
      <c r="H1607" s="2">
        <v>6421520</v>
      </c>
      <c r="I1607" t="str">
        <f>VLOOKUP(Tabela1[[#This Row],[CO_PAIS]],'[1]nome do paixs'!$A:$B,2,0)</f>
        <v>Portugal</v>
      </c>
      <c r="J1607" t="s">
        <v>11</v>
      </c>
    </row>
    <row r="1608" spans="1:10">
      <c r="A1608">
        <v>2025</v>
      </c>
      <c r="B1608">
        <v>8</v>
      </c>
      <c r="C1608">
        <v>8807</v>
      </c>
      <c r="D1608">
        <v>275</v>
      </c>
      <c r="E1608" t="s">
        <v>10</v>
      </c>
      <c r="F1608">
        <v>3454102</v>
      </c>
      <c r="G1608" s="1">
        <v>1699</v>
      </c>
      <c r="H1608" s="2">
        <v>2301232</v>
      </c>
      <c r="I1608" t="str">
        <f>VLOOKUP(Tabela1[[#This Row],[CO_PAIS]],'[1]nome do paixs'!$A:$B,2,0)</f>
        <v>França</v>
      </c>
      <c r="J1608" t="s">
        <v>11</v>
      </c>
    </row>
    <row r="1609" spans="1:10">
      <c r="A1609">
        <v>2025</v>
      </c>
      <c r="B1609">
        <v>8</v>
      </c>
      <c r="C1609">
        <v>8807</v>
      </c>
      <c r="D1609">
        <v>245</v>
      </c>
      <c r="E1609" t="s">
        <v>10</v>
      </c>
      <c r="F1609">
        <v>3408504</v>
      </c>
      <c r="G1609" s="1">
        <v>26</v>
      </c>
      <c r="H1609" s="2">
        <v>43419</v>
      </c>
      <c r="I1609" t="str">
        <f>VLOOKUP(Tabela1[[#This Row],[CO_PAIS]],'[1]nome do paixs'!$A:$B,2,0)</f>
        <v>Espanha</v>
      </c>
      <c r="J1609" t="s">
        <v>14</v>
      </c>
    </row>
    <row r="1610" spans="1:10">
      <c r="A1610">
        <v>2025</v>
      </c>
      <c r="B1610">
        <v>8</v>
      </c>
      <c r="C1610">
        <v>8807</v>
      </c>
      <c r="D1610">
        <v>249</v>
      </c>
      <c r="E1610" t="s">
        <v>10</v>
      </c>
      <c r="F1610">
        <v>3454102</v>
      </c>
      <c r="G1610" s="1">
        <v>59725</v>
      </c>
      <c r="H1610" s="2">
        <v>12656351</v>
      </c>
      <c r="I1610" t="str">
        <f>VLOOKUP(Tabela1[[#This Row],[CO_PAIS]],'[1]nome do paixs'!$A:$B,2,0)</f>
        <v>Estados Unidos</v>
      </c>
      <c r="J1610" t="s">
        <v>11</v>
      </c>
    </row>
    <row r="1611" spans="1:10">
      <c r="A1611">
        <v>2025</v>
      </c>
      <c r="B1611">
        <v>8</v>
      </c>
      <c r="C1611">
        <v>8807</v>
      </c>
      <c r="D1611">
        <v>249</v>
      </c>
      <c r="E1611" t="s">
        <v>10</v>
      </c>
      <c r="F1611">
        <v>3449904</v>
      </c>
      <c r="G1611" s="1">
        <v>8826</v>
      </c>
      <c r="H1611" s="2">
        <v>6085877</v>
      </c>
      <c r="I1611" t="str">
        <f>VLOOKUP(Tabela1[[#This Row],[CO_PAIS]],'[1]nome do paixs'!$A:$B,2,0)</f>
        <v>Estados Unidos</v>
      </c>
      <c r="J1611" t="s">
        <v>12</v>
      </c>
    </row>
    <row r="1612" spans="1:10">
      <c r="A1612">
        <v>2025</v>
      </c>
      <c r="B1612">
        <v>8</v>
      </c>
      <c r="C1612">
        <v>8807</v>
      </c>
      <c r="D1612">
        <v>149</v>
      </c>
      <c r="E1612" t="s">
        <v>10</v>
      </c>
      <c r="F1612">
        <v>3454102</v>
      </c>
      <c r="G1612" s="1">
        <v>39</v>
      </c>
      <c r="H1612" s="2">
        <v>48788</v>
      </c>
      <c r="I1612" t="str">
        <f>VLOOKUP(Tabela1[[#This Row],[CO_PAIS]],'[1]nome do paixs'!$A:$B,2,0)</f>
        <v>Canadá</v>
      </c>
      <c r="J1612" t="s">
        <v>11</v>
      </c>
    </row>
    <row r="1613" spans="1:10">
      <c r="A1613">
        <v>2025</v>
      </c>
      <c r="B1613">
        <v>8</v>
      </c>
      <c r="C1613">
        <v>8807</v>
      </c>
      <c r="D1613">
        <v>383</v>
      </c>
      <c r="E1613" t="s">
        <v>10</v>
      </c>
      <c r="F1613">
        <v>3449904</v>
      </c>
      <c r="G1613" s="1">
        <v>1</v>
      </c>
      <c r="H1613" s="2">
        <v>5109</v>
      </c>
      <c r="I1613" t="str">
        <f>VLOOKUP(Tabela1[[#This Row],[CO_PAIS]],'[1]nome do paixs'!$A:$B,2,0)</f>
        <v>Israel</v>
      </c>
      <c r="J1613" t="s">
        <v>12</v>
      </c>
    </row>
    <row r="1614" spans="1:10">
      <c r="A1614">
        <v>2025</v>
      </c>
      <c r="B1614">
        <v>8</v>
      </c>
      <c r="C1614">
        <v>8807</v>
      </c>
      <c r="D1614">
        <v>190</v>
      </c>
      <c r="E1614" t="s">
        <v>10</v>
      </c>
      <c r="F1614">
        <v>3454102</v>
      </c>
      <c r="G1614" s="1">
        <v>6849</v>
      </c>
      <c r="H1614" s="2">
        <v>5017862</v>
      </c>
      <c r="I1614" t="str">
        <f>VLOOKUP(Tabela1[[#This Row],[CO_PAIS]],'[1]nome do paixs'!$A:$B,2,0)</f>
        <v>Coreia do Sul</v>
      </c>
      <c r="J1614" t="s">
        <v>11</v>
      </c>
    </row>
    <row r="1615" spans="1:10">
      <c r="A1615">
        <v>2025</v>
      </c>
      <c r="B1615">
        <v>8</v>
      </c>
      <c r="C1615">
        <v>8807</v>
      </c>
      <c r="D1615">
        <v>105</v>
      </c>
      <c r="E1615" t="s">
        <v>10</v>
      </c>
      <c r="F1615">
        <v>3408504</v>
      </c>
      <c r="G1615" s="1">
        <v>621</v>
      </c>
      <c r="H1615" s="2">
        <v>790080</v>
      </c>
      <c r="I1615" t="str">
        <f>VLOOKUP(Tabela1[[#This Row],[CO_PAIS]],'[1]nome do paixs'!$A:$B,2,0)</f>
        <v>Brasil</v>
      </c>
      <c r="J1615" t="s">
        <v>14</v>
      </c>
    </row>
    <row r="1616" spans="1:10">
      <c r="A1616">
        <v>2025</v>
      </c>
      <c r="B1616">
        <v>8</v>
      </c>
      <c r="C1616">
        <v>8807</v>
      </c>
      <c r="D1616">
        <v>87</v>
      </c>
      <c r="E1616" t="s">
        <v>10</v>
      </c>
      <c r="F1616">
        <v>3408504</v>
      </c>
      <c r="G1616" s="1">
        <v>0</v>
      </c>
      <c r="H1616" s="2">
        <v>2071</v>
      </c>
      <c r="I1616" t="str">
        <f>VLOOKUP(Tabela1[[#This Row],[CO_PAIS]],'[1]nome do paixs'!$A:$B,2,0)</f>
        <v>Bélgica</v>
      </c>
      <c r="J1616" t="s">
        <v>14</v>
      </c>
    </row>
    <row r="1617" spans="1:10">
      <c r="A1617">
        <v>2025</v>
      </c>
      <c r="B1617">
        <v>8</v>
      </c>
      <c r="C1617">
        <v>8807</v>
      </c>
      <c r="D1617">
        <v>628</v>
      </c>
      <c r="E1617" t="s">
        <v>10</v>
      </c>
      <c r="F1617">
        <v>3449904</v>
      </c>
      <c r="G1617" s="1">
        <v>719</v>
      </c>
      <c r="H1617" s="2">
        <v>881243</v>
      </c>
      <c r="I1617" t="str">
        <f>VLOOKUP(Tabela1[[#This Row],[CO_PAIS]],'[1]nome do paixs'!$A:$B,2,0)</f>
        <v>Reino Unido</v>
      </c>
      <c r="J1617" t="s">
        <v>12</v>
      </c>
    </row>
    <row r="1618" spans="1:10">
      <c r="A1618">
        <v>2025</v>
      </c>
      <c r="B1618">
        <v>8</v>
      </c>
      <c r="C1618">
        <v>8807</v>
      </c>
      <c r="D1618">
        <v>361</v>
      </c>
      <c r="E1618" t="s">
        <v>10</v>
      </c>
      <c r="F1618">
        <v>3449904</v>
      </c>
      <c r="G1618" s="1">
        <v>1177</v>
      </c>
      <c r="H1618" s="2">
        <v>624181</v>
      </c>
      <c r="I1618" t="str">
        <f>VLOOKUP(Tabela1[[#This Row],[CO_PAIS]],'[1]nome do paixs'!$A:$B,2,0)</f>
        <v>Índia</v>
      </c>
      <c r="J1618" t="s">
        <v>12</v>
      </c>
    </row>
    <row r="1619" spans="1:10">
      <c r="A1619">
        <v>2025</v>
      </c>
      <c r="B1619">
        <v>8</v>
      </c>
      <c r="C1619">
        <v>8807</v>
      </c>
      <c r="D1619">
        <v>275</v>
      </c>
      <c r="E1619" t="s">
        <v>10</v>
      </c>
      <c r="F1619">
        <v>3424402</v>
      </c>
      <c r="G1619" s="1">
        <v>319</v>
      </c>
      <c r="H1619" s="2">
        <v>472374</v>
      </c>
      <c r="I1619" t="str">
        <f>VLOOKUP(Tabela1[[#This Row],[CO_PAIS]],'[1]nome do paixs'!$A:$B,2,0)</f>
        <v>França</v>
      </c>
      <c r="J1619" t="s">
        <v>13</v>
      </c>
    </row>
    <row r="1620" spans="1:10">
      <c r="A1620">
        <v>2025</v>
      </c>
      <c r="B1620">
        <v>8</v>
      </c>
      <c r="C1620">
        <v>8807</v>
      </c>
      <c r="D1620">
        <v>72</v>
      </c>
      <c r="E1620" t="s">
        <v>10</v>
      </c>
      <c r="F1620">
        <v>3449904</v>
      </c>
      <c r="G1620" s="1">
        <v>4</v>
      </c>
      <c r="H1620" s="2">
        <v>9334</v>
      </c>
      <c r="I1620" t="str">
        <f>VLOOKUP(Tabela1[[#This Row],[CO_PAIS]],'[1]nome do paixs'!$A:$B,2,0)</f>
        <v>Áustria</v>
      </c>
      <c r="J1620" t="s">
        <v>12</v>
      </c>
    </row>
    <row r="1621" spans="1:10">
      <c r="A1621">
        <v>2025</v>
      </c>
      <c r="B1621">
        <v>8</v>
      </c>
      <c r="C1621">
        <v>8807</v>
      </c>
      <c r="D1621">
        <v>87</v>
      </c>
      <c r="E1621" t="s">
        <v>10</v>
      </c>
      <c r="F1621">
        <v>3454102</v>
      </c>
      <c r="G1621" s="1">
        <v>2007</v>
      </c>
      <c r="H1621" s="2">
        <v>1617748</v>
      </c>
      <c r="I1621" t="str">
        <f>VLOOKUP(Tabela1[[#This Row],[CO_PAIS]],'[1]nome do paixs'!$A:$B,2,0)</f>
        <v>Bélgica</v>
      </c>
      <c r="J1621" t="s">
        <v>11</v>
      </c>
    </row>
    <row r="1622" spans="1:10">
      <c r="A1622">
        <v>2025</v>
      </c>
      <c r="B1622">
        <v>8</v>
      </c>
      <c r="C1622">
        <v>8807</v>
      </c>
      <c r="D1622">
        <v>190</v>
      </c>
      <c r="E1622" t="s">
        <v>10</v>
      </c>
      <c r="F1622">
        <v>3424402</v>
      </c>
      <c r="G1622" s="1">
        <v>98</v>
      </c>
      <c r="H1622" s="2">
        <v>38587</v>
      </c>
      <c r="I1622" t="str">
        <f>VLOOKUP(Tabela1[[#This Row],[CO_PAIS]],'[1]nome do paixs'!$A:$B,2,0)</f>
        <v>Coreia do Sul</v>
      </c>
      <c r="J1622" t="s">
        <v>13</v>
      </c>
    </row>
    <row r="1623" spans="1:10">
      <c r="A1623">
        <v>2025</v>
      </c>
      <c r="B1623">
        <v>8</v>
      </c>
      <c r="C1623">
        <v>8807</v>
      </c>
      <c r="D1623">
        <v>72</v>
      </c>
      <c r="E1623" t="s">
        <v>10</v>
      </c>
      <c r="F1623">
        <v>3454102</v>
      </c>
      <c r="G1623" s="1">
        <v>13546</v>
      </c>
      <c r="H1623" s="2">
        <v>2944092</v>
      </c>
      <c r="I1623" t="str">
        <f>VLOOKUP(Tabela1[[#This Row],[CO_PAIS]],'[1]nome do paixs'!$A:$B,2,0)</f>
        <v>Áustria</v>
      </c>
      <c r="J1623" t="s">
        <v>11</v>
      </c>
    </row>
    <row r="1624" spans="1:10">
      <c r="A1624">
        <v>2025</v>
      </c>
      <c r="B1624">
        <v>8</v>
      </c>
      <c r="C1624">
        <v>8807</v>
      </c>
      <c r="D1624">
        <v>493</v>
      </c>
      <c r="E1624" t="s">
        <v>10</v>
      </c>
      <c r="F1624">
        <v>3449904</v>
      </c>
      <c r="G1624" s="1">
        <v>1933</v>
      </c>
      <c r="H1624" s="2">
        <v>1635884</v>
      </c>
      <c r="I1624" t="str">
        <f>VLOOKUP(Tabela1[[#This Row],[CO_PAIS]],'[1]nome do paixs'!$A:$B,2,0)</f>
        <v>México</v>
      </c>
      <c r="J1624" t="s">
        <v>12</v>
      </c>
    </row>
    <row r="1625" spans="1:10">
      <c r="A1625">
        <v>2025</v>
      </c>
      <c r="B1625">
        <v>8</v>
      </c>
      <c r="C1625">
        <v>8807</v>
      </c>
      <c r="D1625">
        <v>493</v>
      </c>
      <c r="E1625" t="s">
        <v>10</v>
      </c>
      <c r="F1625">
        <v>3454102</v>
      </c>
      <c r="G1625" s="1">
        <v>15389</v>
      </c>
      <c r="H1625" s="2">
        <v>8455599</v>
      </c>
      <c r="I1625" t="str">
        <f>VLOOKUP(Tabela1[[#This Row],[CO_PAIS]],'[1]nome do paixs'!$A:$B,2,0)</f>
        <v>México</v>
      </c>
      <c r="J1625" t="s">
        <v>11</v>
      </c>
    </row>
    <row r="1626" spans="1:10">
      <c r="A1626">
        <v>2025</v>
      </c>
      <c r="B1626">
        <v>8</v>
      </c>
      <c r="C1626">
        <v>8807</v>
      </c>
      <c r="D1626">
        <v>105</v>
      </c>
      <c r="E1626" t="s">
        <v>10</v>
      </c>
      <c r="F1626">
        <v>3454102</v>
      </c>
      <c r="G1626" s="1">
        <v>6476</v>
      </c>
      <c r="H1626" s="2">
        <v>5888158</v>
      </c>
      <c r="I1626" t="str">
        <f>VLOOKUP(Tabela1[[#This Row],[CO_PAIS]],'[1]nome do paixs'!$A:$B,2,0)</f>
        <v>Brasil</v>
      </c>
      <c r="J1626" t="s">
        <v>11</v>
      </c>
    </row>
    <row r="1627" spans="1:10">
      <c r="A1627">
        <v>2025</v>
      </c>
      <c r="B1627">
        <v>8</v>
      </c>
      <c r="C1627">
        <v>8807</v>
      </c>
      <c r="D1627">
        <v>87</v>
      </c>
      <c r="E1627" t="s">
        <v>10</v>
      </c>
      <c r="F1627">
        <v>3449904</v>
      </c>
      <c r="G1627" s="1">
        <v>6859</v>
      </c>
      <c r="H1627" s="2">
        <v>4173415</v>
      </c>
      <c r="I1627" t="str">
        <f>VLOOKUP(Tabela1[[#This Row],[CO_PAIS]],'[1]nome do paixs'!$A:$B,2,0)</f>
        <v>Bélgica</v>
      </c>
      <c r="J1627" t="s">
        <v>12</v>
      </c>
    </row>
    <row r="1628" spans="1:10">
      <c r="A1628">
        <v>2025</v>
      </c>
      <c r="B1628">
        <v>8</v>
      </c>
      <c r="C1628">
        <v>8807</v>
      </c>
      <c r="D1628">
        <v>23</v>
      </c>
      <c r="E1628" t="s">
        <v>10</v>
      </c>
      <c r="F1628">
        <v>3449904</v>
      </c>
      <c r="G1628" s="1">
        <v>613</v>
      </c>
      <c r="H1628" s="2">
        <v>413736</v>
      </c>
      <c r="I1628" t="str">
        <f>VLOOKUP(Tabela1[[#This Row],[CO_PAIS]],'[1]nome do paixs'!$A:$B,2,0)</f>
        <v>Alemanha</v>
      </c>
      <c r="J1628" t="s">
        <v>12</v>
      </c>
    </row>
    <row r="1629" spans="1:10">
      <c r="A1629">
        <v>2025</v>
      </c>
      <c r="B1629">
        <v>8</v>
      </c>
      <c r="C1629">
        <v>8807</v>
      </c>
      <c r="D1629">
        <v>245</v>
      </c>
      <c r="E1629" t="s">
        <v>10</v>
      </c>
      <c r="F1629">
        <v>3449904</v>
      </c>
      <c r="G1629" s="1">
        <v>3797</v>
      </c>
      <c r="H1629" s="2">
        <v>1519903</v>
      </c>
      <c r="I1629" t="str">
        <f>VLOOKUP(Tabela1[[#This Row],[CO_PAIS]],'[1]nome do paixs'!$A:$B,2,0)</f>
        <v>Espanha</v>
      </c>
      <c r="J1629" t="s">
        <v>12</v>
      </c>
    </row>
    <row r="1630" spans="1:10">
      <c r="A1630">
        <v>2025</v>
      </c>
      <c r="B1630">
        <v>8</v>
      </c>
      <c r="C1630">
        <v>8807</v>
      </c>
      <c r="D1630">
        <v>23</v>
      </c>
      <c r="E1630" t="s">
        <v>10</v>
      </c>
      <c r="F1630">
        <v>3454102</v>
      </c>
      <c r="G1630" s="1">
        <v>11550</v>
      </c>
      <c r="H1630" s="2">
        <v>1224043</v>
      </c>
      <c r="I1630" t="str">
        <f>VLOOKUP(Tabela1[[#This Row],[CO_PAIS]],'[1]nome do paixs'!$A:$B,2,0)</f>
        <v>Alemanha</v>
      </c>
      <c r="J1630" t="s">
        <v>11</v>
      </c>
    </row>
    <row r="1631" spans="1:10">
      <c r="A1631">
        <v>2025</v>
      </c>
      <c r="B1631">
        <v>8</v>
      </c>
      <c r="C1631">
        <v>8807</v>
      </c>
      <c r="D1631">
        <v>375</v>
      </c>
      <c r="E1631" t="s">
        <v>10</v>
      </c>
      <c r="F1631">
        <v>3449904</v>
      </c>
      <c r="G1631" s="1">
        <v>63</v>
      </c>
      <c r="H1631" s="2">
        <v>37979</v>
      </c>
      <c r="I1631" t="str">
        <f>VLOOKUP(Tabela1[[#This Row],[CO_PAIS]],'[1]nome do paixs'!$A:$B,2,0)</f>
        <v>Irlanda</v>
      </c>
      <c r="J1631" t="s">
        <v>12</v>
      </c>
    </row>
    <row r="1632" spans="1:10">
      <c r="A1632">
        <v>2025</v>
      </c>
      <c r="B1632">
        <v>8</v>
      </c>
      <c r="C1632">
        <v>8807</v>
      </c>
      <c r="D1632">
        <v>23</v>
      </c>
      <c r="E1632" t="s">
        <v>10</v>
      </c>
      <c r="F1632">
        <v>3424402</v>
      </c>
      <c r="G1632" s="1">
        <v>19</v>
      </c>
      <c r="H1632" s="2">
        <v>48186</v>
      </c>
      <c r="I1632" t="str">
        <f>VLOOKUP(Tabela1[[#This Row],[CO_PAIS]],'[1]nome do paixs'!$A:$B,2,0)</f>
        <v>Alemanha</v>
      </c>
      <c r="J1632" t="s">
        <v>13</v>
      </c>
    </row>
    <row r="1633" spans="1:10">
      <c r="A1633">
        <v>2025</v>
      </c>
      <c r="B1633">
        <v>8</v>
      </c>
      <c r="C1633">
        <v>8807</v>
      </c>
      <c r="D1633">
        <v>63</v>
      </c>
      <c r="E1633" t="s">
        <v>10</v>
      </c>
      <c r="F1633">
        <v>3449904</v>
      </c>
      <c r="G1633" s="1">
        <v>0</v>
      </c>
      <c r="H1633" s="2">
        <v>1169</v>
      </c>
      <c r="I1633" t="str">
        <f>VLOOKUP(Tabela1[[#This Row],[CO_PAIS]],'[1]nome do paixs'!$A:$B,2,0)</f>
        <v>Argentina</v>
      </c>
      <c r="J1633" t="s">
        <v>12</v>
      </c>
    </row>
    <row r="1634" spans="1:10">
      <c r="A1634">
        <v>2025</v>
      </c>
      <c r="B1634">
        <v>8</v>
      </c>
      <c r="C1634">
        <v>8807</v>
      </c>
      <c r="D1634">
        <v>741</v>
      </c>
      <c r="E1634" t="s">
        <v>10</v>
      </c>
      <c r="F1634">
        <v>3449904</v>
      </c>
      <c r="G1634" s="1">
        <v>47</v>
      </c>
      <c r="H1634" s="2">
        <v>54070</v>
      </c>
      <c r="I1634" t="str">
        <f>VLOOKUP(Tabela1[[#This Row],[CO_PAIS]],'[1]nome do paixs'!$A:$B,2,0)</f>
        <v>Singapura</v>
      </c>
      <c r="J1634" t="s">
        <v>12</v>
      </c>
    </row>
    <row r="1635" spans="1:10">
      <c r="A1635">
        <v>2025</v>
      </c>
      <c r="B1635">
        <v>8</v>
      </c>
      <c r="C1635">
        <v>8807</v>
      </c>
      <c r="D1635">
        <v>461</v>
      </c>
      <c r="E1635" t="s">
        <v>10</v>
      </c>
      <c r="F1635">
        <v>3449904</v>
      </c>
      <c r="G1635" s="1">
        <v>2</v>
      </c>
      <c r="H1635" s="2">
        <v>78820</v>
      </c>
      <c r="I1635" t="str">
        <f>VLOOKUP(Tabela1[[#This Row],[CO_PAIS]],'[1]nome do paixs'!$A:$B,2,0)</f>
        <v>Maldivas</v>
      </c>
      <c r="J1635" t="s">
        <v>12</v>
      </c>
    </row>
    <row r="1636" spans="1:10">
      <c r="A1636">
        <v>2025</v>
      </c>
      <c r="B1636">
        <v>8</v>
      </c>
      <c r="C1636">
        <v>8807</v>
      </c>
      <c r="D1636">
        <v>676</v>
      </c>
      <c r="E1636" t="s">
        <v>10</v>
      </c>
      <c r="F1636">
        <v>3454102</v>
      </c>
      <c r="G1636" s="1">
        <v>2702</v>
      </c>
      <c r="H1636" s="2">
        <v>242219</v>
      </c>
      <c r="I1636" t="str">
        <f>VLOOKUP(Tabela1[[#This Row],[CO_PAIS]],'[1]nome do paixs'!$A:$B,2,0)</f>
        <v>Rússia</v>
      </c>
      <c r="J1636" t="s">
        <v>11</v>
      </c>
    </row>
    <row r="1637" spans="1:10">
      <c r="A1637">
        <v>2025</v>
      </c>
      <c r="B1637">
        <v>8</v>
      </c>
      <c r="C1637">
        <v>8807</v>
      </c>
      <c r="D1637">
        <v>249</v>
      </c>
      <c r="E1637" t="s">
        <v>10</v>
      </c>
      <c r="F1637">
        <v>3424402</v>
      </c>
      <c r="G1637" s="1">
        <v>1276</v>
      </c>
      <c r="H1637" s="2">
        <v>317849</v>
      </c>
      <c r="I1637" t="str">
        <f>VLOOKUP(Tabela1[[#This Row],[CO_PAIS]],'[1]nome do paixs'!$A:$B,2,0)</f>
        <v>Estados Unidos</v>
      </c>
      <c r="J1637" t="s">
        <v>13</v>
      </c>
    </row>
    <row r="1638" spans="1:10">
      <c r="A1638">
        <v>2025</v>
      </c>
      <c r="B1638">
        <v>8</v>
      </c>
      <c r="C1638">
        <v>8807</v>
      </c>
      <c r="D1638">
        <v>386</v>
      </c>
      <c r="E1638" t="s">
        <v>10</v>
      </c>
      <c r="F1638">
        <v>3449904</v>
      </c>
      <c r="G1638" s="1">
        <v>12</v>
      </c>
      <c r="H1638" s="2">
        <v>11990</v>
      </c>
      <c r="I1638" t="str">
        <f>VLOOKUP(Tabela1[[#This Row],[CO_PAIS]],'[1]nome do paixs'!$A:$B,2,0)</f>
        <v>Itália</v>
      </c>
      <c r="J1638" t="s">
        <v>12</v>
      </c>
    </row>
    <row r="1639" spans="1:10">
      <c r="A1639">
        <v>2025</v>
      </c>
      <c r="B1639">
        <v>8</v>
      </c>
      <c r="C1639">
        <v>8807</v>
      </c>
      <c r="D1639">
        <v>87</v>
      </c>
      <c r="E1639" t="s">
        <v>10</v>
      </c>
      <c r="F1639">
        <v>3424402</v>
      </c>
      <c r="G1639" s="1">
        <v>6</v>
      </c>
      <c r="H1639" s="2">
        <v>12838</v>
      </c>
      <c r="I1639" t="str">
        <f>VLOOKUP(Tabela1[[#This Row],[CO_PAIS]],'[1]nome do paixs'!$A:$B,2,0)</f>
        <v>Bélgica</v>
      </c>
      <c r="J1639" t="s">
        <v>13</v>
      </c>
    </row>
    <row r="1640" spans="1:10">
      <c r="A1640">
        <v>2025</v>
      </c>
      <c r="B1640">
        <v>8</v>
      </c>
      <c r="C1640">
        <v>8807</v>
      </c>
      <c r="D1640">
        <v>791</v>
      </c>
      <c r="E1640" t="s">
        <v>10</v>
      </c>
      <c r="F1640">
        <v>3424402</v>
      </c>
      <c r="G1640" s="1">
        <v>132</v>
      </c>
      <c r="H1640" s="2">
        <v>82989</v>
      </c>
      <c r="I1640" t="str">
        <f>VLOOKUP(Tabela1[[#This Row],[CO_PAIS]],'[1]nome do paixs'!$A:$B,2,0)</f>
        <v>Tcheca, República</v>
      </c>
      <c r="J1640" t="s">
        <v>13</v>
      </c>
    </row>
    <row r="1641" spans="1:10">
      <c r="A1641">
        <v>2025</v>
      </c>
      <c r="B1641">
        <v>8</v>
      </c>
      <c r="C1641">
        <v>8807</v>
      </c>
      <c r="D1641">
        <v>827</v>
      </c>
      <c r="E1641" t="s">
        <v>10</v>
      </c>
      <c r="F1641">
        <v>3449904</v>
      </c>
      <c r="G1641" s="1">
        <v>1</v>
      </c>
      <c r="H1641" s="2">
        <v>864</v>
      </c>
      <c r="I1641" t="str">
        <f>VLOOKUP(Tabela1[[#This Row],[CO_PAIS]],'[1]nome do paixs'!$A:$B,2,0)</f>
        <v>Turquia</v>
      </c>
      <c r="J1641" t="s">
        <v>12</v>
      </c>
    </row>
    <row r="1642" spans="1:10">
      <c r="A1642">
        <v>2025</v>
      </c>
      <c r="B1642">
        <v>8</v>
      </c>
      <c r="C1642">
        <v>8807</v>
      </c>
      <c r="D1642">
        <v>399</v>
      </c>
      <c r="E1642" t="s">
        <v>10</v>
      </c>
      <c r="F1642">
        <v>3449904</v>
      </c>
      <c r="G1642" s="1">
        <v>622</v>
      </c>
      <c r="H1642" s="2">
        <v>519143</v>
      </c>
      <c r="I1642" t="str">
        <f>VLOOKUP(Tabela1[[#This Row],[CO_PAIS]],'[1]nome do paixs'!$A:$B,2,0)</f>
        <v>Japão</v>
      </c>
      <c r="J1642" t="s">
        <v>12</v>
      </c>
    </row>
    <row r="1643" spans="1:10">
      <c r="A1643">
        <v>2025</v>
      </c>
      <c r="B1643">
        <v>8</v>
      </c>
      <c r="C1643">
        <v>8807</v>
      </c>
      <c r="D1643">
        <v>275</v>
      </c>
      <c r="E1643" t="s">
        <v>10</v>
      </c>
      <c r="F1643">
        <v>3408504</v>
      </c>
      <c r="G1643" s="1">
        <v>6</v>
      </c>
      <c r="H1643" s="2">
        <v>14437</v>
      </c>
      <c r="I1643" t="str">
        <f>VLOOKUP(Tabela1[[#This Row],[CO_PAIS]],'[1]nome do paixs'!$A:$B,2,0)</f>
        <v>França</v>
      </c>
      <c r="J1643" t="s">
        <v>14</v>
      </c>
    </row>
    <row r="1644" spans="1:10">
      <c r="A1644">
        <v>2025</v>
      </c>
      <c r="B1644">
        <v>8</v>
      </c>
      <c r="C1644">
        <v>8807</v>
      </c>
      <c r="D1644">
        <v>386</v>
      </c>
      <c r="E1644" t="s">
        <v>10</v>
      </c>
      <c r="F1644">
        <v>3454102</v>
      </c>
      <c r="G1644" s="1">
        <v>576</v>
      </c>
      <c r="H1644" s="2">
        <v>1634678</v>
      </c>
      <c r="I1644" t="str">
        <f>VLOOKUP(Tabela1[[#This Row],[CO_PAIS]],'[1]nome do paixs'!$A:$B,2,0)</f>
        <v>Itália</v>
      </c>
      <c r="J1644" t="s">
        <v>11</v>
      </c>
    </row>
    <row r="1645" spans="1:10">
      <c r="A1645">
        <v>2025</v>
      </c>
      <c r="B1645">
        <v>8</v>
      </c>
      <c r="C1645">
        <v>8807</v>
      </c>
      <c r="D1645">
        <v>493</v>
      </c>
      <c r="E1645" t="s">
        <v>10</v>
      </c>
      <c r="F1645">
        <v>3424402</v>
      </c>
      <c r="G1645" s="1">
        <v>57</v>
      </c>
      <c r="H1645" s="2">
        <v>125423</v>
      </c>
      <c r="I1645" t="str">
        <f>VLOOKUP(Tabela1[[#This Row],[CO_PAIS]],'[1]nome do paixs'!$A:$B,2,0)</f>
        <v>México</v>
      </c>
      <c r="J1645" t="s">
        <v>13</v>
      </c>
    </row>
    <row r="1646" spans="1:10">
      <c r="A1646">
        <v>2025</v>
      </c>
      <c r="B1646">
        <v>8</v>
      </c>
      <c r="C1646">
        <v>8807</v>
      </c>
      <c r="D1646">
        <v>607</v>
      </c>
      <c r="E1646" t="s">
        <v>10</v>
      </c>
      <c r="F1646">
        <v>3408504</v>
      </c>
      <c r="G1646" s="1">
        <v>135</v>
      </c>
      <c r="H1646" s="2">
        <v>65703</v>
      </c>
      <c r="I1646" t="str">
        <f>VLOOKUP(Tabela1[[#This Row],[CO_PAIS]],'[1]nome do paixs'!$A:$B,2,0)</f>
        <v>Portugal</v>
      </c>
      <c r="J1646" t="s">
        <v>14</v>
      </c>
    </row>
    <row r="1647" spans="1:10">
      <c r="A1647">
        <v>2025</v>
      </c>
      <c r="B1647">
        <v>8</v>
      </c>
      <c r="C1647">
        <v>8807</v>
      </c>
      <c r="D1647">
        <v>628</v>
      </c>
      <c r="E1647" t="s">
        <v>10</v>
      </c>
      <c r="F1647">
        <v>3454102</v>
      </c>
      <c r="G1647" s="1">
        <v>812</v>
      </c>
      <c r="H1647" s="2">
        <v>793801</v>
      </c>
      <c r="I1647" t="str">
        <f>VLOOKUP(Tabela1[[#This Row],[CO_PAIS]],'[1]nome do paixs'!$A:$B,2,0)</f>
        <v>Reino Unido</v>
      </c>
      <c r="J1647" t="s">
        <v>11</v>
      </c>
    </row>
    <row r="1648" spans="1:10">
      <c r="A1648">
        <v>2025</v>
      </c>
      <c r="B1648">
        <v>8</v>
      </c>
      <c r="C1648">
        <v>8807</v>
      </c>
      <c r="D1648">
        <v>245</v>
      </c>
      <c r="E1648" t="s">
        <v>10</v>
      </c>
      <c r="F1648">
        <v>3454102</v>
      </c>
      <c r="G1648" s="1">
        <v>1009</v>
      </c>
      <c r="H1648" s="2">
        <v>496455</v>
      </c>
      <c r="I1648" t="str">
        <f>VLOOKUP(Tabela1[[#This Row],[CO_PAIS]],'[1]nome do paixs'!$A:$B,2,0)</f>
        <v>Espanha</v>
      </c>
      <c r="J1648" t="s">
        <v>11</v>
      </c>
    </row>
    <row r="1649" spans="1:10">
      <c r="A1649">
        <v>2025</v>
      </c>
      <c r="B1649">
        <v>8</v>
      </c>
      <c r="C1649">
        <v>8807</v>
      </c>
      <c r="D1649">
        <v>474</v>
      </c>
      <c r="E1649" t="s">
        <v>10</v>
      </c>
      <c r="F1649">
        <v>3454102</v>
      </c>
      <c r="G1649" s="1">
        <v>46</v>
      </c>
      <c r="H1649" s="2">
        <v>123823</v>
      </c>
      <c r="I1649" t="str">
        <f>VLOOKUP(Tabela1[[#This Row],[CO_PAIS]],'[1]nome do paixs'!$A:$B,2,0)</f>
        <v>Marrocos</v>
      </c>
      <c r="J1649" t="s">
        <v>11</v>
      </c>
    </row>
    <row r="1650" spans="1:10">
      <c r="A1650">
        <v>2025</v>
      </c>
      <c r="B1650">
        <v>8</v>
      </c>
      <c r="C1650">
        <v>8807</v>
      </c>
      <c r="D1650">
        <v>245</v>
      </c>
      <c r="E1650" t="s">
        <v>10</v>
      </c>
      <c r="F1650">
        <v>3424402</v>
      </c>
      <c r="G1650" s="1">
        <v>382</v>
      </c>
      <c r="H1650" s="2">
        <v>121417</v>
      </c>
      <c r="I1650" t="str">
        <f>VLOOKUP(Tabela1[[#This Row],[CO_PAIS]],'[1]nome do paixs'!$A:$B,2,0)</f>
        <v>Espanha</v>
      </c>
      <c r="J1650" t="s">
        <v>13</v>
      </c>
    </row>
    <row r="1651" spans="1:10">
      <c r="A1651">
        <v>2025</v>
      </c>
      <c r="B1651">
        <v>8</v>
      </c>
      <c r="C1651">
        <v>8807</v>
      </c>
      <c r="D1651">
        <v>275</v>
      </c>
      <c r="E1651" t="s">
        <v>10</v>
      </c>
      <c r="F1651">
        <v>3449904</v>
      </c>
      <c r="G1651" s="1">
        <v>284</v>
      </c>
      <c r="H1651" s="2">
        <v>459164</v>
      </c>
      <c r="I1651" t="str">
        <f>VLOOKUP(Tabela1[[#This Row],[CO_PAIS]],'[1]nome do paixs'!$A:$B,2,0)</f>
        <v>França</v>
      </c>
      <c r="J1651" t="s">
        <v>12</v>
      </c>
    </row>
    <row r="1652" spans="1:10">
      <c r="A1652">
        <v>2025</v>
      </c>
      <c r="B1652">
        <v>8</v>
      </c>
      <c r="C1652">
        <v>8807</v>
      </c>
      <c r="D1652">
        <v>791</v>
      </c>
      <c r="E1652" t="s">
        <v>10</v>
      </c>
      <c r="F1652">
        <v>3449904</v>
      </c>
      <c r="G1652" s="1">
        <v>7</v>
      </c>
      <c r="H1652" s="2">
        <v>20986</v>
      </c>
      <c r="I1652" t="str">
        <f>VLOOKUP(Tabela1[[#This Row],[CO_PAIS]],'[1]nome do paixs'!$A:$B,2,0)</f>
        <v>Tcheca, República</v>
      </c>
      <c r="J1652" t="s">
        <v>12</v>
      </c>
    </row>
    <row r="1653" spans="1:10">
      <c r="A1653">
        <v>2025</v>
      </c>
      <c r="B1653">
        <v>8</v>
      </c>
      <c r="C1653">
        <v>8807</v>
      </c>
      <c r="D1653">
        <v>399</v>
      </c>
      <c r="E1653" t="s">
        <v>10</v>
      </c>
      <c r="F1653">
        <v>3454102</v>
      </c>
      <c r="G1653" s="1">
        <v>2717</v>
      </c>
      <c r="H1653" s="2">
        <v>1965878</v>
      </c>
      <c r="I1653" t="str">
        <f>VLOOKUP(Tabela1[[#This Row],[CO_PAIS]],'[1]nome do paixs'!$A:$B,2,0)</f>
        <v>Japão</v>
      </c>
      <c r="J1653" t="s">
        <v>11</v>
      </c>
    </row>
    <row r="1654" spans="1:10">
      <c r="A1654">
        <v>2025</v>
      </c>
      <c r="B1654">
        <v>8</v>
      </c>
      <c r="C1654">
        <v>8807</v>
      </c>
      <c r="D1654">
        <v>375</v>
      </c>
      <c r="E1654" t="s">
        <v>10</v>
      </c>
      <c r="F1654">
        <v>3454102</v>
      </c>
      <c r="G1654" s="1">
        <v>17</v>
      </c>
      <c r="H1654" s="2">
        <v>13157</v>
      </c>
      <c r="I1654" t="str">
        <f>VLOOKUP(Tabela1[[#This Row],[CO_PAIS]],'[1]nome do paixs'!$A:$B,2,0)</f>
        <v>Irlanda</v>
      </c>
      <c r="J1654" t="s">
        <v>11</v>
      </c>
    </row>
    <row r="1655" spans="1:10">
      <c r="A1655">
        <v>2025</v>
      </c>
      <c r="B1655">
        <v>8</v>
      </c>
      <c r="C1655">
        <v>8807</v>
      </c>
      <c r="D1655">
        <v>628</v>
      </c>
      <c r="E1655" t="s">
        <v>10</v>
      </c>
      <c r="F1655">
        <v>3408504</v>
      </c>
      <c r="G1655" s="1">
        <v>0</v>
      </c>
      <c r="H1655" s="2">
        <v>353</v>
      </c>
      <c r="I1655" t="str">
        <f>VLOOKUP(Tabela1[[#This Row],[CO_PAIS]],'[1]nome do paixs'!$A:$B,2,0)</f>
        <v>Reino Unido</v>
      </c>
      <c r="J1655" t="s">
        <v>14</v>
      </c>
    </row>
    <row r="1656" spans="1:10">
      <c r="A1656">
        <v>2025</v>
      </c>
      <c r="B1656">
        <v>8</v>
      </c>
      <c r="C1656">
        <v>8807</v>
      </c>
      <c r="D1656">
        <v>190</v>
      </c>
      <c r="E1656" t="s">
        <v>10</v>
      </c>
      <c r="F1656">
        <v>3408504</v>
      </c>
      <c r="G1656" s="1">
        <v>1</v>
      </c>
      <c r="H1656" s="2">
        <v>1722</v>
      </c>
      <c r="I1656" t="str">
        <f>VLOOKUP(Tabela1[[#This Row],[CO_PAIS]],'[1]nome do paixs'!$A:$B,2,0)</f>
        <v>Coreia do Sul</v>
      </c>
      <c r="J1656" t="s">
        <v>14</v>
      </c>
    </row>
    <row r="1657" spans="1:10">
      <c r="A1657">
        <v>2025</v>
      </c>
      <c r="B1657">
        <v>8</v>
      </c>
      <c r="C1657">
        <v>8807</v>
      </c>
      <c r="D1657">
        <v>249</v>
      </c>
      <c r="E1657" t="s">
        <v>10</v>
      </c>
      <c r="F1657">
        <v>3408504</v>
      </c>
      <c r="G1657" s="1">
        <v>232</v>
      </c>
      <c r="H1657" s="2">
        <v>156302</v>
      </c>
      <c r="I1657" t="str">
        <f>VLOOKUP(Tabela1[[#This Row],[CO_PAIS]],'[1]nome do paixs'!$A:$B,2,0)</f>
        <v>Estados Unidos</v>
      </c>
      <c r="J1657" t="s">
        <v>14</v>
      </c>
    </row>
    <row r="1658" spans="1:10">
      <c r="A1658">
        <v>2024</v>
      </c>
      <c r="B1658">
        <v>8</v>
      </c>
      <c r="C1658">
        <v>8807</v>
      </c>
      <c r="D1658">
        <v>72</v>
      </c>
      <c r="E1658" t="s">
        <v>10</v>
      </c>
      <c r="F1658">
        <v>3454102</v>
      </c>
      <c r="G1658" s="1">
        <v>3312</v>
      </c>
      <c r="H1658" s="2">
        <v>1580824</v>
      </c>
      <c r="I1658" t="str">
        <f>VLOOKUP(Tabela1[[#This Row],[CO_PAIS]],'[1]nome do paixs'!$A:$B,2,0)</f>
        <v>Áustria</v>
      </c>
      <c r="J1658" t="s">
        <v>11</v>
      </c>
    </row>
    <row r="1659" spans="1:10">
      <c r="A1659">
        <v>2024</v>
      </c>
      <c r="B1659">
        <v>8</v>
      </c>
      <c r="C1659">
        <v>8807</v>
      </c>
      <c r="D1659">
        <v>361</v>
      </c>
      <c r="E1659" t="s">
        <v>10</v>
      </c>
      <c r="F1659">
        <v>3449904</v>
      </c>
      <c r="G1659" s="1">
        <v>2394</v>
      </c>
      <c r="H1659" s="2">
        <v>1247152</v>
      </c>
      <c r="I1659" t="str">
        <f>VLOOKUP(Tabela1[[#This Row],[CO_PAIS]],'[1]nome do paixs'!$A:$B,2,0)</f>
        <v>Índia</v>
      </c>
      <c r="J1659" t="s">
        <v>12</v>
      </c>
    </row>
    <row r="1660" spans="1:10">
      <c r="A1660">
        <v>2024</v>
      </c>
      <c r="B1660">
        <v>8</v>
      </c>
      <c r="C1660">
        <v>8807</v>
      </c>
      <c r="D1660">
        <v>190</v>
      </c>
      <c r="E1660" t="s">
        <v>10</v>
      </c>
      <c r="F1660">
        <v>3454102</v>
      </c>
      <c r="G1660" s="1">
        <v>3426</v>
      </c>
      <c r="H1660" s="2">
        <v>2458618</v>
      </c>
      <c r="I1660" t="str">
        <f>VLOOKUP(Tabela1[[#This Row],[CO_PAIS]],'[1]nome do paixs'!$A:$B,2,0)</f>
        <v>Coreia do Sul</v>
      </c>
      <c r="J1660" t="s">
        <v>11</v>
      </c>
    </row>
    <row r="1661" spans="1:10">
      <c r="A1661">
        <v>2024</v>
      </c>
      <c r="B1661">
        <v>8</v>
      </c>
      <c r="C1661">
        <v>8807</v>
      </c>
      <c r="D1661">
        <v>399</v>
      </c>
      <c r="E1661" t="s">
        <v>10</v>
      </c>
      <c r="F1661">
        <v>3454102</v>
      </c>
      <c r="G1661" s="1">
        <v>5463</v>
      </c>
      <c r="H1661" s="2">
        <v>3921724</v>
      </c>
      <c r="I1661" t="str">
        <f>VLOOKUP(Tabela1[[#This Row],[CO_PAIS]],'[1]nome do paixs'!$A:$B,2,0)</f>
        <v>Japão</v>
      </c>
      <c r="J1661" t="s">
        <v>11</v>
      </c>
    </row>
    <row r="1662" spans="1:10">
      <c r="A1662">
        <v>2024</v>
      </c>
      <c r="B1662">
        <v>8</v>
      </c>
      <c r="C1662">
        <v>8807</v>
      </c>
      <c r="D1662">
        <v>275</v>
      </c>
      <c r="E1662" t="s">
        <v>10</v>
      </c>
      <c r="F1662">
        <v>3454102</v>
      </c>
      <c r="G1662" s="1">
        <v>2769</v>
      </c>
      <c r="H1662" s="2">
        <v>3919838</v>
      </c>
      <c r="I1662" t="str">
        <f>VLOOKUP(Tabela1[[#This Row],[CO_PAIS]],'[1]nome do paixs'!$A:$B,2,0)</f>
        <v>França</v>
      </c>
      <c r="J1662" t="s">
        <v>11</v>
      </c>
    </row>
    <row r="1663" spans="1:10">
      <c r="A1663">
        <v>2024</v>
      </c>
      <c r="B1663">
        <v>8</v>
      </c>
      <c r="C1663">
        <v>8807</v>
      </c>
      <c r="D1663">
        <v>87</v>
      </c>
      <c r="E1663" t="s">
        <v>10</v>
      </c>
      <c r="F1663">
        <v>3454102</v>
      </c>
      <c r="G1663" s="1">
        <v>1881</v>
      </c>
      <c r="H1663" s="2">
        <v>1657869</v>
      </c>
      <c r="I1663" t="str">
        <f>VLOOKUP(Tabela1[[#This Row],[CO_PAIS]],'[1]nome do paixs'!$A:$B,2,0)</f>
        <v>Bélgica</v>
      </c>
      <c r="J1663" t="s">
        <v>11</v>
      </c>
    </row>
    <row r="1664" spans="1:10">
      <c r="A1664">
        <v>2024</v>
      </c>
      <c r="B1664">
        <v>8</v>
      </c>
      <c r="C1664">
        <v>8807</v>
      </c>
      <c r="D1664">
        <v>375</v>
      </c>
      <c r="E1664" t="s">
        <v>10</v>
      </c>
      <c r="F1664">
        <v>3454102</v>
      </c>
      <c r="G1664" s="1">
        <v>358</v>
      </c>
      <c r="H1664" s="2">
        <v>141515</v>
      </c>
      <c r="I1664" t="str">
        <f>VLOOKUP(Tabela1[[#This Row],[CO_PAIS]],'[1]nome do paixs'!$A:$B,2,0)</f>
        <v>Irlanda</v>
      </c>
      <c r="J1664" t="s">
        <v>11</v>
      </c>
    </row>
    <row r="1665" spans="1:10">
      <c r="A1665">
        <v>2024</v>
      </c>
      <c r="B1665">
        <v>8</v>
      </c>
      <c r="C1665">
        <v>8807</v>
      </c>
      <c r="D1665">
        <v>603</v>
      </c>
      <c r="E1665" t="s">
        <v>10</v>
      </c>
      <c r="F1665">
        <v>3449904</v>
      </c>
      <c r="G1665" s="1">
        <v>44</v>
      </c>
      <c r="H1665" s="2">
        <v>8902</v>
      </c>
      <c r="I1665" t="str">
        <f>VLOOKUP(Tabela1[[#This Row],[CO_PAIS]],'[1]nome do paixs'!$A:$B,2,0)</f>
        <v>Polônia</v>
      </c>
      <c r="J1665" t="s">
        <v>12</v>
      </c>
    </row>
    <row r="1666" spans="1:10">
      <c r="A1666">
        <v>2024</v>
      </c>
      <c r="B1666">
        <v>8</v>
      </c>
      <c r="C1666">
        <v>8807</v>
      </c>
      <c r="D1666">
        <v>375</v>
      </c>
      <c r="E1666" t="s">
        <v>10</v>
      </c>
      <c r="F1666">
        <v>3449904</v>
      </c>
      <c r="G1666" s="1">
        <v>4</v>
      </c>
      <c r="H1666" s="2">
        <v>1403</v>
      </c>
      <c r="I1666" t="str">
        <f>VLOOKUP(Tabela1[[#This Row],[CO_PAIS]],'[1]nome do paixs'!$A:$B,2,0)</f>
        <v>Irlanda</v>
      </c>
      <c r="J1666" t="s">
        <v>12</v>
      </c>
    </row>
    <row r="1667" spans="1:10">
      <c r="A1667">
        <v>2024</v>
      </c>
      <c r="B1667">
        <v>8</v>
      </c>
      <c r="C1667">
        <v>8807</v>
      </c>
      <c r="D1667">
        <v>190</v>
      </c>
      <c r="E1667" t="s">
        <v>10</v>
      </c>
      <c r="F1667">
        <v>3424402</v>
      </c>
      <c r="G1667" s="1">
        <v>21</v>
      </c>
      <c r="H1667" s="2">
        <v>6250</v>
      </c>
      <c r="I1667" t="str">
        <f>VLOOKUP(Tabela1[[#This Row],[CO_PAIS]],'[1]nome do paixs'!$A:$B,2,0)</f>
        <v>Coreia do Sul</v>
      </c>
      <c r="J1667" t="s">
        <v>13</v>
      </c>
    </row>
    <row r="1668" spans="1:10">
      <c r="A1668">
        <v>2024</v>
      </c>
      <c r="B1668">
        <v>8</v>
      </c>
      <c r="C1668">
        <v>8807</v>
      </c>
      <c r="D1668">
        <v>628</v>
      </c>
      <c r="E1668" t="s">
        <v>10</v>
      </c>
      <c r="F1668">
        <v>3454102</v>
      </c>
      <c r="G1668" s="1">
        <v>246</v>
      </c>
      <c r="H1668" s="2">
        <v>323123</v>
      </c>
      <c r="I1668" t="str">
        <f>VLOOKUP(Tabela1[[#This Row],[CO_PAIS]],'[1]nome do paixs'!$A:$B,2,0)</f>
        <v>Reino Unido</v>
      </c>
      <c r="J1668" t="s">
        <v>11</v>
      </c>
    </row>
    <row r="1669" spans="1:10">
      <c r="A1669">
        <v>2024</v>
      </c>
      <c r="B1669">
        <v>8</v>
      </c>
      <c r="C1669">
        <v>8807</v>
      </c>
      <c r="D1669">
        <v>741</v>
      </c>
      <c r="E1669" t="s">
        <v>10</v>
      </c>
      <c r="F1669">
        <v>3449904</v>
      </c>
      <c r="G1669" s="1">
        <v>100</v>
      </c>
      <c r="H1669" s="2">
        <v>120334</v>
      </c>
      <c r="I1669" t="str">
        <f>VLOOKUP(Tabela1[[#This Row],[CO_PAIS]],'[1]nome do paixs'!$A:$B,2,0)</f>
        <v>Singapura</v>
      </c>
      <c r="J1669" t="s">
        <v>12</v>
      </c>
    </row>
    <row r="1670" spans="1:10">
      <c r="A1670">
        <v>2024</v>
      </c>
      <c r="B1670">
        <v>8</v>
      </c>
      <c r="C1670">
        <v>8807</v>
      </c>
      <c r="D1670">
        <v>249</v>
      </c>
      <c r="E1670" t="s">
        <v>10</v>
      </c>
      <c r="F1670">
        <v>3449904</v>
      </c>
      <c r="G1670" s="1">
        <v>4898</v>
      </c>
      <c r="H1670" s="2">
        <v>5132496</v>
      </c>
      <c r="I1670" t="str">
        <f>VLOOKUP(Tabela1[[#This Row],[CO_PAIS]],'[1]nome do paixs'!$A:$B,2,0)</f>
        <v>Estados Unidos</v>
      </c>
      <c r="J1670" t="s">
        <v>12</v>
      </c>
    </row>
    <row r="1671" spans="1:10">
      <c r="A1671">
        <v>2024</v>
      </c>
      <c r="B1671">
        <v>8</v>
      </c>
      <c r="C1671">
        <v>8807</v>
      </c>
      <c r="D1671">
        <v>245</v>
      </c>
      <c r="E1671" t="s">
        <v>10</v>
      </c>
      <c r="F1671">
        <v>3449904</v>
      </c>
      <c r="G1671" s="1">
        <v>6484</v>
      </c>
      <c r="H1671" s="2">
        <v>1938197</v>
      </c>
      <c r="I1671" t="str">
        <f>VLOOKUP(Tabela1[[#This Row],[CO_PAIS]],'[1]nome do paixs'!$A:$B,2,0)</f>
        <v>Espanha</v>
      </c>
      <c r="J1671" t="s">
        <v>12</v>
      </c>
    </row>
    <row r="1672" spans="1:10">
      <c r="A1672">
        <v>2024</v>
      </c>
      <c r="B1672">
        <v>8</v>
      </c>
      <c r="C1672">
        <v>8807</v>
      </c>
      <c r="D1672">
        <v>791</v>
      </c>
      <c r="E1672" t="s">
        <v>10</v>
      </c>
      <c r="F1672">
        <v>3424402</v>
      </c>
      <c r="G1672" s="1">
        <v>195</v>
      </c>
      <c r="H1672" s="2">
        <v>199597</v>
      </c>
      <c r="I1672" t="str">
        <f>VLOOKUP(Tabela1[[#This Row],[CO_PAIS]],'[1]nome do paixs'!$A:$B,2,0)</f>
        <v>Tcheca, República</v>
      </c>
      <c r="J1672" t="s">
        <v>13</v>
      </c>
    </row>
    <row r="1673" spans="1:10">
      <c r="A1673">
        <v>2024</v>
      </c>
      <c r="B1673">
        <v>8</v>
      </c>
      <c r="C1673">
        <v>8807</v>
      </c>
      <c r="D1673">
        <v>87</v>
      </c>
      <c r="E1673" t="s">
        <v>10</v>
      </c>
      <c r="F1673">
        <v>3449904</v>
      </c>
      <c r="G1673" s="1">
        <v>2667</v>
      </c>
      <c r="H1673" s="2">
        <v>2477071</v>
      </c>
      <c r="I1673" t="str">
        <f>VLOOKUP(Tabela1[[#This Row],[CO_PAIS]],'[1]nome do paixs'!$A:$B,2,0)</f>
        <v>Bélgica</v>
      </c>
      <c r="J1673" t="s">
        <v>12</v>
      </c>
    </row>
    <row r="1674" spans="1:10">
      <c r="A1674">
        <v>2024</v>
      </c>
      <c r="B1674">
        <v>8</v>
      </c>
      <c r="C1674">
        <v>8807</v>
      </c>
      <c r="D1674">
        <v>87</v>
      </c>
      <c r="E1674" t="s">
        <v>10</v>
      </c>
      <c r="F1674">
        <v>3424402</v>
      </c>
      <c r="G1674" s="1">
        <v>4</v>
      </c>
      <c r="H1674" s="2">
        <v>10498</v>
      </c>
      <c r="I1674" t="str">
        <f>VLOOKUP(Tabela1[[#This Row],[CO_PAIS]],'[1]nome do paixs'!$A:$B,2,0)</f>
        <v>Bélgica</v>
      </c>
      <c r="J1674" t="s">
        <v>13</v>
      </c>
    </row>
    <row r="1675" spans="1:10">
      <c r="A1675">
        <v>2024</v>
      </c>
      <c r="B1675">
        <v>8</v>
      </c>
      <c r="C1675">
        <v>8807</v>
      </c>
      <c r="D1675">
        <v>493</v>
      </c>
      <c r="E1675" t="s">
        <v>10</v>
      </c>
      <c r="F1675">
        <v>3449904</v>
      </c>
      <c r="G1675" s="1">
        <v>1821</v>
      </c>
      <c r="H1675" s="2">
        <v>1185376</v>
      </c>
      <c r="I1675" t="str">
        <f>VLOOKUP(Tabela1[[#This Row],[CO_PAIS]],'[1]nome do paixs'!$A:$B,2,0)</f>
        <v>México</v>
      </c>
      <c r="J1675" t="s">
        <v>12</v>
      </c>
    </row>
    <row r="1676" spans="1:10">
      <c r="A1676">
        <v>2024</v>
      </c>
      <c r="B1676">
        <v>8</v>
      </c>
      <c r="C1676">
        <v>8807</v>
      </c>
      <c r="D1676">
        <v>149</v>
      </c>
      <c r="E1676" t="s">
        <v>10</v>
      </c>
      <c r="F1676">
        <v>3449904</v>
      </c>
      <c r="G1676" s="1">
        <v>159</v>
      </c>
      <c r="H1676" s="2">
        <v>249294</v>
      </c>
      <c r="I1676" t="str">
        <f>VLOOKUP(Tabela1[[#This Row],[CO_PAIS]],'[1]nome do paixs'!$A:$B,2,0)</f>
        <v>Canadá</v>
      </c>
      <c r="J1676" t="s">
        <v>12</v>
      </c>
    </row>
    <row r="1677" spans="1:10">
      <c r="A1677">
        <v>2024</v>
      </c>
      <c r="B1677">
        <v>8</v>
      </c>
      <c r="C1677">
        <v>8807</v>
      </c>
      <c r="D1677">
        <v>23</v>
      </c>
      <c r="E1677" t="s">
        <v>10</v>
      </c>
      <c r="F1677">
        <v>3454102</v>
      </c>
      <c r="G1677" s="1">
        <v>33943</v>
      </c>
      <c r="H1677" s="2">
        <v>1586495</v>
      </c>
      <c r="I1677" t="str">
        <f>VLOOKUP(Tabela1[[#This Row],[CO_PAIS]],'[1]nome do paixs'!$A:$B,2,0)</f>
        <v>Alemanha</v>
      </c>
      <c r="J1677" t="s">
        <v>11</v>
      </c>
    </row>
    <row r="1678" spans="1:10">
      <c r="A1678">
        <v>2024</v>
      </c>
      <c r="B1678">
        <v>8</v>
      </c>
      <c r="C1678">
        <v>8807</v>
      </c>
      <c r="D1678">
        <v>676</v>
      </c>
      <c r="E1678" t="s">
        <v>10</v>
      </c>
      <c r="F1678">
        <v>3454102</v>
      </c>
      <c r="G1678" s="1">
        <v>2317</v>
      </c>
      <c r="H1678" s="2">
        <v>245273</v>
      </c>
      <c r="I1678" t="str">
        <f>VLOOKUP(Tabela1[[#This Row],[CO_PAIS]],'[1]nome do paixs'!$A:$B,2,0)</f>
        <v>Rússia</v>
      </c>
      <c r="J1678" t="s">
        <v>11</v>
      </c>
    </row>
    <row r="1679" spans="1:10">
      <c r="A1679">
        <v>2024</v>
      </c>
      <c r="B1679">
        <v>8</v>
      </c>
      <c r="C1679">
        <v>8807</v>
      </c>
      <c r="D1679">
        <v>149</v>
      </c>
      <c r="E1679" t="s">
        <v>10</v>
      </c>
      <c r="F1679">
        <v>3454102</v>
      </c>
      <c r="G1679" s="1">
        <v>101</v>
      </c>
      <c r="H1679" s="2">
        <v>111610</v>
      </c>
      <c r="I1679" t="str">
        <f>VLOOKUP(Tabela1[[#This Row],[CO_PAIS]],'[1]nome do paixs'!$A:$B,2,0)</f>
        <v>Canadá</v>
      </c>
      <c r="J1679" t="s">
        <v>11</v>
      </c>
    </row>
    <row r="1680" spans="1:10">
      <c r="A1680">
        <v>2024</v>
      </c>
      <c r="B1680">
        <v>8</v>
      </c>
      <c r="C1680">
        <v>8807</v>
      </c>
      <c r="D1680">
        <v>827</v>
      </c>
      <c r="E1680" t="s">
        <v>10</v>
      </c>
      <c r="F1680">
        <v>3449904</v>
      </c>
      <c r="G1680" s="1">
        <v>4</v>
      </c>
      <c r="H1680" s="2">
        <v>1786</v>
      </c>
      <c r="I1680" t="str">
        <f>VLOOKUP(Tabela1[[#This Row],[CO_PAIS]],'[1]nome do paixs'!$A:$B,2,0)</f>
        <v>Turquia</v>
      </c>
      <c r="J1680" t="s">
        <v>12</v>
      </c>
    </row>
    <row r="1681" spans="1:10">
      <c r="A1681">
        <v>2024</v>
      </c>
      <c r="B1681">
        <v>8</v>
      </c>
      <c r="C1681">
        <v>8807</v>
      </c>
      <c r="D1681">
        <v>383</v>
      </c>
      <c r="E1681" t="s">
        <v>10</v>
      </c>
      <c r="F1681">
        <v>3449904</v>
      </c>
      <c r="G1681" s="1">
        <v>0</v>
      </c>
      <c r="H1681" s="2">
        <v>80</v>
      </c>
      <c r="I1681" t="str">
        <f>VLOOKUP(Tabela1[[#This Row],[CO_PAIS]],'[1]nome do paixs'!$A:$B,2,0)</f>
        <v>Israel</v>
      </c>
      <c r="J1681" t="s">
        <v>12</v>
      </c>
    </row>
    <row r="1682" spans="1:10">
      <c r="A1682">
        <v>2024</v>
      </c>
      <c r="B1682">
        <v>8</v>
      </c>
      <c r="C1682">
        <v>8807</v>
      </c>
      <c r="D1682">
        <v>493</v>
      </c>
      <c r="E1682" t="s">
        <v>10</v>
      </c>
      <c r="F1682">
        <v>3454102</v>
      </c>
      <c r="G1682" s="1">
        <v>16339</v>
      </c>
      <c r="H1682" s="2">
        <v>6668490</v>
      </c>
      <c r="I1682" t="str">
        <f>VLOOKUP(Tabela1[[#This Row],[CO_PAIS]],'[1]nome do paixs'!$A:$B,2,0)</f>
        <v>México</v>
      </c>
      <c r="J1682" t="s">
        <v>11</v>
      </c>
    </row>
    <row r="1683" spans="1:10">
      <c r="A1683">
        <v>2024</v>
      </c>
      <c r="B1683">
        <v>8</v>
      </c>
      <c r="C1683">
        <v>8807</v>
      </c>
      <c r="D1683">
        <v>607</v>
      </c>
      <c r="E1683" t="s">
        <v>10</v>
      </c>
      <c r="F1683">
        <v>3449904</v>
      </c>
      <c r="G1683" s="1">
        <v>8</v>
      </c>
      <c r="H1683" s="2">
        <v>16235</v>
      </c>
      <c r="I1683" t="str">
        <f>VLOOKUP(Tabela1[[#This Row],[CO_PAIS]],'[1]nome do paixs'!$A:$B,2,0)</f>
        <v>Portugal</v>
      </c>
      <c r="J1683" t="s">
        <v>12</v>
      </c>
    </row>
    <row r="1684" spans="1:10">
      <c r="A1684">
        <v>2024</v>
      </c>
      <c r="B1684">
        <v>8</v>
      </c>
      <c r="C1684">
        <v>8807</v>
      </c>
      <c r="D1684">
        <v>607</v>
      </c>
      <c r="E1684" t="s">
        <v>10</v>
      </c>
      <c r="F1684">
        <v>3454102</v>
      </c>
      <c r="G1684" s="1">
        <v>19644</v>
      </c>
      <c r="H1684" s="2">
        <v>6740070</v>
      </c>
      <c r="I1684" t="str">
        <f>VLOOKUP(Tabela1[[#This Row],[CO_PAIS]],'[1]nome do paixs'!$A:$B,2,0)</f>
        <v>Portugal</v>
      </c>
      <c r="J1684" t="s">
        <v>11</v>
      </c>
    </row>
    <row r="1685" spans="1:10">
      <c r="A1685">
        <v>2024</v>
      </c>
      <c r="B1685">
        <v>8</v>
      </c>
      <c r="C1685">
        <v>8807</v>
      </c>
      <c r="D1685">
        <v>399</v>
      </c>
      <c r="E1685" t="s">
        <v>10</v>
      </c>
      <c r="F1685">
        <v>3449904</v>
      </c>
      <c r="G1685" s="1">
        <v>855</v>
      </c>
      <c r="H1685" s="2">
        <v>767987</v>
      </c>
      <c r="I1685" t="str">
        <f>VLOOKUP(Tabela1[[#This Row],[CO_PAIS]],'[1]nome do paixs'!$A:$B,2,0)</f>
        <v>Japão</v>
      </c>
      <c r="J1685" t="s">
        <v>12</v>
      </c>
    </row>
    <row r="1686" spans="1:10">
      <c r="A1686">
        <v>2024</v>
      </c>
      <c r="B1686">
        <v>8</v>
      </c>
      <c r="C1686">
        <v>8807</v>
      </c>
      <c r="D1686">
        <v>249</v>
      </c>
      <c r="E1686" t="s">
        <v>10</v>
      </c>
      <c r="F1686">
        <v>3424402</v>
      </c>
      <c r="G1686" s="1">
        <v>979</v>
      </c>
      <c r="H1686" s="2">
        <v>193587</v>
      </c>
      <c r="I1686" t="str">
        <f>VLOOKUP(Tabela1[[#This Row],[CO_PAIS]],'[1]nome do paixs'!$A:$B,2,0)</f>
        <v>Estados Unidos</v>
      </c>
      <c r="J1686" t="s">
        <v>13</v>
      </c>
    </row>
    <row r="1687" spans="1:10">
      <c r="A1687">
        <v>2024</v>
      </c>
      <c r="B1687">
        <v>8</v>
      </c>
      <c r="C1687">
        <v>8807</v>
      </c>
      <c r="D1687">
        <v>23</v>
      </c>
      <c r="E1687" t="s">
        <v>10</v>
      </c>
      <c r="F1687">
        <v>3449904</v>
      </c>
      <c r="G1687" s="1">
        <v>446</v>
      </c>
      <c r="H1687" s="2">
        <v>791160</v>
      </c>
      <c r="I1687" t="str">
        <f>VLOOKUP(Tabela1[[#This Row],[CO_PAIS]],'[1]nome do paixs'!$A:$B,2,0)</f>
        <v>Alemanha</v>
      </c>
      <c r="J1687" t="s">
        <v>12</v>
      </c>
    </row>
    <row r="1688" spans="1:10">
      <c r="A1688">
        <v>2024</v>
      </c>
      <c r="B1688">
        <v>8</v>
      </c>
      <c r="C1688">
        <v>8807</v>
      </c>
      <c r="D1688">
        <v>455</v>
      </c>
      <c r="E1688" t="s">
        <v>10</v>
      </c>
      <c r="F1688">
        <v>3454102</v>
      </c>
      <c r="G1688" s="1">
        <v>2063</v>
      </c>
      <c r="H1688" s="2">
        <v>246862</v>
      </c>
      <c r="I1688" t="str">
        <f>VLOOKUP(Tabela1[[#This Row],[CO_PAIS]],'[1]nome do paixs'!$A:$B,2,0)</f>
        <v>Malásia</v>
      </c>
      <c r="J1688" t="s">
        <v>11</v>
      </c>
    </row>
    <row r="1689" spans="1:10">
      <c r="A1689">
        <v>2024</v>
      </c>
      <c r="B1689">
        <v>8</v>
      </c>
      <c r="C1689">
        <v>8807</v>
      </c>
      <c r="D1689">
        <v>791</v>
      </c>
      <c r="E1689" t="s">
        <v>10</v>
      </c>
      <c r="F1689">
        <v>3454102</v>
      </c>
      <c r="G1689" s="1">
        <v>5</v>
      </c>
      <c r="H1689" s="2">
        <v>14085</v>
      </c>
      <c r="I1689" t="str">
        <f>VLOOKUP(Tabela1[[#This Row],[CO_PAIS]],'[1]nome do paixs'!$A:$B,2,0)</f>
        <v>Tcheca, República</v>
      </c>
      <c r="J1689" t="s">
        <v>11</v>
      </c>
    </row>
    <row r="1690" spans="1:10">
      <c r="A1690">
        <v>2024</v>
      </c>
      <c r="B1690">
        <v>8</v>
      </c>
      <c r="C1690">
        <v>8807</v>
      </c>
      <c r="D1690">
        <v>105</v>
      </c>
      <c r="E1690" t="s">
        <v>10</v>
      </c>
      <c r="F1690">
        <v>3449904</v>
      </c>
      <c r="G1690" s="1">
        <v>10861</v>
      </c>
      <c r="H1690" s="2">
        <v>7193651</v>
      </c>
      <c r="I1690" t="str">
        <f>VLOOKUP(Tabela1[[#This Row],[CO_PAIS]],'[1]nome do paixs'!$A:$B,2,0)</f>
        <v>Brasil</v>
      </c>
      <c r="J1690" t="s">
        <v>12</v>
      </c>
    </row>
    <row r="1691" spans="1:10">
      <c r="A1691">
        <v>2024</v>
      </c>
      <c r="B1691">
        <v>8</v>
      </c>
      <c r="C1691">
        <v>8807</v>
      </c>
      <c r="D1691">
        <v>386</v>
      </c>
      <c r="E1691" t="s">
        <v>10</v>
      </c>
      <c r="F1691">
        <v>3454102</v>
      </c>
      <c r="G1691" s="1">
        <v>768</v>
      </c>
      <c r="H1691" s="2">
        <v>2155122</v>
      </c>
      <c r="I1691" t="str">
        <f>VLOOKUP(Tabela1[[#This Row],[CO_PAIS]],'[1]nome do paixs'!$A:$B,2,0)</f>
        <v>Itália</v>
      </c>
      <c r="J1691" t="s">
        <v>11</v>
      </c>
    </row>
    <row r="1692" spans="1:10">
      <c r="A1692">
        <v>2024</v>
      </c>
      <c r="B1692">
        <v>8</v>
      </c>
      <c r="C1692">
        <v>8807</v>
      </c>
      <c r="D1692">
        <v>791</v>
      </c>
      <c r="E1692" t="s">
        <v>10</v>
      </c>
      <c r="F1692">
        <v>3449904</v>
      </c>
      <c r="G1692" s="1">
        <v>15</v>
      </c>
      <c r="H1692" s="2">
        <v>10791</v>
      </c>
      <c r="I1692" t="str">
        <f>VLOOKUP(Tabela1[[#This Row],[CO_PAIS]],'[1]nome do paixs'!$A:$B,2,0)</f>
        <v>Tcheca, República</v>
      </c>
      <c r="J1692" t="s">
        <v>12</v>
      </c>
    </row>
    <row r="1693" spans="1:10">
      <c r="A1693">
        <v>2024</v>
      </c>
      <c r="B1693">
        <v>8</v>
      </c>
      <c r="C1693">
        <v>8807</v>
      </c>
      <c r="D1693">
        <v>474</v>
      </c>
      <c r="E1693" t="s">
        <v>10</v>
      </c>
      <c r="F1693">
        <v>3454102</v>
      </c>
      <c r="G1693" s="1">
        <v>184</v>
      </c>
      <c r="H1693" s="2">
        <v>484590</v>
      </c>
      <c r="I1693" t="str">
        <f>VLOOKUP(Tabela1[[#This Row],[CO_PAIS]],'[1]nome do paixs'!$A:$B,2,0)</f>
        <v>Marrocos</v>
      </c>
      <c r="J1693" t="s">
        <v>11</v>
      </c>
    </row>
    <row r="1694" spans="1:10">
      <c r="A1694">
        <v>2024</v>
      </c>
      <c r="B1694">
        <v>8</v>
      </c>
      <c r="C1694">
        <v>8807</v>
      </c>
      <c r="D1694">
        <v>676</v>
      </c>
      <c r="E1694" t="s">
        <v>10</v>
      </c>
      <c r="F1694">
        <v>3449904</v>
      </c>
      <c r="G1694" s="1">
        <v>1</v>
      </c>
      <c r="H1694" s="2">
        <v>4474</v>
      </c>
      <c r="I1694" t="str">
        <f>VLOOKUP(Tabela1[[#This Row],[CO_PAIS]],'[1]nome do paixs'!$A:$B,2,0)</f>
        <v>Rússia</v>
      </c>
      <c r="J1694" t="s">
        <v>12</v>
      </c>
    </row>
    <row r="1695" spans="1:10">
      <c r="A1695">
        <v>2024</v>
      </c>
      <c r="B1695">
        <v>8</v>
      </c>
      <c r="C1695">
        <v>8807</v>
      </c>
      <c r="D1695">
        <v>493</v>
      </c>
      <c r="E1695" t="s">
        <v>10</v>
      </c>
      <c r="F1695">
        <v>3424402</v>
      </c>
      <c r="G1695" s="1">
        <v>3</v>
      </c>
      <c r="H1695" s="2">
        <v>1884</v>
      </c>
      <c r="I1695" t="str">
        <f>VLOOKUP(Tabela1[[#This Row],[CO_PAIS]],'[1]nome do paixs'!$A:$B,2,0)</f>
        <v>México</v>
      </c>
      <c r="J1695" t="s">
        <v>13</v>
      </c>
    </row>
    <row r="1696" spans="1:10">
      <c r="A1696">
        <v>2024</v>
      </c>
      <c r="B1696">
        <v>8</v>
      </c>
      <c r="C1696">
        <v>8807</v>
      </c>
      <c r="D1696">
        <v>628</v>
      </c>
      <c r="E1696" t="s">
        <v>10</v>
      </c>
      <c r="F1696">
        <v>3449904</v>
      </c>
      <c r="G1696" s="1">
        <v>730</v>
      </c>
      <c r="H1696" s="2">
        <v>620577</v>
      </c>
      <c r="I1696" t="str">
        <f>VLOOKUP(Tabela1[[#This Row],[CO_PAIS]],'[1]nome do paixs'!$A:$B,2,0)</f>
        <v>Reino Unido</v>
      </c>
      <c r="J1696" t="s">
        <v>12</v>
      </c>
    </row>
    <row r="1697" spans="1:10">
      <c r="A1697">
        <v>2024</v>
      </c>
      <c r="B1697">
        <v>8</v>
      </c>
      <c r="C1697">
        <v>8807</v>
      </c>
      <c r="D1697">
        <v>23</v>
      </c>
      <c r="E1697" t="s">
        <v>10</v>
      </c>
      <c r="F1697">
        <v>3424402</v>
      </c>
      <c r="G1697" s="1">
        <v>10</v>
      </c>
      <c r="H1697" s="2">
        <v>17463</v>
      </c>
      <c r="I1697" t="str">
        <f>VLOOKUP(Tabela1[[#This Row],[CO_PAIS]],'[1]nome do paixs'!$A:$B,2,0)</f>
        <v>Alemanha</v>
      </c>
      <c r="J1697" t="s">
        <v>13</v>
      </c>
    </row>
    <row r="1698" spans="1:10">
      <c r="A1698">
        <v>2024</v>
      </c>
      <c r="B1698">
        <v>8</v>
      </c>
      <c r="C1698">
        <v>8807</v>
      </c>
      <c r="D1698">
        <v>72</v>
      </c>
      <c r="E1698" t="s">
        <v>10</v>
      </c>
      <c r="F1698">
        <v>3449904</v>
      </c>
      <c r="G1698" s="1">
        <v>0</v>
      </c>
      <c r="H1698" s="2">
        <v>35</v>
      </c>
      <c r="I1698" t="str">
        <f>VLOOKUP(Tabela1[[#This Row],[CO_PAIS]],'[1]nome do paixs'!$A:$B,2,0)</f>
        <v>Áustria</v>
      </c>
      <c r="J1698" t="s">
        <v>12</v>
      </c>
    </row>
    <row r="1699" spans="1:10">
      <c r="A1699">
        <v>2024</v>
      </c>
      <c r="B1699">
        <v>8</v>
      </c>
      <c r="C1699">
        <v>8807</v>
      </c>
      <c r="D1699">
        <v>275</v>
      </c>
      <c r="E1699" t="s">
        <v>10</v>
      </c>
      <c r="F1699">
        <v>3449904</v>
      </c>
      <c r="G1699" s="1">
        <v>220</v>
      </c>
      <c r="H1699" s="2">
        <v>318266</v>
      </c>
      <c r="I1699" t="str">
        <f>VLOOKUP(Tabela1[[#This Row],[CO_PAIS]],'[1]nome do paixs'!$A:$B,2,0)</f>
        <v>França</v>
      </c>
      <c r="J1699" t="s">
        <v>12</v>
      </c>
    </row>
    <row r="1700" spans="1:10">
      <c r="A1700">
        <v>2024</v>
      </c>
      <c r="B1700">
        <v>8</v>
      </c>
      <c r="C1700">
        <v>8807</v>
      </c>
      <c r="D1700">
        <v>105</v>
      </c>
      <c r="E1700" t="s">
        <v>10</v>
      </c>
      <c r="F1700">
        <v>3454102</v>
      </c>
      <c r="G1700" s="1">
        <v>6749</v>
      </c>
      <c r="H1700" s="2">
        <v>6533750</v>
      </c>
      <c r="I1700" t="str">
        <f>VLOOKUP(Tabela1[[#This Row],[CO_PAIS]],'[1]nome do paixs'!$A:$B,2,0)</f>
        <v>Brasil</v>
      </c>
      <c r="J1700" t="s">
        <v>11</v>
      </c>
    </row>
    <row r="1701" spans="1:10">
      <c r="A1701">
        <v>2024</v>
      </c>
      <c r="B1701">
        <v>8</v>
      </c>
      <c r="C1701">
        <v>8807</v>
      </c>
      <c r="D1701">
        <v>249</v>
      </c>
      <c r="E1701" t="s">
        <v>10</v>
      </c>
      <c r="F1701">
        <v>3454102</v>
      </c>
      <c r="G1701" s="1">
        <v>32577</v>
      </c>
      <c r="H1701" s="2">
        <v>12150283</v>
      </c>
      <c r="I1701" t="str">
        <f>VLOOKUP(Tabela1[[#This Row],[CO_PAIS]],'[1]nome do paixs'!$A:$B,2,0)</f>
        <v>Estados Unidos</v>
      </c>
      <c r="J1701" t="s">
        <v>11</v>
      </c>
    </row>
    <row r="1702" spans="1:10">
      <c r="A1702">
        <v>2024</v>
      </c>
      <c r="B1702">
        <v>8</v>
      </c>
      <c r="C1702">
        <v>8807</v>
      </c>
      <c r="D1702">
        <v>275</v>
      </c>
      <c r="E1702" t="s">
        <v>10</v>
      </c>
      <c r="F1702">
        <v>3424402</v>
      </c>
      <c r="G1702" s="1">
        <v>286</v>
      </c>
      <c r="H1702" s="2">
        <v>378355</v>
      </c>
      <c r="I1702" t="str">
        <f>VLOOKUP(Tabela1[[#This Row],[CO_PAIS]],'[1]nome do paixs'!$A:$B,2,0)</f>
        <v>França</v>
      </c>
      <c r="J1702" t="s">
        <v>13</v>
      </c>
    </row>
    <row r="1703" spans="1:10">
      <c r="A1703">
        <v>2024</v>
      </c>
      <c r="B1703">
        <v>8</v>
      </c>
      <c r="C1703">
        <v>8807</v>
      </c>
      <c r="D1703">
        <v>245</v>
      </c>
      <c r="E1703" t="s">
        <v>10</v>
      </c>
      <c r="F1703">
        <v>3424402</v>
      </c>
      <c r="G1703" s="1">
        <v>126</v>
      </c>
      <c r="H1703" s="2">
        <v>48631</v>
      </c>
      <c r="I1703" t="str">
        <f>VLOOKUP(Tabela1[[#This Row],[CO_PAIS]],'[1]nome do paixs'!$A:$B,2,0)</f>
        <v>Espanha</v>
      </c>
      <c r="J1703" t="s">
        <v>13</v>
      </c>
    </row>
    <row r="1704" spans="1:10">
      <c r="A1704">
        <v>2024</v>
      </c>
      <c r="B1704">
        <v>8</v>
      </c>
      <c r="C1704">
        <v>8807</v>
      </c>
      <c r="D1704">
        <v>245</v>
      </c>
      <c r="E1704" t="s">
        <v>10</v>
      </c>
      <c r="F1704">
        <v>3454102</v>
      </c>
      <c r="G1704" s="1">
        <v>507</v>
      </c>
      <c r="H1704" s="2">
        <v>556384</v>
      </c>
      <c r="I1704" t="str">
        <f>VLOOKUP(Tabela1[[#This Row],[CO_PAIS]],'[1]nome do paixs'!$A:$B,2,0)</f>
        <v>Espanha</v>
      </c>
      <c r="J1704" t="s">
        <v>11</v>
      </c>
    </row>
    <row r="1705" spans="1:10">
      <c r="A1705">
        <v>2024</v>
      </c>
      <c r="B1705">
        <v>8</v>
      </c>
      <c r="C1705">
        <v>8807</v>
      </c>
      <c r="D1705">
        <v>386</v>
      </c>
      <c r="E1705" t="s">
        <v>10</v>
      </c>
      <c r="F1705">
        <v>3449904</v>
      </c>
      <c r="G1705" s="1">
        <v>20</v>
      </c>
      <c r="H1705" s="2">
        <v>20171</v>
      </c>
      <c r="I1705" t="str">
        <f>VLOOKUP(Tabela1[[#This Row],[CO_PAIS]],'[1]nome do paixs'!$A:$B,2,0)</f>
        <v>Itália</v>
      </c>
      <c r="J1705" t="s">
        <v>12</v>
      </c>
    </row>
    <row r="1706" spans="1:10">
      <c r="A1706">
        <v>2024</v>
      </c>
      <c r="B1706">
        <v>8</v>
      </c>
      <c r="C1706">
        <v>8807</v>
      </c>
      <c r="D1706">
        <v>190</v>
      </c>
      <c r="E1706" t="s">
        <v>10</v>
      </c>
      <c r="F1706">
        <v>3449904</v>
      </c>
      <c r="G1706" s="1">
        <v>82</v>
      </c>
      <c r="H1706" s="2">
        <v>102778</v>
      </c>
      <c r="I1706" t="str">
        <f>VLOOKUP(Tabela1[[#This Row],[CO_PAIS]],'[1]nome do paixs'!$A:$B,2,0)</f>
        <v>Coreia do Sul</v>
      </c>
      <c r="J1706" t="s">
        <v>12</v>
      </c>
    </row>
    <row r="1707" spans="1:10">
      <c r="A1707">
        <v>2023</v>
      </c>
      <c r="B1707">
        <v>8</v>
      </c>
      <c r="C1707">
        <v>8807</v>
      </c>
      <c r="D1707">
        <v>474</v>
      </c>
      <c r="E1707" t="s">
        <v>10</v>
      </c>
      <c r="F1707">
        <v>3454102</v>
      </c>
      <c r="G1707" s="1">
        <v>46</v>
      </c>
      <c r="H1707" s="2">
        <v>111459</v>
      </c>
      <c r="I1707" t="str">
        <f>VLOOKUP(Tabela1[[#This Row],[CO_PAIS]],'[1]nome do paixs'!$A:$B,2,0)</f>
        <v>Marrocos</v>
      </c>
      <c r="J1707" t="s">
        <v>11</v>
      </c>
    </row>
    <row r="1708" spans="1:10">
      <c r="A1708">
        <v>2023</v>
      </c>
      <c r="B1708">
        <v>8</v>
      </c>
      <c r="C1708">
        <v>8807</v>
      </c>
      <c r="D1708">
        <v>455</v>
      </c>
      <c r="E1708" t="s">
        <v>10</v>
      </c>
      <c r="F1708">
        <v>3454102</v>
      </c>
      <c r="G1708" s="1">
        <v>6270</v>
      </c>
      <c r="H1708" s="2">
        <v>773840</v>
      </c>
      <c r="I1708" t="str">
        <f>VLOOKUP(Tabela1[[#This Row],[CO_PAIS]],'[1]nome do paixs'!$A:$B,2,0)</f>
        <v>Malásia</v>
      </c>
      <c r="J1708" t="s">
        <v>11</v>
      </c>
    </row>
    <row r="1709" spans="1:10">
      <c r="A1709">
        <v>2023</v>
      </c>
      <c r="B1709">
        <v>8</v>
      </c>
      <c r="C1709">
        <v>8807</v>
      </c>
      <c r="D1709">
        <v>23</v>
      </c>
      <c r="E1709" t="s">
        <v>10</v>
      </c>
      <c r="F1709">
        <v>3449904</v>
      </c>
      <c r="G1709" s="1">
        <v>196</v>
      </c>
      <c r="H1709" s="2">
        <v>201960</v>
      </c>
      <c r="I1709" t="str">
        <f>VLOOKUP(Tabela1[[#This Row],[CO_PAIS]],'[1]nome do paixs'!$A:$B,2,0)</f>
        <v>Alemanha</v>
      </c>
      <c r="J1709" t="s">
        <v>12</v>
      </c>
    </row>
    <row r="1710" spans="1:10">
      <c r="A1710">
        <v>2023</v>
      </c>
      <c r="B1710">
        <v>8</v>
      </c>
      <c r="C1710">
        <v>8807</v>
      </c>
      <c r="D1710">
        <v>399</v>
      </c>
      <c r="E1710" t="s">
        <v>10</v>
      </c>
      <c r="F1710">
        <v>3454102</v>
      </c>
      <c r="G1710" s="1">
        <v>296</v>
      </c>
      <c r="H1710" s="2">
        <v>301145</v>
      </c>
      <c r="I1710" t="str">
        <f>VLOOKUP(Tabela1[[#This Row],[CO_PAIS]],'[1]nome do paixs'!$A:$B,2,0)</f>
        <v>Japão</v>
      </c>
      <c r="J1710" t="s">
        <v>11</v>
      </c>
    </row>
    <row r="1711" spans="1:10">
      <c r="A1711">
        <v>2023</v>
      </c>
      <c r="B1711">
        <v>8</v>
      </c>
      <c r="C1711">
        <v>8807</v>
      </c>
      <c r="D1711">
        <v>386</v>
      </c>
      <c r="E1711" t="s">
        <v>10</v>
      </c>
      <c r="F1711">
        <v>3454102</v>
      </c>
      <c r="G1711" s="1">
        <v>384</v>
      </c>
      <c r="H1711" s="2">
        <v>1019577</v>
      </c>
      <c r="I1711" t="str">
        <f>VLOOKUP(Tabela1[[#This Row],[CO_PAIS]],'[1]nome do paixs'!$A:$B,2,0)</f>
        <v>Itália</v>
      </c>
      <c r="J1711" t="s">
        <v>11</v>
      </c>
    </row>
    <row r="1712" spans="1:10">
      <c r="A1712">
        <v>2023</v>
      </c>
      <c r="B1712">
        <v>8</v>
      </c>
      <c r="C1712">
        <v>8807</v>
      </c>
      <c r="D1712">
        <v>149</v>
      </c>
      <c r="E1712" t="s">
        <v>10</v>
      </c>
      <c r="F1712">
        <v>3449904</v>
      </c>
      <c r="G1712" s="1">
        <v>35</v>
      </c>
      <c r="H1712" s="2">
        <v>49319</v>
      </c>
      <c r="I1712" t="str">
        <f>VLOOKUP(Tabela1[[#This Row],[CO_PAIS]],'[1]nome do paixs'!$A:$B,2,0)</f>
        <v>Canadá</v>
      </c>
      <c r="J1712" t="s">
        <v>12</v>
      </c>
    </row>
    <row r="1713" spans="1:10">
      <c r="A1713">
        <v>2023</v>
      </c>
      <c r="B1713">
        <v>8</v>
      </c>
      <c r="C1713">
        <v>8807</v>
      </c>
      <c r="D1713">
        <v>275</v>
      </c>
      <c r="E1713" t="s">
        <v>10</v>
      </c>
      <c r="F1713">
        <v>3454102</v>
      </c>
      <c r="G1713" s="1">
        <v>1338</v>
      </c>
      <c r="H1713" s="2">
        <v>1328467</v>
      </c>
      <c r="I1713" t="str">
        <f>VLOOKUP(Tabela1[[#This Row],[CO_PAIS]],'[1]nome do paixs'!$A:$B,2,0)</f>
        <v>França</v>
      </c>
      <c r="J1713" t="s">
        <v>11</v>
      </c>
    </row>
    <row r="1714" spans="1:10">
      <c r="A1714">
        <v>2023</v>
      </c>
      <c r="B1714">
        <v>8</v>
      </c>
      <c r="C1714">
        <v>8807</v>
      </c>
      <c r="D1714">
        <v>23</v>
      </c>
      <c r="E1714" t="s">
        <v>10</v>
      </c>
      <c r="F1714">
        <v>3454102</v>
      </c>
      <c r="G1714" s="1">
        <v>16048</v>
      </c>
      <c r="H1714" s="2">
        <v>1177130</v>
      </c>
      <c r="I1714" t="str">
        <f>VLOOKUP(Tabela1[[#This Row],[CO_PAIS]],'[1]nome do paixs'!$A:$B,2,0)</f>
        <v>Alemanha</v>
      </c>
      <c r="J1714" t="s">
        <v>11</v>
      </c>
    </row>
    <row r="1715" spans="1:10">
      <c r="A1715">
        <v>2023</v>
      </c>
      <c r="B1715">
        <v>8</v>
      </c>
      <c r="C1715">
        <v>8807</v>
      </c>
      <c r="D1715">
        <v>105</v>
      </c>
      <c r="E1715" t="s">
        <v>10</v>
      </c>
      <c r="F1715">
        <v>3454102</v>
      </c>
      <c r="G1715" s="1">
        <v>4200</v>
      </c>
      <c r="H1715" s="2">
        <v>4585378</v>
      </c>
      <c r="I1715" t="str">
        <f>VLOOKUP(Tabela1[[#This Row],[CO_PAIS]],'[1]nome do paixs'!$A:$B,2,0)</f>
        <v>Brasil</v>
      </c>
      <c r="J1715" t="s">
        <v>11</v>
      </c>
    </row>
    <row r="1716" spans="1:10">
      <c r="A1716">
        <v>2023</v>
      </c>
      <c r="B1716">
        <v>8</v>
      </c>
      <c r="C1716">
        <v>8807</v>
      </c>
      <c r="D1716">
        <v>375</v>
      </c>
      <c r="E1716" t="s">
        <v>10</v>
      </c>
      <c r="F1716">
        <v>3449904</v>
      </c>
      <c r="G1716" s="1">
        <v>12</v>
      </c>
      <c r="H1716" s="2">
        <v>5121</v>
      </c>
      <c r="I1716" t="str">
        <f>VLOOKUP(Tabela1[[#This Row],[CO_PAIS]],'[1]nome do paixs'!$A:$B,2,0)</f>
        <v>Irlanda</v>
      </c>
      <c r="J1716" t="s">
        <v>12</v>
      </c>
    </row>
    <row r="1717" spans="1:10">
      <c r="A1717">
        <v>2023</v>
      </c>
      <c r="B1717">
        <v>8</v>
      </c>
      <c r="C1717">
        <v>8807</v>
      </c>
      <c r="D1717">
        <v>245</v>
      </c>
      <c r="E1717" t="s">
        <v>10</v>
      </c>
      <c r="F1717">
        <v>3424402</v>
      </c>
      <c r="G1717" s="1">
        <v>363</v>
      </c>
      <c r="H1717" s="2">
        <v>90059</v>
      </c>
      <c r="I1717" t="str">
        <f>VLOOKUP(Tabela1[[#This Row],[CO_PAIS]],'[1]nome do paixs'!$A:$B,2,0)</f>
        <v>Espanha</v>
      </c>
      <c r="J1717" t="s">
        <v>13</v>
      </c>
    </row>
    <row r="1718" spans="1:10">
      <c r="A1718">
        <v>2023</v>
      </c>
      <c r="B1718">
        <v>8</v>
      </c>
      <c r="C1718">
        <v>8807</v>
      </c>
      <c r="D1718">
        <v>72</v>
      </c>
      <c r="E1718" t="s">
        <v>10</v>
      </c>
      <c r="F1718">
        <v>3449904</v>
      </c>
      <c r="G1718" s="1">
        <v>2</v>
      </c>
      <c r="H1718" s="2">
        <v>333</v>
      </c>
      <c r="I1718" t="str">
        <f>VLOOKUP(Tabela1[[#This Row],[CO_PAIS]],'[1]nome do paixs'!$A:$B,2,0)</f>
        <v>Áustria</v>
      </c>
      <c r="J1718" t="s">
        <v>12</v>
      </c>
    </row>
    <row r="1719" spans="1:10">
      <c r="A1719">
        <v>2023</v>
      </c>
      <c r="B1719">
        <v>8</v>
      </c>
      <c r="C1719">
        <v>8807</v>
      </c>
      <c r="D1719">
        <v>249</v>
      </c>
      <c r="E1719" t="s">
        <v>10</v>
      </c>
      <c r="F1719">
        <v>3449904</v>
      </c>
      <c r="G1719" s="1">
        <v>5721</v>
      </c>
      <c r="H1719" s="2">
        <v>4525368</v>
      </c>
      <c r="I1719" t="str">
        <f>VLOOKUP(Tabela1[[#This Row],[CO_PAIS]],'[1]nome do paixs'!$A:$B,2,0)</f>
        <v>Estados Unidos</v>
      </c>
      <c r="J1719" t="s">
        <v>12</v>
      </c>
    </row>
    <row r="1720" spans="1:10">
      <c r="A1720">
        <v>2023</v>
      </c>
      <c r="B1720">
        <v>8</v>
      </c>
      <c r="C1720">
        <v>8807</v>
      </c>
      <c r="D1720">
        <v>275</v>
      </c>
      <c r="E1720" t="s">
        <v>10</v>
      </c>
      <c r="F1720">
        <v>3449904</v>
      </c>
      <c r="G1720" s="1">
        <v>104</v>
      </c>
      <c r="H1720" s="2">
        <v>86978</v>
      </c>
      <c r="I1720" t="str">
        <f>VLOOKUP(Tabela1[[#This Row],[CO_PAIS]],'[1]nome do paixs'!$A:$B,2,0)</f>
        <v>França</v>
      </c>
      <c r="J1720" t="s">
        <v>12</v>
      </c>
    </row>
    <row r="1721" spans="1:10">
      <c r="A1721">
        <v>2023</v>
      </c>
      <c r="B1721">
        <v>8</v>
      </c>
      <c r="C1721">
        <v>8807</v>
      </c>
      <c r="D1721">
        <v>245</v>
      </c>
      <c r="E1721" t="s">
        <v>10</v>
      </c>
      <c r="F1721">
        <v>3454102</v>
      </c>
      <c r="G1721" s="1">
        <v>1083</v>
      </c>
      <c r="H1721" s="2">
        <v>985028</v>
      </c>
      <c r="I1721" t="str">
        <f>VLOOKUP(Tabela1[[#This Row],[CO_PAIS]],'[1]nome do paixs'!$A:$B,2,0)</f>
        <v>Espanha</v>
      </c>
      <c r="J1721" t="s">
        <v>11</v>
      </c>
    </row>
    <row r="1722" spans="1:10">
      <c r="A1722">
        <v>2023</v>
      </c>
      <c r="B1722">
        <v>8</v>
      </c>
      <c r="C1722">
        <v>8807</v>
      </c>
      <c r="D1722">
        <v>72</v>
      </c>
      <c r="E1722" t="s">
        <v>10</v>
      </c>
      <c r="F1722">
        <v>3454102</v>
      </c>
      <c r="G1722" s="1">
        <v>12504</v>
      </c>
      <c r="H1722" s="2">
        <v>1069355</v>
      </c>
      <c r="I1722" t="str">
        <f>VLOOKUP(Tabela1[[#This Row],[CO_PAIS]],'[1]nome do paixs'!$A:$B,2,0)</f>
        <v>Áustria</v>
      </c>
      <c r="J1722" t="s">
        <v>11</v>
      </c>
    </row>
    <row r="1723" spans="1:10">
      <c r="A1723">
        <v>2023</v>
      </c>
      <c r="B1723">
        <v>8</v>
      </c>
      <c r="C1723">
        <v>8807</v>
      </c>
      <c r="D1723">
        <v>676</v>
      </c>
      <c r="E1723" t="s">
        <v>10</v>
      </c>
      <c r="F1723">
        <v>3454102</v>
      </c>
      <c r="G1723" s="1">
        <v>11022</v>
      </c>
      <c r="H1723" s="2">
        <v>775137</v>
      </c>
      <c r="I1723" t="str">
        <f>VLOOKUP(Tabela1[[#This Row],[CO_PAIS]],'[1]nome do paixs'!$A:$B,2,0)</f>
        <v>Rússia</v>
      </c>
      <c r="J1723" t="s">
        <v>11</v>
      </c>
    </row>
    <row r="1724" spans="1:10">
      <c r="A1724">
        <v>2023</v>
      </c>
      <c r="B1724">
        <v>8</v>
      </c>
      <c r="C1724">
        <v>8807</v>
      </c>
      <c r="D1724">
        <v>249</v>
      </c>
      <c r="E1724" t="s">
        <v>10</v>
      </c>
      <c r="F1724">
        <v>3424402</v>
      </c>
      <c r="G1724" s="1">
        <v>316</v>
      </c>
      <c r="H1724" s="2">
        <v>27773</v>
      </c>
      <c r="I1724" t="str">
        <f>VLOOKUP(Tabela1[[#This Row],[CO_PAIS]],'[1]nome do paixs'!$A:$B,2,0)</f>
        <v>Estados Unidos</v>
      </c>
      <c r="J1724" t="s">
        <v>13</v>
      </c>
    </row>
    <row r="1725" spans="1:10">
      <c r="A1725">
        <v>2023</v>
      </c>
      <c r="B1725">
        <v>8</v>
      </c>
      <c r="C1725">
        <v>8807</v>
      </c>
      <c r="D1725">
        <v>455</v>
      </c>
      <c r="E1725" t="s">
        <v>10</v>
      </c>
      <c r="F1725">
        <v>3449904</v>
      </c>
      <c r="G1725" s="1">
        <v>3</v>
      </c>
      <c r="H1725" s="2">
        <v>47292</v>
      </c>
      <c r="I1725" t="str">
        <f>VLOOKUP(Tabela1[[#This Row],[CO_PAIS]],'[1]nome do paixs'!$A:$B,2,0)</f>
        <v>Malásia</v>
      </c>
      <c r="J1725" t="s">
        <v>12</v>
      </c>
    </row>
    <row r="1726" spans="1:10">
      <c r="A1726">
        <v>2023</v>
      </c>
      <c r="B1726">
        <v>8</v>
      </c>
      <c r="C1726">
        <v>8807</v>
      </c>
      <c r="D1726">
        <v>105</v>
      </c>
      <c r="E1726" t="s">
        <v>10</v>
      </c>
      <c r="F1726">
        <v>3449904</v>
      </c>
      <c r="G1726" s="1">
        <v>7312</v>
      </c>
      <c r="H1726" s="2">
        <v>5538804</v>
      </c>
      <c r="I1726" t="str">
        <f>VLOOKUP(Tabela1[[#This Row],[CO_PAIS]],'[1]nome do paixs'!$A:$B,2,0)</f>
        <v>Brasil</v>
      </c>
      <c r="J1726" t="s">
        <v>12</v>
      </c>
    </row>
    <row r="1727" spans="1:10">
      <c r="A1727">
        <v>2023</v>
      </c>
      <c r="B1727">
        <v>8</v>
      </c>
      <c r="C1727">
        <v>8807</v>
      </c>
      <c r="D1727">
        <v>493</v>
      </c>
      <c r="E1727" t="s">
        <v>10</v>
      </c>
      <c r="F1727">
        <v>3449904</v>
      </c>
      <c r="G1727" s="1">
        <v>2601</v>
      </c>
      <c r="H1727" s="2">
        <v>1746183</v>
      </c>
      <c r="I1727" t="str">
        <f>VLOOKUP(Tabela1[[#This Row],[CO_PAIS]],'[1]nome do paixs'!$A:$B,2,0)</f>
        <v>México</v>
      </c>
      <c r="J1727" t="s">
        <v>12</v>
      </c>
    </row>
    <row r="1728" spans="1:10">
      <c r="A1728">
        <v>2023</v>
      </c>
      <c r="B1728">
        <v>8</v>
      </c>
      <c r="C1728">
        <v>8807</v>
      </c>
      <c r="D1728">
        <v>190</v>
      </c>
      <c r="E1728" t="s">
        <v>10</v>
      </c>
      <c r="F1728">
        <v>3449904</v>
      </c>
      <c r="G1728" s="1">
        <v>7</v>
      </c>
      <c r="H1728" s="2">
        <v>10532</v>
      </c>
      <c r="I1728" t="str">
        <f>VLOOKUP(Tabela1[[#This Row],[CO_PAIS]],'[1]nome do paixs'!$A:$B,2,0)</f>
        <v>Coreia do Sul</v>
      </c>
      <c r="J1728" t="s">
        <v>12</v>
      </c>
    </row>
    <row r="1729" spans="1:10">
      <c r="A1729">
        <v>2023</v>
      </c>
      <c r="B1729">
        <v>8</v>
      </c>
      <c r="C1729">
        <v>8807</v>
      </c>
      <c r="D1729">
        <v>361</v>
      </c>
      <c r="E1729" t="s">
        <v>10</v>
      </c>
      <c r="F1729">
        <v>3449904</v>
      </c>
      <c r="G1729" s="1">
        <v>741</v>
      </c>
      <c r="H1729" s="2">
        <v>349822</v>
      </c>
      <c r="I1729" t="str">
        <f>VLOOKUP(Tabela1[[#This Row],[CO_PAIS]],'[1]nome do paixs'!$A:$B,2,0)</f>
        <v>Índia</v>
      </c>
      <c r="J1729" t="s">
        <v>12</v>
      </c>
    </row>
    <row r="1730" spans="1:10">
      <c r="A1730">
        <v>2023</v>
      </c>
      <c r="B1730">
        <v>8</v>
      </c>
      <c r="C1730">
        <v>8807</v>
      </c>
      <c r="D1730">
        <v>23</v>
      </c>
      <c r="E1730" t="s">
        <v>10</v>
      </c>
      <c r="F1730">
        <v>3424402</v>
      </c>
      <c r="G1730" s="1">
        <v>2</v>
      </c>
      <c r="H1730" s="2">
        <v>1662</v>
      </c>
      <c r="I1730" t="str">
        <f>VLOOKUP(Tabela1[[#This Row],[CO_PAIS]],'[1]nome do paixs'!$A:$B,2,0)</f>
        <v>Alemanha</v>
      </c>
      <c r="J1730" t="s">
        <v>13</v>
      </c>
    </row>
    <row r="1731" spans="1:10">
      <c r="A1731">
        <v>2023</v>
      </c>
      <c r="B1731">
        <v>8</v>
      </c>
      <c r="C1731">
        <v>8807</v>
      </c>
      <c r="D1731">
        <v>399</v>
      </c>
      <c r="E1731" t="s">
        <v>10</v>
      </c>
      <c r="F1731">
        <v>3449904</v>
      </c>
      <c r="G1731" s="1">
        <v>119</v>
      </c>
      <c r="H1731" s="2">
        <v>56434</v>
      </c>
      <c r="I1731" t="str">
        <f>VLOOKUP(Tabela1[[#This Row],[CO_PAIS]],'[1]nome do paixs'!$A:$B,2,0)</f>
        <v>Japão</v>
      </c>
      <c r="J1731" t="s">
        <v>12</v>
      </c>
    </row>
    <row r="1732" spans="1:10">
      <c r="A1732">
        <v>2023</v>
      </c>
      <c r="B1732">
        <v>8</v>
      </c>
      <c r="C1732">
        <v>8807</v>
      </c>
      <c r="D1732">
        <v>149</v>
      </c>
      <c r="E1732" t="s">
        <v>10</v>
      </c>
      <c r="F1732">
        <v>3454102</v>
      </c>
      <c r="G1732" s="1">
        <v>160</v>
      </c>
      <c r="H1732" s="2">
        <v>83984</v>
      </c>
      <c r="I1732" t="str">
        <f>VLOOKUP(Tabela1[[#This Row],[CO_PAIS]],'[1]nome do paixs'!$A:$B,2,0)</f>
        <v>Canadá</v>
      </c>
      <c r="J1732" t="s">
        <v>11</v>
      </c>
    </row>
    <row r="1733" spans="1:10">
      <c r="A1733">
        <v>2023</v>
      </c>
      <c r="B1733">
        <v>8</v>
      </c>
      <c r="C1733">
        <v>8807</v>
      </c>
      <c r="D1733">
        <v>275</v>
      </c>
      <c r="E1733" t="s">
        <v>10</v>
      </c>
      <c r="F1733">
        <v>3424402</v>
      </c>
      <c r="G1733" s="1">
        <v>290</v>
      </c>
      <c r="H1733" s="2">
        <v>269345</v>
      </c>
      <c r="I1733" t="str">
        <f>VLOOKUP(Tabela1[[#This Row],[CO_PAIS]],'[1]nome do paixs'!$A:$B,2,0)</f>
        <v>França</v>
      </c>
      <c r="J1733" t="s">
        <v>13</v>
      </c>
    </row>
    <row r="1734" spans="1:10">
      <c r="A1734">
        <v>2023</v>
      </c>
      <c r="B1734">
        <v>8</v>
      </c>
      <c r="C1734">
        <v>8807</v>
      </c>
      <c r="D1734">
        <v>607</v>
      </c>
      <c r="E1734" t="s">
        <v>10</v>
      </c>
      <c r="F1734">
        <v>3454102</v>
      </c>
      <c r="G1734" s="1">
        <v>13015</v>
      </c>
      <c r="H1734" s="2">
        <v>4380067</v>
      </c>
      <c r="I1734" t="str">
        <f>VLOOKUP(Tabela1[[#This Row],[CO_PAIS]],'[1]nome do paixs'!$A:$B,2,0)</f>
        <v>Portugal</v>
      </c>
      <c r="J1734" t="s">
        <v>11</v>
      </c>
    </row>
    <row r="1735" spans="1:10">
      <c r="A1735">
        <v>2023</v>
      </c>
      <c r="B1735">
        <v>8</v>
      </c>
      <c r="C1735">
        <v>8807</v>
      </c>
      <c r="D1735">
        <v>386</v>
      </c>
      <c r="E1735" t="s">
        <v>10</v>
      </c>
      <c r="F1735">
        <v>3449904</v>
      </c>
      <c r="G1735" s="1">
        <v>0</v>
      </c>
      <c r="H1735" s="2">
        <v>263</v>
      </c>
      <c r="I1735" t="str">
        <f>VLOOKUP(Tabela1[[#This Row],[CO_PAIS]],'[1]nome do paixs'!$A:$B,2,0)</f>
        <v>Itália</v>
      </c>
      <c r="J1735" t="s">
        <v>12</v>
      </c>
    </row>
    <row r="1736" spans="1:10">
      <c r="A1736">
        <v>2023</v>
      </c>
      <c r="B1736">
        <v>8</v>
      </c>
      <c r="C1736">
        <v>8807</v>
      </c>
      <c r="D1736">
        <v>87</v>
      </c>
      <c r="E1736" t="s">
        <v>10</v>
      </c>
      <c r="F1736">
        <v>3454102</v>
      </c>
      <c r="G1736" s="1">
        <v>2653</v>
      </c>
      <c r="H1736" s="2">
        <v>2161063</v>
      </c>
      <c r="I1736" t="str">
        <f>VLOOKUP(Tabela1[[#This Row],[CO_PAIS]],'[1]nome do paixs'!$A:$B,2,0)</f>
        <v>Bélgica</v>
      </c>
      <c r="J1736" t="s">
        <v>11</v>
      </c>
    </row>
    <row r="1737" spans="1:10">
      <c r="A1737">
        <v>2023</v>
      </c>
      <c r="B1737">
        <v>8</v>
      </c>
      <c r="C1737">
        <v>8807</v>
      </c>
      <c r="D1737">
        <v>628</v>
      </c>
      <c r="E1737" t="s">
        <v>10</v>
      </c>
      <c r="F1737">
        <v>3449904</v>
      </c>
      <c r="G1737" s="1">
        <v>392</v>
      </c>
      <c r="H1737" s="2">
        <v>608989</v>
      </c>
      <c r="I1737" t="str">
        <f>VLOOKUP(Tabela1[[#This Row],[CO_PAIS]],'[1]nome do paixs'!$A:$B,2,0)</f>
        <v>Reino Unido</v>
      </c>
      <c r="J1737" t="s">
        <v>12</v>
      </c>
    </row>
    <row r="1738" spans="1:10">
      <c r="A1738">
        <v>2023</v>
      </c>
      <c r="B1738">
        <v>8</v>
      </c>
      <c r="C1738">
        <v>8807</v>
      </c>
      <c r="D1738">
        <v>474</v>
      </c>
      <c r="E1738" t="s">
        <v>10</v>
      </c>
      <c r="F1738">
        <v>3449904</v>
      </c>
      <c r="G1738" s="1">
        <v>12</v>
      </c>
      <c r="H1738" s="2">
        <v>40301</v>
      </c>
      <c r="I1738" t="str">
        <f>VLOOKUP(Tabela1[[#This Row],[CO_PAIS]],'[1]nome do paixs'!$A:$B,2,0)</f>
        <v>Marrocos</v>
      </c>
      <c r="J1738" t="s">
        <v>12</v>
      </c>
    </row>
    <row r="1739" spans="1:10">
      <c r="A1739">
        <v>2023</v>
      </c>
      <c r="B1739">
        <v>8</v>
      </c>
      <c r="C1739">
        <v>8807</v>
      </c>
      <c r="D1739">
        <v>375</v>
      </c>
      <c r="E1739" t="s">
        <v>10</v>
      </c>
      <c r="F1739">
        <v>3454102</v>
      </c>
      <c r="G1739" s="1">
        <v>3</v>
      </c>
      <c r="H1739" s="2">
        <v>3436</v>
      </c>
      <c r="I1739" t="str">
        <f>VLOOKUP(Tabela1[[#This Row],[CO_PAIS]],'[1]nome do paixs'!$A:$B,2,0)</f>
        <v>Irlanda</v>
      </c>
      <c r="J1739" t="s">
        <v>11</v>
      </c>
    </row>
    <row r="1740" spans="1:10">
      <c r="A1740">
        <v>2023</v>
      </c>
      <c r="B1740">
        <v>8</v>
      </c>
      <c r="C1740">
        <v>8807</v>
      </c>
      <c r="D1740">
        <v>245</v>
      </c>
      <c r="E1740" t="s">
        <v>10</v>
      </c>
      <c r="F1740">
        <v>3449904</v>
      </c>
      <c r="G1740" s="1">
        <v>2541</v>
      </c>
      <c r="H1740" s="2">
        <v>787586</v>
      </c>
      <c r="I1740" t="str">
        <f>VLOOKUP(Tabela1[[#This Row],[CO_PAIS]],'[1]nome do paixs'!$A:$B,2,0)</f>
        <v>Espanha</v>
      </c>
      <c r="J1740" t="s">
        <v>12</v>
      </c>
    </row>
    <row r="1741" spans="1:10">
      <c r="A1741">
        <v>2023</v>
      </c>
      <c r="B1741">
        <v>8</v>
      </c>
      <c r="C1741">
        <v>8807</v>
      </c>
      <c r="D1741">
        <v>461</v>
      </c>
      <c r="E1741" t="s">
        <v>10</v>
      </c>
      <c r="F1741">
        <v>3449904</v>
      </c>
      <c r="G1741" s="1">
        <v>1</v>
      </c>
      <c r="H1741" s="2">
        <v>39410</v>
      </c>
      <c r="I1741" t="str">
        <f>VLOOKUP(Tabela1[[#This Row],[CO_PAIS]],'[1]nome do paixs'!$A:$B,2,0)</f>
        <v>Maldivas</v>
      </c>
      <c r="J1741" t="s">
        <v>12</v>
      </c>
    </row>
    <row r="1742" spans="1:10">
      <c r="A1742">
        <v>2023</v>
      </c>
      <c r="B1742">
        <v>8</v>
      </c>
      <c r="C1742">
        <v>8807</v>
      </c>
      <c r="D1742">
        <v>493</v>
      </c>
      <c r="E1742" t="s">
        <v>10</v>
      </c>
      <c r="F1742">
        <v>3454102</v>
      </c>
      <c r="G1742" s="1">
        <v>9106</v>
      </c>
      <c r="H1742" s="2">
        <v>4684364</v>
      </c>
      <c r="I1742" t="str">
        <f>VLOOKUP(Tabela1[[#This Row],[CO_PAIS]],'[1]nome do paixs'!$A:$B,2,0)</f>
        <v>México</v>
      </c>
      <c r="J1742" t="s">
        <v>11</v>
      </c>
    </row>
    <row r="1743" spans="1:10">
      <c r="A1743">
        <v>2023</v>
      </c>
      <c r="B1743">
        <v>8</v>
      </c>
      <c r="C1743">
        <v>8807</v>
      </c>
      <c r="D1743">
        <v>239</v>
      </c>
      <c r="E1743" t="s">
        <v>10</v>
      </c>
      <c r="F1743">
        <v>3449904</v>
      </c>
      <c r="G1743" s="1">
        <v>20</v>
      </c>
      <c r="H1743" s="2">
        <v>144548</v>
      </c>
      <c r="I1743" t="str">
        <f>VLOOKUP(Tabela1[[#This Row],[CO_PAIS]],'[1]nome do paixs'!$A:$B,2,0)</f>
        <v>Equador</v>
      </c>
      <c r="J1743" t="s">
        <v>12</v>
      </c>
    </row>
    <row r="1744" spans="1:10">
      <c r="A1744">
        <v>2023</v>
      </c>
      <c r="B1744">
        <v>8</v>
      </c>
      <c r="C1744">
        <v>8807</v>
      </c>
      <c r="D1744">
        <v>87</v>
      </c>
      <c r="E1744" t="s">
        <v>10</v>
      </c>
      <c r="F1744">
        <v>3449904</v>
      </c>
      <c r="G1744" s="1">
        <v>1449</v>
      </c>
      <c r="H1744" s="2">
        <v>1799983</v>
      </c>
      <c r="I1744" t="str">
        <f>VLOOKUP(Tabela1[[#This Row],[CO_PAIS]],'[1]nome do paixs'!$A:$B,2,0)</f>
        <v>Bélgica</v>
      </c>
      <c r="J1744" t="s">
        <v>12</v>
      </c>
    </row>
    <row r="1745" spans="1:10">
      <c r="A1745">
        <v>2023</v>
      </c>
      <c r="B1745">
        <v>8</v>
      </c>
      <c r="C1745">
        <v>8807</v>
      </c>
      <c r="D1745">
        <v>249</v>
      </c>
      <c r="E1745" t="s">
        <v>10</v>
      </c>
      <c r="F1745">
        <v>3454102</v>
      </c>
      <c r="G1745" s="1">
        <v>38504</v>
      </c>
      <c r="H1745" s="2">
        <v>10796629</v>
      </c>
      <c r="I1745" t="str">
        <f>VLOOKUP(Tabela1[[#This Row],[CO_PAIS]],'[1]nome do paixs'!$A:$B,2,0)</f>
        <v>Estados Unidos</v>
      </c>
      <c r="J1745" t="s">
        <v>11</v>
      </c>
    </row>
    <row r="1746" spans="1:10">
      <c r="A1746">
        <v>2023</v>
      </c>
      <c r="B1746">
        <v>8</v>
      </c>
      <c r="C1746">
        <v>8807</v>
      </c>
      <c r="D1746">
        <v>190</v>
      </c>
      <c r="E1746" t="s">
        <v>10</v>
      </c>
      <c r="F1746">
        <v>3424402</v>
      </c>
      <c r="G1746" s="1">
        <v>82</v>
      </c>
      <c r="H1746" s="2">
        <v>33631</v>
      </c>
      <c r="I1746" t="str">
        <f>VLOOKUP(Tabela1[[#This Row],[CO_PAIS]],'[1]nome do paixs'!$A:$B,2,0)</f>
        <v>Coreia do Sul</v>
      </c>
      <c r="J1746" t="s">
        <v>13</v>
      </c>
    </row>
    <row r="1747" spans="1:10">
      <c r="A1747">
        <v>2023</v>
      </c>
      <c r="B1747">
        <v>8</v>
      </c>
      <c r="C1747">
        <v>8807</v>
      </c>
      <c r="D1747">
        <v>741</v>
      </c>
      <c r="E1747" t="s">
        <v>10</v>
      </c>
      <c r="F1747">
        <v>3449904</v>
      </c>
      <c r="G1747" s="1">
        <v>1</v>
      </c>
      <c r="H1747" s="2">
        <v>2884</v>
      </c>
      <c r="I1747" t="str">
        <f>VLOOKUP(Tabela1[[#This Row],[CO_PAIS]],'[1]nome do paixs'!$A:$B,2,0)</f>
        <v>Singapura</v>
      </c>
      <c r="J1747" t="s">
        <v>12</v>
      </c>
    </row>
    <row r="1748" spans="1:10">
      <c r="A1748">
        <v>2023</v>
      </c>
      <c r="B1748">
        <v>8</v>
      </c>
      <c r="C1748">
        <v>8807</v>
      </c>
      <c r="D1748">
        <v>791</v>
      </c>
      <c r="E1748" t="s">
        <v>10</v>
      </c>
      <c r="F1748">
        <v>3424402</v>
      </c>
      <c r="G1748" s="1">
        <v>155</v>
      </c>
      <c r="H1748" s="2">
        <v>121836</v>
      </c>
      <c r="I1748" t="str">
        <f>VLOOKUP(Tabela1[[#This Row],[CO_PAIS]],'[1]nome do paixs'!$A:$B,2,0)</f>
        <v>Tcheca, República</v>
      </c>
      <c r="J1748" t="s">
        <v>13</v>
      </c>
    </row>
    <row r="1749" spans="1:10">
      <c r="A1749">
        <v>2023</v>
      </c>
      <c r="B1749">
        <v>8</v>
      </c>
      <c r="C1749">
        <v>8807</v>
      </c>
      <c r="D1749">
        <v>190</v>
      </c>
      <c r="E1749" t="s">
        <v>10</v>
      </c>
      <c r="F1749">
        <v>3454102</v>
      </c>
      <c r="G1749" s="1">
        <v>4567</v>
      </c>
      <c r="H1749" s="2">
        <v>4426653</v>
      </c>
      <c r="I1749" t="str">
        <f>VLOOKUP(Tabela1[[#This Row],[CO_PAIS]],'[1]nome do paixs'!$A:$B,2,0)</f>
        <v>Coreia do Sul</v>
      </c>
      <c r="J1749" t="s">
        <v>11</v>
      </c>
    </row>
    <row r="1750" spans="1:10">
      <c r="A1750">
        <v>2023</v>
      </c>
      <c r="B1750">
        <v>8</v>
      </c>
      <c r="C1750">
        <v>8807</v>
      </c>
      <c r="D1750">
        <v>87</v>
      </c>
      <c r="E1750" t="s">
        <v>10</v>
      </c>
      <c r="F1750">
        <v>3424402</v>
      </c>
      <c r="G1750" s="1">
        <v>28</v>
      </c>
      <c r="H1750" s="2">
        <v>58587</v>
      </c>
      <c r="I1750" t="str">
        <f>VLOOKUP(Tabela1[[#This Row],[CO_PAIS]],'[1]nome do paixs'!$A:$B,2,0)</f>
        <v>Bélgica</v>
      </c>
      <c r="J1750" t="s">
        <v>13</v>
      </c>
    </row>
    <row r="1751" spans="1:10">
      <c r="A1751">
        <v>2023</v>
      </c>
      <c r="B1751">
        <v>8</v>
      </c>
      <c r="C1751">
        <v>8807</v>
      </c>
      <c r="D1751">
        <v>628</v>
      </c>
      <c r="E1751" t="s">
        <v>10</v>
      </c>
      <c r="F1751">
        <v>3454102</v>
      </c>
      <c r="G1751" s="1">
        <v>60</v>
      </c>
      <c r="H1751" s="2">
        <v>145428</v>
      </c>
      <c r="I1751" t="str">
        <f>VLOOKUP(Tabela1[[#This Row],[CO_PAIS]],'[1]nome do paixs'!$A:$B,2,0)</f>
        <v>Reino Unido</v>
      </c>
      <c r="J1751" t="s">
        <v>11</v>
      </c>
    </row>
    <row r="1752" spans="1:10">
      <c r="A1752">
        <v>2023</v>
      </c>
      <c r="B1752">
        <v>8</v>
      </c>
      <c r="C1752">
        <v>8807</v>
      </c>
      <c r="D1752">
        <v>603</v>
      </c>
      <c r="E1752" t="s">
        <v>10</v>
      </c>
      <c r="F1752">
        <v>3449904</v>
      </c>
      <c r="G1752" s="1">
        <v>16</v>
      </c>
      <c r="H1752" s="2">
        <v>6829</v>
      </c>
      <c r="I1752" t="str">
        <f>VLOOKUP(Tabela1[[#This Row],[CO_PAIS]],'[1]nome do paixs'!$A:$B,2,0)</f>
        <v>Polônia</v>
      </c>
      <c r="J1752" t="s">
        <v>12</v>
      </c>
    </row>
    <row r="1753" spans="1:10">
      <c r="A1753">
        <v>2023</v>
      </c>
      <c r="B1753">
        <v>8</v>
      </c>
      <c r="C1753">
        <v>8807</v>
      </c>
      <c r="D1753">
        <v>607</v>
      </c>
      <c r="E1753" t="s">
        <v>10</v>
      </c>
      <c r="F1753">
        <v>3449904</v>
      </c>
      <c r="G1753" s="1">
        <v>3</v>
      </c>
      <c r="H1753" s="2">
        <v>2287</v>
      </c>
      <c r="I1753" t="str">
        <f>VLOOKUP(Tabela1[[#This Row],[CO_PAIS]],'[1]nome do paixs'!$A:$B,2,0)</f>
        <v>Portugal</v>
      </c>
      <c r="J1753" t="s">
        <v>12</v>
      </c>
    </row>
    <row r="1754" spans="1:10">
      <c r="A1754">
        <v>2022</v>
      </c>
      <c r="B1754">
        <v>8</v>
      </c>
      <c r="C1754">
        <v>8807</v>
      </c>
      <c r="D1754">
        <v>149</v>
      </c>
      <c r="E1754" t="s">
        <v>10</v>
      </c>
      <c r="F1754">
        <v>3449904</v>
      </c>
      <c r="G1754" s="1">
        <v>70</v>
      </c>
      <c r="H1754" s="2">
        <v>116703</v>
      </c>
      <c r="I1754" t="str">
        <f>VLOOKUP(Tabela1[[#This Row],[CO_PAIS]],'[1]nome do paixs'!$A:$B,2,0)</f>
        <v>Canadá</v>
      </c>
      <c r="J1754" t="s">
        <v>12</v>
      </c>
    </row>
    <row r="1755" spans="1:10">
      <c r="A1755">
        <v>2022</v>
      </c>
      <c r="B1755">
        <v>8</v>
      </c>
      <c r="C1755">
        <v>8807</v>
      </c>
      <c r="D1755">
        <v>375</v>
      </c>
      <c r="E1755" t="s">
        <v>10</v>
      </c>
      <c r="F1755">
        <v>3454102</v>
      </c>
      <c r="G1755" s="1">
        <v>11</v>
      </c>
      <c r="H1755" s="2">
        <v>5650</v>
      </c>
      <c r="I1755" t="str">
        <f>VLOOKUP(Tabela1[[#This Row],[CO_PAIS]],'[1]nome do paixs'!$A:$B,2,0)</f>
        <v>Irlanda</v>
      </c>
      <c r="J1755" t="s">
        <v>11</v>
      </c>
    </row>
    <row r="1756" spans="1:10">
      <c r="A1756">
        <v>2022</v>
      </c>
      <c r="B1756">
        <v>8</v>
      </c>
      <c r="C1756">
        <v>8807</v>
      </c>
      <c r="D1756">
        <v>603</v>
      </c>
      <c r="E1756" t="s">
        <v>10</v>
      </c>
      <c r="F1756">
        <v>3449904</v>
      </c>
      <c r="G1756" s="1">
        <v>42</v>
      </c>
      <c r="H1756" s="2">
        <v>16761</v>
      </c>
      <c r="I1756" t="str">
        <f>VLOOKUP(Tabela1[[#This Row],[CO_PAIS]],'[1]nome do paixs'!$A:$B,2,0)</f>
        <v>Polônia</v>
      </c>
      <c r="J1756" t="s">
        <v>12</v>
      </c>
    </row>
    <row r="1757" spans="1:10">
      <c r="A1757">
        <v>2022</v>
      </c>
      <c r="B1757">
        <v>8</v>
      </c>
      <c r="C1757">
        <v>8807</v>
      </c>
      <c r="D1757">
        <v>607</v>
      </c>
      <c r="E1757" t="s">
        <v>10</v>
      </c>
      <c r="F1757">
        <v>3454102</v>
      </c>
      <c r="G1757" s="1">
        <v>24095</v>
      </c>
      <c r="H1757" s="2">
        <v>7882843</v>
      </c>
      <c r="I1757" t="str">
        <f>VLOOKUP(Tabela1[[#This Row],[CO_PAIS]],'[1]nome do paixs'!$A:$B,2,0)</f>
        <v>Portugal</v>
      </c>
      <c r="J1757" t="s">
        <v>11</v>
      </c>
    </row>
    <row r="1758" spans="1:10">
      <c r="A1758">
        <v>2022</v>
      </c>
      <c r="B1758">
        <v>8</v>
      </c>
      <c r="C1758">
        <v>8807</v>
      </c>
      <c r="D1758">
        <v>249</v>
      </c>
      <c r="E1758" t="s">
        <v>10</v>
      </c>
      <c r="F1758">
        <v>3454102</v>
      </c>
      <c r="G1758" s="1">
        <v>19407</v>
      </c>
      <c r="H1758" s="2">
        <v>6864905</v>
      </c>
      <c r="I1758" t="str">
        <f>VLOOKUP(Tabela1[[#This Row],[CO_PAIS]],'[1]nome do paixs'!$A:$B,2,0)</f>
        <v>Estados Unidos</v>
      </c>
      <c r="J1758" t="s">
        <v>11</v>
      </c>
    </row>
    <row r="1759" spans="1:10">
      <c r="A1759">
        <v>2022</v>
      </c>
      <c r="B1759">
        <v>8</v>
      </c>
      <c r="C1759">
        <v>8807</v>
      </c>
      <c r="D1759">
        <v>190</v>
      </c>
      <c r="E1759" t="s">
        <v>10</v>
      </c>
      <c r="F1759">
        <v>3454102</v>
      </c>
      <c r="G1759" s="1">
        <v>2363</v>
      </c>
      <c r="H1759" s="2">
        <v>2248602</v>
      </c>
      <c r="I1759" t="str">
        <f>VLOOKUP(Tabela1[[#This Row],[CO_PAIS]],'[1]nome do paixs'!$A:$B,2,0)</f>
        <v>Coreia do Sul</v>
      </c>
      <c r="J1759" t="s">
        <v>11</v>
      </c>
    </row>
    <row r="1760" spans="1:10">
      <c r="A1760">
        <v>2022</v>
      </c>
      <c r="B1760">
        <v>8</v>
      </c>
      <c r="C1760">
        <v>8807</v>
      </c>
      <c r="D1760">
        <v>383</v>
      </c>
      <c r="E1760" t="s">
        <v>10</v>
      </c>
      <c r="F1760">
        <v>3449904</v>
      </c>
      <c r="G1760" s="1">
        <v>1</v>
      </c>
      <c r="H1760" s="2">
        <v>3316</v>
      </c>
      <c r="I1760" t="str">
        <f>VLOOKUP(Tabela1[[#This Row],[CO_PAIS]],'[1]nome do paixs'!$A:$B,2,0)</f>
        <v>Israel</v>
      </c>
      <c r="J1760" t="s">
        <v>12</v>
      </c>
    </row>
    <row r="1761" spans="1:10">
      <c r="A1761">
        <v>2022</v>
      </c>
      <c r="B1761">
        <v>8</v>
      </c>
      <c r="C1761">
        <v>8807</v>
      </c>
      <c r="D1761">
        <v>455</v>
      </c>
      <c r="E1761" t="s">
        <v>10</v>
      </c>
      <c r="F1761">
        <v>3454102</v>
      </c>
      <c r="G1761" s="1">
        <v>2203</v>
      </c>
      <c r="H1761" s="2">
        <v>343504</v>
      </c>
      <c r="I1761" t="str">
        <f>VLOOKUP(Tabela1[[#This Row],[CO_PAIS]],'[1]nome do paixs'!$A:$B,2,0)</f>
        <v>Malásia</v>
      </c>
      <c r="J1761" t="s">
        <v>11</v>
      </c>
    </row>
    <row r="1762" spans="1:10">
      <c r="A1762">
        <v>2022</v>
      </c>
      <c r="B1762">
        <v>8</v>
      </c>
      <c r="C1762">
        <v>8807</v>
      </c>
      <c r="D1762">
        <v>87</v>
      </c>
      <c r="E1762" t="s">
        <v>10</v>
      </c>
      <c r="F1762">
        <v>3454102</v>
      </c>
      <c r="G1762" s="1">
        <v>1979</v>
      </c>
      <c r="H1762" s="2">
        <v>1975052</v>
      </c>
      <c r="I1762" t="str">
        <f>VLOOKUP(Tabela1[[#This Row],[CO_PAIS]],'[1]nome do paixs'!$A:$B,2,0)</f>
        <v>Bélgica</v>
      </c>
      <c r="J1762" t="s">
        <v>11</v>
      </c>
    </row>
    <row r="1763" spans="1:10">
      <c r="A1763">
        <v>2022</v>
      </c>
      <c r="B1763">
        <v>8</v>
      </c>
      <c r="C1763">
        <v>8807</v>
      </c>
      <c r="D1763">
        <v>275</v>
      </c>
      <c r="E1763" t="s">
        <v>10</v>
      </c>
      <c r="F1763">
        <v>3424402</v>
      </c>
      <c r="G1763" s="1">
        <v>456</v>
      </c>
      <c r="H1763" s="2">
        <v>628854</v>
      </c>
      <c r="I1763" t="str">
        <f>VLOOKUP(Tabela1[[#This Row],[CO_PAIS]],'[1]nome do paixs'!$A:$B,2,0)</f>
        <v>França</v>
      </c>
      <c r="J1763" t="s">
        <v>13</v>
      </c>
    </row>
    <row r="1764" spans="1:10">
      <c r="A1764">
        <v>2022</v>
      </c>
      <c r="B1764">
        <v>8</v>
      </c>
      <c r="C1764">
        <v>8807</v>
      </c>
      <c r="D1764">
        <v>741</v>
      </c>
      <c r="E1764" t="s">
        <v>10</v>
      </c>
      <c r="F1764">
        <v>3449904</v>
      </c>
      <c r="G1764" s="1">
        <v>185</v>
      </c>
      <c r="H1764" s="2">
        <v>199723</v>
      </c>
      <c r="I1764" t="str">
        <f>VLOOKUP(Tabela1[[#This Row],[CO_PAIS]],'[1]nome do paixs'!$A:$B,2,0)</f>
        <v>Singapura</v>
      </c>
      <c r="J1764" t="s">
        <v>12</v>
      </c>
    </row>
    <row r="1765" spans="1:10">
      <c r="A1765">
        <v>2022</v>
      </c>
      <c r="B1765">
        <v>8</v>
      </c>
      <c r="C1765">
        <v>8807</v>
      </c>
      <c r="D1765">
        <v>249</v>
      </c>
      <c r="E1765" t="s">
        <v>10</v>
      </c>
      <c r="F1765">
        <v>3424402</v>
      </c>
      <c r="G1765" s="1">
        <v>37</v>
      </c>
      <c r="H1765" s="2">
        <v>52247</v>
      </c>
      <c r="I1765" t="str">
        <f>VLOOKUP(Tabela1[[#This Row],[CO_PAIS]],'[1]nome do paixs'!$A:$B,2,0)</f>
        <v>Estados Unidos</v>
      </c>
      <c r="J1765" t="s">
        <v>13</v>
      </c>
    </row>
    <row r="1766" spans="1:10">
      <c r="A1766">
        <v>2022</v>
      </c>
      <c r="B1766">
        <v>8</v>
      </c>
      <c r="C1766">
        <v>8807</v>
      </c>
      <c r="D1766">
        <v>628</v>
      </c>
      <c r="E1766" t="s">
        <v>10</v>
      </c>
      <c r="F1766">
        <v>3454102</v>
      </c>
      <c r="G1766" s="1">
        <v>68</v>
      </c>
      <c r="H1766" s="2">
        <v>83131</v>
      </c>
      <c r="I1766" t="str">
        <f>VLOOKUP(Tabela1[[#This Row],[CO_PAIS]],'[1]nome do paixs'!$A:$B,2,0)</f>
        <v>Reino Unido</v>
      </c>
      <c r="J1766" t="s">
        <v>11</v>
      </c>
    </row>
    <row r="1767" spans="1:10">
      <c r="A1767">
        <v>2022</v>
      </c>
      <c r="B1767">
        <v>8</v>
      </c>
      <c r="C1767">
        <v>8807</v>
      </c>
      <c r="D1767">
        <v>474</v>
      </c>
      <c r="E1767" t="s">
        <v>10</v>
      </c>
      <c r="F1767">
        <v>3454102</v>
      </c>
      <c r="G1767" s="1">
        <v>184</v>
      </c>
      <c r="H1767" s="2">
        <v>354281</v>
      </c>
      <c r="I1767" t="str">
        <f>VLOOKUP(Tabela1[[#This Row],[CO_PAIS]],'[1]nome do paixs'!$A:$B,2,0)</f>
        <v>Marrocos</v>
      </c>
      <c r="J1767" t="s">
        <v>11</v>
      </c>
    </row>
    <row r="1768" spans="1:10">
      <c r="A1768">
        <v>2022</v>
      </c>
      <c r="B1768">
        <v>8</v>
      </c>
      <c r="C1768">
        <v>8807</v>
      </c>
      <c r="D1768">
        <v>827</v>
      </c>
      <c r="E1768" t="s">
        <v>10</v>
      </c>
      <c r="F1768">
        <v>3449904</v>
      </c>
      <c r="G1768" s="1">
        <v>0</v>
      </c>
      <c r="H1768" s="2">
        <v>594</v>
      </c>
      <c r="I1768" t="str">
        <f>VLOOKUP(Tabela1[[#This Row],[CO_PAIS]],'[1]nome do paixs'!$A:$B,2,0)</f>
        <v>Turquia</v>
      </c>
      <c r="J1768" t="s">
        <v>12</v>
      </c>
    </row>
    <row r="1769" spans="1:10">
      <c r="A1769">
        <v>2022</v>
      </c>
      <c r="B1769">
        <v>8</v>
      </c>
      <c r="C1769">
        <v>8807</v>
      </c>
      <c r="D1769">
        <v>791</v>
      </c>
      <c r="E1769" t="s">
        <v>10</v>
      </c>
      <c r="F1769">
        <v>3424402</v>
      </c>
      <c r="G1769" s="1">
        <v>412</v>
      </c>
      <c r="H1769" s="2">
        <v>299017</v>
      </c>
      <c r="I1769" t="str">
        <f>VLOOKUP(Tabela1[[#This Row],[CO_PAIS]],'[1]nome do paixs'!$A:$B,2,0)</f>
        <v>Tcheca, República</v>
      </c>
      <c r="J1769" t="s">
        <v>13</v>
      </c>
    </row>
    <row r="1770" spans="1:10">
      <c r="A1770">
        <v>2022</v>
      </c>
      <c r="B1770">
        <v>8</v>
      </c>
      <c r="C1770">
        <v>8807</v>
      </c>
      <c r="D1770">
        <v>493</v>
      </c>
      <c r="E1770" t="s">
        <v>10</v>
      </c>
      <c r="F1770">
        <v>3449904</v>
      </c>
      <c r="G1770" s="1">
        <v>2194</v>
      </c>
      <c r="H1770" s="2">
        <v>1437855</v>
      </c>
      <c r="I1770" t="str">
        <f>VLOOKUP(Tabela1[[#This Row],[CO_PAIS]],'[1]nome do paixs'!$A:$B,2,0)</f>
        <v>México</v>
      </c>
      <c r="J1770" t="s">
        <v>12</v>
      </c>
    </row>
    <row r="1771" spans="1:10">
      <c r="A1771">
        <v>2022</v>
      </c>
      <c r="B1771">
        <v>8</v>
      </c>
      <c r="C1771">
        <v>8807</v>
      </c>
      <c r="D1771">
        <v>23</v>
      </c>
      <c r="E1771" t="s">
        <v>10</v>
      </c>
      <c r="F1771">
        <v>3424402</v>
      </c>
      <c r="G1771" s="1">
        <v>14</v>
      </c>
      <c r="H1771" s="2">
        <v>22395</v>
      </c>
      <c r="I1771" t="str">
        <f>VLOOKUP(Tabela1[[#This Row],[CO_PAIS]],'[1]nome do paixs'!$A:$B,2,0)</f>
        <v>Alemanha</v>
      </c>
      <c r="J1771" t="s">
        <v>13</v>
      </c>
    </row>
    <row r="1772" spans="1:10">
      <c r="A1772">
        <v>2022</v>
      </c>
      <c r="B1772">
        <v>8</v>
      </c>
      <c r="C1772">
        <v>8807</v>
      </c>
      <c r="D1772">
        <v>493</v>
      </c>
      <c r="E1772" t="s">
        <v>10</v>
      </c>
      <c r="F1772">
        <v>3454102</v>
      </c>
      <c r="G1772" s="1">
        <v>10009</v>
      </c>
      <c r="H1772" s="2">
        <v>4133940</v>
      </c>
      <c r="I1772" t="str">
        <f>VLOOKUP(Tabela1[[#This Row],[CO_PAIS]],'[1]nome do paixs'!$A:$B,2,0)</f>
        <v>México</v>
      </c>
      <c r="J1772" t="s">
        <v>11</v>
      </c>
    </row>
    <row r="1773" spans="1:10">
      <c r="A1773">
        <v>2022</v>
      </c>
      <c r="B1773">
        <v>8</v>
      </c>
      <c r="C1773">
        <v>8807</v>
      </c>
      <c r="D1773">
        <v>249</v>
      </c>
      <c r="E1773" t="s">
        <v>10</v>
      </c>
      <c r="F1773">
        <v>3449904</v>
      </c>
      <c r="G1773" s="1">
        <v>9008</v>
      </c>
      <c r="H1773" s="2">
        <v>4371987</v>
      </c>
      <c r="I1773" t="str">
        <f>VLOOKUP(Tabela1[[#This Row],[CO_PAIS]],'[1]nome do paixs'!$A:$B,2,0)</f>
        <v>Estados Unidos</v>
      </c>
      <c r="J1773" t="s">
        <v>12</v>
      </c>
    </row>
    <row r="1774" spans="1:10">
      <c r="A1774">
        <v>2022</v>
      </c>
      <c r="B1774">
        <v>8</v>
      </c>
      <c r="C1774">
        <v>8807</v>
      </c>
      <c r="D1774">
        <v>245</v>
      </c>
      <c r="E1774" t="s">
        <v>10</v>
      </c>
      <c r="F1774">
        <v>3454102</v>
      </c>
      <c r="G1774" s="1">
        <v>2086</v>
      </c>
      <c r="H1774" s="2">
        <v>1821643</v>
      </c>
      <c r="I1774" t="str">
        <f>VLOOKUP(Tabela1[[#This Row],[CO_PAIS]],'[1]nome do paixs'!$A:$B,2,0)</f>
        <v>Espanha</v>
      </c>
      <c r="J1774" t="s">
        <v>11</v>
      </c>
    </row>
    <row r="1775" spans="1:10">
      <c r="A1775">
        <v>2022</v>
      </c>
      <c r="B1775">
        <v>8</v>
      </c>
      <c r="C1775">
        <v>8807</v>
      </c>
      <c r="D1775">
        <v>23</v>
      </c>
      <c r="E1775" t="s">
        <v>10</v>
      </c>
      <c r="F1775">
        <v>3454102</v>
      </c>
      <c r="G1775" s="1">
        <v>14760</v>
      </c>
      <c r="H1775" s="2">
        <v>1282433</v>
      </c>
      <c r="I1775" t="str">
        <f>VLOOKUP(Tabela1[[#This Row],[CO_PAIS]],'[1]nome do paixs'!$A:$B,2,0)</f>
        <v>Alemanha</v>
      </c>
      <c r="J1775" t="s">
        <v>11</v>
      </c>
    </row>
    <row r="1776" spans="1:10">
      <c r="A1776">
        <v>2022</v>
      </c>
      <c r="B1776">
        <v>8</v>
      </c>
      <c r="C1776">
        <v>8807</v>
      </c>
      <c r="D1776">
        <v>676</v>
      </c>
      <c r="E1776" t="s">
        <v>10</v>
      </c>
      <c r="F1776">
        <v>3449904</v>
      </c>
      <c r="G1776" s="1">
        <v>148</v>
      </c>
      <c r="H1776" s="2">
        <v>89499</v>
      </c>
      <c r="I1776" t="str">
        <f>VLOOKUP(Tabela1[[#This Row],[CO_PAIS]],'[1]nome do paixs'!$A:$B,2,0)</f>
        <v>Rússia</v>
      </c>
      <c r="J1776" t="s">
        <v>12</v>
      </c>
    </row>
    <row r="1777" spans="1:10">
      <c r="A1777">
        <v>2022</v>
      </c>
      <c r="B1777">
        <v>8</v>
      </c>
      <c r="C1777">
        <v>8807</v>
      </c>
      <c r="D1777">
        <v>149</v>
      </c>
      <c r="E1777" t="s">
        <v>10</v>
      </c>
      <c r="F1777">
        <v>3454102</v>
      </c>
      <c r="G1777" s="1">
        <v>82</v>
      </c>
      <c r="H1777" s="2">
        <v>31485</v>
      </c>
      <c r="I1777" t="str">
        <f>VLOOKUP(Tabela1[[#This Row],[CO_PAIS]],'[1]nome do paixs'!$A:$B,2,0)</f>
        <v>Canadá</v>
      </c>
      <c r="J1777" t="s">
        <v>11</v>
      </c>
    </row>
    <row r="1778" spans="1:10">
      <c r="A1778">
        <v>2022</v>
      </c>
      <c r="B1778">
        <v>8</v>
      </c>
      <c r="C1778">
        <v>8807</v>
      </c>
      <c r="D1778">
        <v>190</v>
      </c>
      <c r="E1778" t="s">
        <v>10</v>
      </c>
      <c r="F1778">
        <v>3449904</v>
      </c>
      <c r="G1778" s="1">
        <v>0</v>
      </c>
      <c r="H1778" s="2">
        <v>458</v>
      </c>
      <c r="I1778" t="str">
        <f>VLOOKUP(Tabela1[[#This Row],[CO_PAIS]],'[1]nome do paixs'!$A:$B,2,0)</f>
        <v>Coreia do Sul</v>
      </c>
      <c r="J1778" t="s">
        <v>12</v>
      </c>
    </row>
    <row r="1779" spans="1:10">
      <c r="A1779">
        <v>2022</v>
      </c>
      <c r="B1779">
        <v>8</v>
      </c>
      <c r="C1779">
        <v>8807</v>
      </c>
      <c r="D1779">
        <v>386</v>
      </c>
      <c r="E1779" t="s">
        <v>10</v>
      </c>
      <c r="F1779">
        <v>3449904</v>
      </c>
      <c r="G1779" s="1">
        <v>72</v>
      </c>
      <c r="H1779" s="2">
        <v>71271</v>
      </c>
      <c r="I1779" t="str">
        <f>VLOOKUP(Tabela1[[#This Row],[CO_PAIS]],'[1]nome do paixs'!$A:$B,2,0)</f>
        <v>Itália</v>
      </c>
      <c r="J1779" t="s">
        <v>12</v>
      </c>
    </row>
    <row r="1780" spans="1:10">
      <c r="A1780">
        <v>2022</v>
      </c>
      <c r="B1780">
        <v>8</v>
      </c>
      <c r="C1780">
        <v>8807</v>
      </c>
      <c r="D1780">
        <v>386</v>
      </c>
      <c r="E1780" t="s">
        <v>10</v>
      </c>
      <c r="F1780">
        <v>3454102</v>
      </c>
      <c r="G1780" s="1">
        <v>568</v>
      </c>
      <c r="H1780" s="2">
        <v>1501325</v>
      </c>
      <c r="I1780" t="str">
        <f>VLOOKUP(Tabela1[[#This Row],[CO_PAIS]],'[1]nome do paixs'!$A:$B,2,0)</f>
        <v>Itália</v>
      </c>
      <c r="J1780" t="s">
        <v>11</v>
      </c>
    </row>
    <row r="1781" spans="1:10">
      <c r="A1781">
        <v>2022</v>
      </c>
      <c r="B1781">
        <v>8</v>
      </c>
      <c r="C1781">
        <v>8807</v>
      </c>
      <c r="D1781">
        <v>105</v>
      </c>
      <c r="E1781" t="s">
        <v>10</v>
      </c>
      <c r="F1781">
        <v>3454102</v>
      </c>
      <c r="G1781" s="1">
        <v>7459</v>
      </c>
      <c r="H1781" s="2">
        <v>6853599</v>
      </c>
      <c r="I1781" t="str">
        <f>VLOOKUP(Tabela1[[#This Row],[CO_PAIS]],'[1]nome do paixs'!$A:$B,2,0)</f>
        <v>Brasil</v>
      </c>
      <c r="J1781" t="s">
        <v>11</v>
      </c>
    </row>
    <row r="1782" spans="1:10">
      <c r="A1782">
        <v>2022</v>
      </c>
      <c r="B1782">
        <v>8</v>
      </c>
      <c r="C1782">
        <v>8807</v>
      </c>
      <c r="D1782">
        <v>23</v>
      </c>
      <c r="E1782" t="s">
        <v>10</v>
      </c>
      <c r="F1782">
        <v>3449904</v>
      </c>
      <c r="G1782" s="1">
        <v>321</v>
      </c>
      <c r="H1782" s="2">
        <v>378454</v>
      </c>
      <c r="I1782" t="str">
        <f>VLOOKUP(Tabela1[[#This Row],[CO_PAIS]],'[1]nome do paixs'!$A:$B,2,0)</f>
        <v>Alemanha</v>
      </c>
      <c r="J1782" t="s">
        <v>12</v>
      </c>
    </row>
    <row r="1783" spans="1:10">
      <c r="A1783">
        <v>2022</v>
      </c>
      <c r="B1783">
        <v>8</v>
      </c>
      <c r="C1783">
        <v>8807</v>
      </c>
      <c r="D1783">
        <v>375</v>
      </c>
      <c r="E1783" t="s">
        <v>10</v>
      </c>
      <c r="F1783">
        <v>3449904</v>
      </c>
      <c r="G1783" s="1">
        <v>9</v>
      </c>
      <c r="H1783" s="2">
        <v>3944</v>
      </c>
      <c r="I1783" t="str">
        <f>VLOOKUP(Tabela1[[#This Row],[CO_PAIS]],'[1]nome do paixs'!$A:$B,2,0)</f>
        <v>Irlanda</v>
      </c>
      <c r="J1783" t="s">
        <v>12</v>
      </c>
    </row>
    <row r="1784" spans="1:10">
      <c r="A1784">
        <v>2022</v>
      </c>
      <c r="B1784">
        <v>8</v>
      </c>
      <c r="C1784">
        <v>8807</v>
      </c>
      <c r="D1784">
        <v>245</v>
      </c>
      <c r="E1784" t="s">
        <v>10</v>
      </c>
      <c r="F1784">
        <v>3424402</v>
      </c>
      <c r="G1784" s="1">
        <v>166</v>
      </c>
      <c r="H1784" s="2">
        <v>62536</v>
      </c>
      <c r="I1784" t="str">
        <f>VLOOKUP(Tabela1[[#This Row],[CO_PAIS]],'[1]nome do paixs'!$A:$B,2,0)</f>
        <v>Espanha</v>
      </c>
      <c r="J1784" t="s">
        <v>13</v>
      </c>
    </row>
    <row r="1785" spans="1:10">
      <c r="A1785">
        <v>2022</v>
      </c>
      <c r="B1785">
        <v>8</v>
      </c>
      <c r="C1785">
        <v>8807</v>
      </c>
      <c r="D1785">
        <v>72</v>
      </c>
      <c r="E1785" t="s">
        <v>10</v>
      </c>
      <c r="F1785">
        <v>3454102</v>
      </c>
      <c r="G1785" s="1">
        <v>8845</v>
      </c>
      <c r="H1785" s="2">
        <v>990826</v>
      </c>
      <c r="I1785" t="str">
        <f>VLOOKUP(Tabela1[[#This Row],[CO_PAIS]],'[1]nome do paixs'!$A:$B,2,0)</f>
        <v>Áustria</v>
      </c>
      <c r="J1785" t="s">
        <v>11</v>
      </c>
    </row>
    <row r="1786" spans="1:10">
      <c r="A1786">
        <v>2022</v>
      </c>
      <c r="B1786">
        <v>8</v>
      </c>
      <c r="C1786">
        <v>8807</v>
      </c>
      <c r="D1786">
        <v>245</v>
      </c>
      <c r="E1786" t="s">
        <v>10</v>
      </c>
      <c r="F1786">
        <v>3449904</v>
      </c>
      <c r="G1786" s="1">
        <v>5813</v>
      </c>
      <c r="H1786" s="2">
        <v>1777579</v>
      </c>
      <c r="I1786" t="str">
        <f>VLOOKUP(Tabela1[[#This Row],[CO_PAIS]],'[1]nome do paixs'!$A:$B,2,0)</f>
        <v>Espanha</v>
      </c>
      <c r="J1786" t="s">
        <v>12</v>
      </c>
    </row>
    <row r="1787" spans="1:10">
      <c r="A1787">
        <v>2022</v>
      </c>
      <c r="B1787">
        <v>8</v>
      </c>
      <c r="C1787">
        <v>8807</v>
      </c>
      <c r="D1787">
        <v>190</v>
      </c>
      <c r="E1787" t="s">
        <v>10</v>
      </c>
      <c r="F1787">
        <v>3424402</v>
      </c>
      <c r="G1787" s="1">
        <v>82</v>
      </c>
      <c r="H1787" s="2">
        <v>32917</v>
      </c>
      <c r="I1787" t="str">
        <f>VLOOKUP(Tabela1[[#This Row],[CO_PAIS]],'[1]nome do paixs'!$A:$B,2,0)</f>
        <v>Coreia do Sul</v>
      </c>
      <c r="J1787" t="s">
        <v>13</v>
      </c>
    </row>
    <row r="1788" spans="1:10">
      <c r="A1788">
        <v>2022</v>
      </c>
      <c r="B1788">
        <v>8</v>
      </c>
      <c r="C1788">
        <v>8807</v>
      </c>
      <c r="D1788">
        <v>628</v>
      </c>
      <c r="E1788" t="s">
        <v>10</v>
      </c>
      <c r="F1788">
        <v>3449904</v>
      </c>
      <c r="G1788" s="1">
        <v>1383</v>
      </c>
      <c r="H1788" s="2">
        <v>883163</v>
      </c>
      <c r="I1788" t="str">
        <f>VLOOKUP(Tabela1[[#This Row],[CO_PAIS]],'[1]nome do paixs'!$A:$B,2,0)</f>
        <v>Reino Unido</v>
      </c>
      <c r="J1788" t="s">
        <v>12</v>
      </c>
    </row>
    <row r="1789" spans="1:10">
      <c r="A1789">
        <v>2022</v>
      </c>
      <c r="B1789">
        <v>8</v>
      </c>
      <c r="C1789">
        <v>8807</v>
      </c>
      <c r="D1789">
        <v>275</v>
      </c>
      <c r="E1789" t="s">
        <v>10</v>
      </c>
      <c r="F1789">
        <v>3449904</v>
      </c>
      <c r="G1789" s="1">
        <v>511</v>
      </c>
      <c r="H1789" s="2">
        <v>361315</v>
      </c>
      <c r="I1789" t="str">
        <f>VLOOKUP(Tabela1[[#This Row],[CO_PAIS]],'[1]nome do paixs'!$A:$B,2,0)</f>
        <v>França</v>
      </c>
      <c r="J1789" t="s">
        <v>12</v>
      </c>
    </row>
    <row r="1790" spans="1:10">
      <c r="A1790">
        <v>2022</v>
      </c>
      <c r="B1790">
        <v>8</v>
      </c>
      <c r="C1790">
        <v>8807</v>
      </c>
      <c r="D1790">
        <v>399</v>
      </c>
      <c r="E1790" t="s">
        <v>10</v>
      </c>
      <c r="F1790">
        <v>3449904</v>
      </c>
      <c r="G1790" s="1">
        <v>456</v>
      </c>
      <c r="H1790" s="2">
        <v>459270</v>
      </c>
      <c r="I1790" t="str">
        <f>VLOOKUP(Tabela1[[#This Row],[CO_PAIS]],'[1]nome do paixs'!$A:$B,2,0)</f>
        <v>Japão</v>
      </c>
      <c r="J1790" t="s">
        <v>12</v>
      </c>
    </row>
    <row r="1791" spans="1:10">
      <c r="A1791">
        <v>2022</v>
      </c>
      <c r="B1791">
        <v>8</v>
      </c>
      <c r="C1791">
        <v>8807</v>
      </c>
      <c r="D1791">
        <v>399</v>
      </c>
      <c r="E1791" t="s">
        <v>10</v>
      </c>
      <c r="F1791">
        <v>3454102</v>
      </c>
      <c r="G1791" s="1">
        <v>3822</v>
      </c>
      <c r="H1791" s="2">
        <v>2397278</v>
      </c>
      <c r="I1791" t="str">
        <f>VLOOKUP(Tabela1[[#This Row],[CO_PAIS]],'[1]nome do paixs'!$A:$B,2,0)</f>
        <v>Japão</v>
      </c>
      <c r="J1791" t="s">
        <v>11</v>
      </c>
    </row>
    <row r="1792" spans="1:10">
      <c r="A1792">
        <v>2022</v>
      </c>
      <c r="B1792">
        <v>8</v>
      </c>
      <c r="C1792">
        <v>8807</v>
      </c>
      <c r="D1792">
        <v>275</v>
      </c>
      <c r="E1792" t="s">
        <v>10</v>
      </c>
      <c r="F1792">
        <v>3454102</v>
      </c>
      <c r="G1792" s="1">
        <v>2512</v>
      </c>
      <c r="H1792" s="2">
        <v>4412094</v>
      </c>
      <c r="I1792" t="str">
        <f>VLOOKUP(Tabela1[[#This Row],[CO_PAIS]],'[1]nome do paixs'!$A:$B,2,0)</f>
        <v>França</v>
      </c>
      <c r="J1792" t="s">
        <v>11</v>
      </c>
    </row>
    <row r="1793" spans="1:10">
      <c r="A1793">
        <v>2022</v>
      </c>
      <c r="B1793">
        <v>8</v>
      </c>
      <c r="C1793">
        <v>8807</v>
      </c>
      <c r="D1793">
        <v>87</v>
      </c>
      <c r="E1793" t="s">
        <v>10</v>
      </c>
      <c r="F1793">
        <v>3449904</v>
      </c>
      <c r="G1793" s="1">
        <v>1635</v>
      </c>
      <c r="H1793" s="2">
        <v>1580421</v>
      </c>
      <c r="I1793" t="str">
        <f>VLOOKUP(Tabela1[[#This Row],[CO_PAIS]],'[1]nome do paixs'!$A:$B,2,0)</f>
        <v>Bélgica</v>
      </c>
      <c r="J1793" t="s">
        <v>12</v>
      </c>
    </row>
    <row r="1794" spans="1:10">
      <c r="A1794">
        <v>2022</v>
      </c>
      <c r="B1794">
        <v>8</v>
      </c>
      <c r="C1794">
        <v>8807</v>
      </c>
      <c r="D1794">
        <v>105</v>
      </c>
      <c r="E1794" t="s">
        <v>10</v>
      </c>
      <c r="F1794">
        <v>3449904</v>
      </c>
      <c r="G1794" s="1">
        <v>9617</v>
      </c>
      <c r="H1794" s="2">
        <v>6170696</v>
      </c>
      <c r="I1794" t="str">
        <f>VLOOKUP(Tabela1[[#This Row],[CO_PAIS]],'[1]nome do paixs'!$A:$B,2,0)</f>
        <v>Brasil</v>
      </c>
      <c r="J1794" t="s">
        <v>12</v>
      </c>
    </row>
    <row r="1795" spans="1:10">
      <c r="A1795">
        <v>2022</v>
      </c>
      <c r="B1795">
        <v>8</v>
      </c>
      <c r="C1795">
        <v>8807</v>
      </c>
      <c r="D1795">
        <v>361</v>
      </c>
      <c r="E1795" t="s">
        <v>10</v>
      </c>
      <c r="F1795">
        <v>3449904</v>
      </c>
      <c r="G1795" s="1">
        <v>2077</v>
      </c>
      <c r="H1795" s="2">
        <v>903959</v>
      </c>
      <c r="I1795" t="str">
        <f>VLOOKUP(Tabela1[[#This Row],[CO_PAIS]],'[1]nome do paixs'!$A:$B,2,0)</f>
        <v>Índia</v>
      </c>
      <c r="J1795" t="s">
        <v>12</v>
      </c>
    </row>
    <row r="1796" spans="1:10">
      <c r="A1796">
        <v>2022</v>
      </c>
      <c r="B1796">
        <v>8</v>
      </c>
      <c r="C1796">
        <v>8807</v>
      </c>
      <c r="D1796">
        <v>87</v>
      </c>
      <c r="E1796" t="s">
        <v>10</v>
      </c>
      <c r="F1796">
        <v>3424402</v>
      </c>
      <c r="G1796" s="1">
        <v>1</v>
      </c>
      <c r="H1796" s="2">
        <v>3321</v>
      </c>
      <c r="I1796" t="str">
        <f>VLOOKUP(Tabela1[[#This Row],[CO_PAIS]],'[1]nome do paixs'!$A:$B,2,0)</f>
        <v>Bélgica</v>
      </c>
      <c r="J1796" t="s">
        <v>13</v>
      </c>
    </row>
    <row r="1797" spans="1:10">
      <c r="A1797">
        <v>2022</v>
      </c>
      <c r="B1797">
        <v>8</v>
      </c>
      <c r="C1797">
        <v>8807</v>
      </c>
      <c r="D1797">
        <v>607</v>
      </c>
      <c r="E1797" t="s">
        <v>10</v>
      </c>
      <c r="F1797">
        <v>3449904</v>
      </c>
      <c r="G1797" s="1">
        <v>291</v>
      </c>
      <c r="H1797" s="2">
        <v>530135</v>
      </c>
      <c r="I1797" t="str">
        <f>VLOOKUP(Tabela1[[#This Row],[CO_PAIS]],'[1]nome do paixs'!$A:$B,2,0)</f>
        <v>Portugal</v>
      </c>
      <c r="J1797" t="s">
        <v>12</v>
      </c>
    </row>
    <row r="1798" spans="1:10">
      <c r="A1798">
        <v>2021</v>
      </c>
      <c r="B1798">
        <v>8</v>
      </c>
      <c r="C1798">
        <v>8803</v>
      </c>
      <c r="D1798">
        <v>603</v>
      </c>
      <c r="E1798" t="s">
        <v>10</v>
      </c>
      <c r="F1798">
        <v>3449904</v>
      </c>
      <c r="G1798" s="1">
        <v>8</v>
      </c>
      <c r="H1798" s="2">
        <v>3301</v>
      </c>
      <c r="I1798" t="str">
        <f>VLOOKUP(Tabela1[[#This Row],[CO_PAIS]],'[1]nome do paixs'!$A:$B,2,0)</f>
        <v>Polônia</v>
      </c>
      <c r="J1798" t="s">
        <v>12</v>
      </c>
    </row>
    <row r="1799" spans="1:10">
      <c r="A1799">
        <v>2021</v>
      </c>
      <c r="B1799">
        <v>8</v>
      </c>
      <c r="C1799">
        <v>8803</v>
      </c>
      <c r="D1799">
        <v>676</v>
      </c>
      <c r="E1799" t="s">
        <v>10</v>
      </c>
      <c r="F1799">
        <v>3449904</v>
      </c>
      <c r="G1799" s="1">
        <v>27</v>
      </c>
      <c r="H1799" s="2">
        <v>16112</v>
      </c>
      <c r="I1799" t="str">
        <f>VLOOKUP(Tabela1[[#This Row],[CO_PAIS]],'[1]nome do paixs'!$A:$B,2,0)</f>
        <v>Rússia</v>
      </c>
      <c r="J1799" t="s">
        <v>12</v>
      </c>
    </row>
    <row r="1800" spans="1:10">
      <c r="A1800">
        <v>2021</v>
      </c>
      <c r="B1800">
        <v>8</v>
      </c>
      <c r="C1800">
        <v>8803</v>
      </c>
      <c r="D1800">
        <v>190</v>
      </c>
      <c r="E1800" t="s">
        <v>10</v>
      </c>
      <c r="F1800">
        <v>3449904</v>
      </c>
      <c r="G1800" s="1">
        <v>0</v>
      </c>
      <c r="H1800" s="2">
        <v>83</v>
      </c>
      <c r="I1800" t="str">
        <f>VLOOKUP(Tabela1[[#This Row],[CO_PAIS]],'[1]nome do paixs'!$A:$B,2,0)</f>
        <v>Coreia do Sul</v>
      </c>
      <c r="J1800" t="s">
        <v>12</v>
      </c>
    </row>
    <row r="1801" spans="1:10">
      <c r="A1801">
        <v>2021</v>
      </c>
      <c r="B1801">
        <v>8</v>
      </c>
      <c r="C1801">
        <v>8803</v>
      </c>
      <c r="D1801">
        <v>275</v>
      </c>
      <c r="E1801" t="s">
        <v>10</v>
      </c>
      <c r="F1801">
        <v>3449904</v>
      </c>
      <c r="G1801" s="1">
        <v>120</v>
      </c>
      <c r="H1801" s="2">
        <v>155378</v>
      </c>
      <c r="I1801" t="str">
        <f>VLOOKUP(Tabela1[[#This Row],[CO_PAIS]],'[1]nome do paixs'!$A:$B,2,0)</f>
        <v>França</v>
      </c>
      <c r="J1801" t="s">
        <v>12</v>
      </c>
    </row>
    <row r="1802" spans="1:10">
      <c r="A1802">
        <v>2021</v>
      </c>
      <c r="B1802">
        <v>8</v>
      </c>
      <c r="C1802">
        <v>8803</v>
      </c>
      <c r="D1802">
        <v>375</v>
      </c>
      <c r="E1802" t="s">
        <v>10</v>
      </c>
      <c r="F1802">
        <v>3454102</v>
      </c>
      <c r="G1802" s="1">
        <v>2</v>
      </c>
      <c r="H1802" s="2">
        <v>720</v>
      </c>
      <c r="I1802" t="str">
        <f>VLOOKUP(Tabela1[[#This Row],[CO_PAIS]],'[1]nome do paixs'!$A:$B,2,0)</f>
        <v>Irlanda</v>
      </c>
      <c r="J1802" t="s">
        <v>11</v>
      </c>
    </row>
    <row r="1803" spans="1:10">
      <c r="A1803">
        <v>2021</v>
      </c>
      <c r="B1803">
        <v>8</v>
      </c>
      <c r="C1803">
        <v>8803</v>
      </c>
      <c r="D1803">
        <v>249</v>
      </c>
      <c r="E1803" t="s">
        <v>10</v>
      </c>
      <c r="F1803">
        <v>3424402</v>
      </c>
      <c r="G1803" s="1">
        <v>374</v>
      </c>
      <c r="H1803" s="2">
        <v>72087</v>
      </c>
      <c r="I1803" t="str">
        <f>VLOOKUP(Tabela1[[#This Row],[CO_PAIS]],'[1]nome do paixs'!$A:$B,2,0)</f>
        <v>Estados Unidos</v>
      </c>
      <c r="J1803" t="s">
        <v>13</v>
      </c>
    </row>
    <row r="1804" spans="1:10">
      <c r="A1804">
        <v>2021</v>
      </c>
      <c r="B1804">
        <v>8</v>
      </c>
      <c r="C1804">
        <v>8803</v>
      </c>
      <c r="D1804">
        <v>190</v>
      </c>
      <c r="E1804" t="s">
        <v>10</v>
      </c>
      <c r="F1804">
        <v>3454102</v>
      </c>
      <c r="G1804" s="1">
        <v>1142</v>
      </c>
      <c r="H1804" s="2">
        <v>1026389</v>
      </c>
      <c r="I1804" t="str">
        <f>VLOOKUP(Tabela1[[#This Row],[CO_PAIS]],'[1]nome do paixs'!$A:$B,2,0)</f>
        <v>Coreia do Sul</v>
      </c>
      <c r="J1804" t="s">
        <v>11</v>
      </c>
    </row>
    <row r="1805" spans="1:10">
      <c r="A1805">
        <v>2021</v>
      </c>
      <c r="B1805">
        <v>8</v>
      </c>
      <c r="C1805">
        <v>8803</v>
      </c>
      <c r="D1805">
        <v>245</v>
      </c>
      <c r="E1805" t="s">
        <v>10</v>
      </c>
      <c r="F1805">
        <v>3454102</v>
      </c>
      <c r="G1805" s="1">
        <v>2184</v>
      </c>
      <c r="H1805" s="2">
        <v>1817813</v>
      </c>
      <c r="I1805" t="str">
        <f>VLOOKUP(Tabela1[[#This Row],[CO_PAIS]],'[1]nome do paixs'!$A:$B,2,0)</f>
        <v>Espanha</v>
      </c>
      <c r="J1805" t="s">
        <v>11</v>
      </c>
    </row>
    <row r="1806" spans="1:10">
      <c r="A1806">
        <v>2021</v>
      </c>
      <c r="B1806">
        <v>8</v>
      </c>
      <c r="C1806">
        <v>8803</v>
      </c>
      <c r="D1806">
        <v>87</v>
      </c>
      <c r="E1806" t="s">
        <v>10</v>
      </c>
      <c r="F1806">
        <v>3449904</v>
      </c>
      <c r="G1806" s="1">
        <v>714</v>
      </c>
      <c r="H1806" s="2">
        <v>596421</v>
      </c>
      <c r="I1806" t="str">
        <f>VLOOKUP(Tabela1[[#This Row],[CO_PAIS]],'[1]nome do paixs'!$A:$B,2,0)</f>
        <v>Bélgica</v>
      </c>
      <c r="J1806" t="s">
        <v>12</v>
      </c>
    </row>
    <row r="1807" spans="1:10">
      <c r="A1807">
        <v>2021</v>
      </c>
      <c r="B1807">
        <v>8</v>
      </c>
      <c r="C1807">
        <v>8803</v>
      </c>
      <c r="D1807">
        <v>87</v>
      </c>
      <c r="E1807" t="s">
        <v>10</v>
      </c>
      <c r="F1807">
        <v>3454102</v>
      </c>
      <c r="G1807" s="1">
        <v>1802</v>
      </c>
      <c r="H1807" s="2">
        <v>1499390</v>
      </c>
      <c r="I1807" t="str">
        <f>VLOOKUP(Tabela1[[#This Row],[CO_PAIS]],'[1]nome do paixs'!$A:$B,2,0)</f>
        <v>Bélgica</v>
      </c>
      <c r="J1807" t="s">
        <v>11</v>
      </c>
    </row>
    <row r="1808" spans="1:10">
      <c r="A1808">
        <v>2021</v>
      </c>
      <c r="B1808">
        <v>8</v>
      </c>
      <c r="C1808">
        <v>8803</v>
      </c>
      <c r="D1808">
        <v>275</v>
      </c>
      <c r="E1808" t="s">
        <v>10</v>
      </c>
      <c r="F1808">
        <v>3424402</v>
      </c>
      <c r="G1808" s="1">
        <v>35</v>
      </c>
      <c r="H1808" s="2">
        <v>56776</v>
      </c>
      <c r="I1808" t="str">
        <f>VLOOKUP(Tabela1[[#This Row],[CO_PAIS]],'[1]nome do paixs'!$A:$B,2,0)</f>
        <v>França</v>
      </c>
      <c r="J1808" t="s">
        <v>13</v>
      </c>
    </row>
    <row r="1809" spans="1:10">
      <c r="A1809">
        <v>2021</v>
      </c>
      <c r="B1809">
        <v>8</v>
      </c>
      <c r="C1809">
        <v>8803</v>
      </c>
      <c r="D1809">
        <v>386</v>
      </c>
      <c r="E1809" t="s">
        <v>10</v>
      </c>
      <c r="F1809">
        <v>3449904</v>
      </c>
      <c r="G1809" s="1">
        <v>46</v>
      </c>
      <c r="H1809" s="2">
        <v>37366</v>
      </c>
      <c r="I1809" t="str">
        <f>VLOOKUP(Tabela1[[#This Row],[CO_PAIS]],'[1]nome do paixs'!$A:$B,2,0)</f>
        <v>Itália</v>
      </c>
      <c r="J1809" t="s">
        <v>12</v>
      </c>
    </row>
    <row r="1810" spans="1:10">
      <c r="A1810">
        <v>2021</v>
      </c>
      <c r="B1810">
        <v>8</v>
      </c>
      <c r="C1810">
        <v>8803</v>
      </c>
      <c r="D1810">
        <v>474</v>
      </c>
      <c r="E1810" t="s">
        <v>10</v>
      </c>
      <c r="F1810">
        <v>3449904</v>
      </c>
      <c r="G1810" s="1">
        <v>5</v>
      </c>
      <c r="H1810" s="2">
        <v>27603</v>
      </c>
      <c r="I1810" t="str">
        <f>VLOOKUP(Tabela1[[#This Row],[CO_PAIS]],'[1]nome do paixs'!$A:$B,2,0)</f>
        <v>Marrocos</v>
      </c>
      <c r="J1810" t="s">
        <v>12</v>
      </c>
    </row>
    <row r="1811" spans="1:10">
      <c r="A1811">
        <v>2021</v>
      </c>
      <c r="B1811">
        <v>8</v>
      </c>
      <c r="C1811">
        <v>8803</v>
      </c>
      <c r="D1811">
        <v>399</v>
      </c>
      <c r="E1811" t="s">
        <v>10</v>
      </c>
      <c r="F1811">
        <v>3454102</v>
      </c>
      <c r="G1811" s="1">
        <v>362</v>
      </c>
      <c r="H1811" s="2">
        <v>397911</v>
      </c>
      <c r="I1811" t="str">
        <f>VLOOKUP(Tabela1[[#This Row],[CO_PAIS]],'[1]nome do paixs'!$A:$B,2,0)</f>
        <v>Japão</v>
      </c>
      <c r="J1811" t="s">
        <v>11</v>
      </c>
    </row>
    <row r="1812" spans="1:10">
      <c r="A1812">
        <v>2021</v>
      </c>
      <c r="B1812">
        <v>8</v>
      </c>
      <c r="C1812">
        <v>8803</v>
      </c>
      <c r="D1812">
        <v>607</v>
      </c>
      <c r="E1812" t="s">
        <v>10</v>
      </c>
      <c r="F1812">
        <v>3449904</v>
      </c>
      <c r="G1812" s="1">
        <v>4</v>
      </c>
      <c r="H1812" s="2">
        <v>13612</v>
      </c>
      <c r="I1812" t="str">
        <f>VLOOKUP(Tabela1[[#This Row],[CO_PAIS]],'[1]nome do paixs'!$A:$B,2,0)</f>
        <v>Portugal</v>
      </c>
      <c r="J1812" t="s">
        <v>12</v>
      </c>
    </row>
    <row r="1813" spans="1:10">
      <c r="A1813">
        <v>2021</v>
      </c>
      <c r="B1813">
        <v>8</v>
      </c>
      <c r="C1813">
        <v>8803</v>
      </c>
      <c r="D1813">
        <v>249</v>
      </c>
      <c r="E1813" t="s">
        <v>10</v>
      </c>
      <c r="F1813">
        <v>3449904</v>
      </c>
      <c r="G1813" s="1">
        <v>4858</v>
      </c>
      <c r="H1813" s="2">
        <v>3017842</v>
      </c>
      <c r="I1813" t="str">
        <f>VLOOKUP(Tabela1[[#This Row],[CO_PAIS]],'[1]nome do paixs'!$A:$B,2,0)</f>
        <v>Estados Unidos</v>
      </c>
      <c r="J1813" t="s">
        <v>12</v>
      </c>
    </row>
    <row r="1814" spans="1:10">
      <c r="A1814">
        <v>2021</v>
      </c>
      <c r="B1814">
        <v>8</v>
      </c>
      <c r="C1814">
        <v>8803</v>
      </c>
      <c r="D1814">
        <v>791</v>
      </c>
      <c r="E1814" t="s">
        <v>10</v>
      </c>
      <c r="F1814">
        <v>3449904</v>
      </c>
      <c r="G1814" s="1">
        <v>8</v>
      </c>
      <c r="H1814" s="2">
        <v>38634</v>
      </c>
      <c r="I1814" t="str">
        <f>VLOOKUP(Tabela1[[#This Row],[CO_PAIS]],'[1]nome do paixs'!$A:$B,2,0)</f>
        <v>Tcheca, República</v>
      </c>
      <c r="J1814" t="s">
        <v>12</v>
      </c>
    </row>
    <row r="1815" spans="1:10">
      <c r="A1815">
        <v>2021</v>
      </c>
      <c r="B1815">
        <v>8</v>
      </c>
      <c r="C1815">
        <v>8803</v>
      </c>
      <c r="D1815">
        <v>72</v>
      </c>
      <c r="E1815" t="s">
        <v>10</v>
      </c>
      <c r="F1815">
        <v>3454102</v>
      </c>
      <c r="G1815" s="1">
        <v>577</v>
      </c>
      <c r="H1815" s="2">
        <v>323399</v>
      </c>
      <c r="I1815" t="str">
        <f>VLOOKUP(Tabela1[[#This Row],[CO_PAIS]],'[1]nome do paixs'!$A:$B,2,0)</f>
        <v>Áustria</v>
      </c>
      <c r="J1815" t="s">
        <v>11</v>
      </c>
    </row>
    <row r="1816" spans="1:10">
      <c r="A1816">
        <v>2021</v>
      </c>
      <c r="B1816">
        <v>8</v>
      </c>
      <c r="C1816">
        <v>8803</v>
      </c>
      <c r="D1816">
        <v>149</v>
      </c>
      <c r="E1816" t="s">
        <v>10</v>
      </c>
      <c r="F1816">
        <v>3449904</v>
      </c>
      <c r="G1816" s="1">
        <v>2</v>
      </c>
      <c r="H1816" s="2">
        <v>11168</v>
      </c>
      <c r="I1816" t="str">
        <f>VLOOKUP(Tabela1[[#This Row],[CO_PAIS]],'[1]nome do paixs'!$A:$B,2,0)</f>
        <v>Canadá</v>
      </c>
      <c r="J1816" t="s">
        <v>12</v>
      </c>
    </row>
    <row r="1817" spans="1:10">
      <c r="A1817">
        <v>2021</v>
      </c>
      <c r="B1817">
        <v>8</v>
      </c>
      <c r="C1817">
        <v>8803</v>
      </c>
      <c r="D1817">
        <v>105</v>
      </c>
      <c r="E1817" t="s">
        <v>10</v>
      </c>
      <c r="F1817">
        <v>3454102</v>
      </c>
      <c r="G1817" s="1">
        <v>3734</v>
      </c>
      <c r="H1817" s="2">
        <v>2718225</v>
      </c>
      <c r="I1817" t="str">
        <f>VLOOKUP(Tabela1[[#This Row],[CO_PAIS]],'[1]nome do paixs'!$A:$B,2,0)</f>
        <v>Brasil</v>
      </c>
      <c r="J1817" t="s">
        <v>11</v>
      </c>
    </row>
    <row r="1818" spans="1:10">
      <c r="A1818">
        <v>2021</v>
      </c>
      <c r="B1818">
        <v>8</v>
      </c>
      <c r="C1818">
        <v>8803</v>
      </c>
      <c r="D1818">
        <v>741</v>
      </c>
      <c r="E1818" t="s">
        <v>10</v>
      </c>
      <c r="F1818">
        <v>3449904</v>
      </c>
      <c r="G1818" s="1">
        <v>49</v>
      </c>
      <c r="H1818" s="2">
        <v>50872</v>
      </c>
      <c r="I1818" t="str">
        <f>VLOOKUP(Tabela1[[#This Row],[CO_PAIS]],'[1]nome do paixs'!$A:$B,2,0)</f>
        <v>Singapura</v>
      </c>
      <c r="J1818" t="s">
        <v>12</v>
      </c>
    </row>
    <row r="1819" spans="1:10">
      <c r="A1819">
        <v>2021</v>
      </c>
      <c r="B1819">
        <v>8</v>
      </c>
      <c r="C1819">
        <v>8803</v>
      </c>
      <c r="D1819">
        <v>23</v>
      </c>
      <c r="E1819" t="s">
        <v>10</v>
      </c>
      <c r="F1819">
        <v>3454102</v>
      </c>
      <c r="G1819" s="1">
        <v>15002</v>
      </c>
      <c r="H1819" s="2">
        <v>938775</v>
      </c>
      <c r="I1819" t="str">
        <f>VLOOKUP(Tabela1[[#This Row],[CO_PAIS]],'[1]nome do paixs'!$A:$B,2,0)</f>
        <v>Alemanha</v>
      </c>
      <c r="J1819" t="s">
        <v>11</v>
      </c>
    </row>
    <row r="1820" spans="1:10">
      <c r="A1820">
        <v>2021</v>
      </c>
      <c r="B1820">
        <v>8</v>
      </c>
      <c r="C1820">
        <v>8803</v>
      </c>
      <c r="D1820">
        <v>23</v>
      </c>
      <c r="E1820" t="s">
        <v>10</v>
      </c>
      <c r="F1820">
        <v>3449904</v>
      </c>
      <c r="G1820" s="1">
        <v>21921</v>
      </c>
      <c r="H1820" s="2">
        <v>247037</v>
      </c>
      <c r="I1820" t="str">
        <f>VLOOKUP(Tabela1[[#This Row],[CO_PAIS]],'[1]nome do paixs'!$A:$B,2,0)</f>
        <v>Alemanha</v>
      </c>
      <c r="J1820" t="s">
        <v>12</v>
      </c>
    </row>
    <row r="1821" spans="1:10">
      <c r="A1821">
        <v>2021</v>
      </c>
      <c r="B1821">
        <v>8</v>
      </c>
      <c r="C1821">
        <v>8803</v>
      </c>
      <c r="D1821">
        <v>149</v>
      </c>
      <c r="E1821" t="s">
        <v>10</v>
      </c>
      <c r="F1821">
        <v>3454102</v>
      </c>
      <c r="G1821" s="1">
        <v>786</v>
      </c>
      <c r="H1821" s="2">
        <v>423648</v>
      </c>
      <c r="I1821" t="str">
        <f>VLOOKUP(Tabela1[[#This Row],[CO_PAIS]],'[1]nome do paixs'!$A:$B,2,0)</f>
        <v>Canadá</v>
      </c>
      <c r="J1821" t="s">
        <v>11</v>
      </c>
    </row>
    <row r="1822" spans="1:10">
      <c r="A1822">
        <v>2021</v>
      </c>
      <c r="B1822">
        <v>8</v>
      </c>
      <c r="C1822">
        <v>8803</v>
      </c>
      <c r="D1822">
        <v>386</v>
      </c>
      <c r="E1822" t="s">
        <v>10</v>
      </c>
      <c r="F1822">
        <v>3454102</v>
      </c>
      <c r="G1822" s="1">
        <v>192</v>
      </c>
      <c r="H1822" s="2">
        <v>496845</v>
      </c>
      <c r="I1822" t="str">
        <f>VLOOKUP(Tabela1[[#This Row],[CO_PAIS]],'[1]nome do paixs'!$A:$B,2,0)</f>
        <v>Itália</v>
      </c>
      <c r="J1822" t="s">
        <v>11</v>
      </c>
    </row>
    <row r="1823" spans="1:10">
      <c r="A1823">
        <v>2021</v>
      </c>
      <c r="B1823">
        <v>8</v>
      </c>
      <c r="C1823">
        <v>8803</v>
      </c>
      <c r="D1823">
        <v>249</v>
      </c>
      <c r="E1823" t="s">
        <v>10</v>
      </c>
      <c r="F1823">
        <v>3454102</v>
      </c>
      <c r="G1823" s="1">
        <v>12146</v>
      </c>
      <c r="H1823" s="2">
        <v>4915810</v>
      </c>
      <c r="I1823" t="str">
        <f>VLOOKUP(Tabela1[[#This Row],[CO_PAIS]],'[1]nome do paixs'!$A:$B,2,0)</f>
        <v>Estados Unidos</v>
      </c>
      <c r="J1823" t="s">
        <v>11</v>
      </c>
    </row>
    <row r="1824" spans="1:10">
      <c r="A1824">
        <v>2021</v>
      </c>
      <c r="B1824">
        <v>8</v>
      </c>
      <c r="C1824">
        <v>8803</v>
      </c>
      <c r="D1824">
        <v>275</v>
      </c>
      <c r="E1824" t="s">
        <v>10</v>
      </c>
      <c r="F1824">
        <v>3454102</v>
      </c>
      <c r="G1824" s="1">
        <v>415</v>
      </c>
      <c r="H1824" s="2">
        <v>764013</v>
      </c>
      <c r="I1824" t="str">
        <f>VLOOKUP(Tabela1[[#This Row],[CO_PAIS]],'[1]nome do paixs'!$A:$B,2,0)</f>
        <v>França</v>
      </c>
      <c r="J1824" t="s">
        <v>11</v>
      </c>
    </row>
    <row r="1825" spans="1:10">
      <c r="A1825">
        <v>2021</v>
      </c>
      <c r="B1825">
        <v>8</v>
      </c>
      <c r="C1825">
        <v>8803</v>
      </c>
      <c r="D1825">
        <v>245</v>
      </c>
      <c r="E1825" t="s">
        <v>10</v>
      </c>
      <c r="F1825">
        <v>3449904</v>
      </c>
      <c r="G1825" s="1">
        <v>3211</v>
      </c>
      <c r="H1825" s="2">
        <v>1345978</v>
      </c>
      <c r="I1825" t="str">
        <f>VLOOKUP(Tabela1[[#This Row],[CO_PAIS]],'[1]nome do paixs'!$A:$B,2,0)</f>
        <v>Espanha</v>
      </c>
      <c r="J1825" t="s">
        <v>12</v>
      </c>
    </row>
    <row r="1826" spans="1:10">
      <c r="A1826">
        <v>2021</v>
      </c>
      <c r="B1826">
        <v>8</v>
      </c>
      <c r="C1826">
        <v>8803</v>
      </c>
      <c r="D1826">
        <v>105</v>
      </c>
      <c r="E1826" t="s">
        <v>10</v>
      </c>
      <c r="F1826">
        <v>3449904</v>
      </c>
      <c r="G1826" s="1">
        <v>8807</v>
      </c>
      <c r="H1826" s="2">
        <v>5607568</v>
      </c>
      <c r="I1826" t="str">
        <f>VLOOKUP(Tabela1[[#This Row],[CO_PAIS]],'[1]nome do paixs'!$A:$B,2,0)</f>
        <v>Brasil</v>
      </c>
      <c r="J1826" t="s">
        <v>12</v>
      </c>
    </row>
    <row r="1827" spans="1:10">
      <c r="A1827">
        <v>2021</v>
      </c>
      <c r="B1827">
        <v>8</v>
      </c>
      <c r="C1827">
        <v>8803</v>
      </c>
      <c r="D1827">
        <v>361</v>
      </c>
      <c r="E1827" t="s">
        <v>10</v>
      </c>
      <c r="F1827">
        <v>3449904</v>
      </c>
      <c r="G1827" s="1">
        <v>365</v>
      </c>
      <c r="H1827" s="2">
        <v>200266</v>
      </c>
      <c r="I1827" t="str">
        <f>VLOOKUP(Tabela1[[#This Row],[CO_PAIS]],'[1]nome do paixs'!$A:$B,2,0)</f>
        <v>Índia</v>
      </c>
      <c r="J1827" t="s">
        <v>12</v>
      </c>
    </row>
    <row r="1828" spans="1:10">
      <c r="A1828">
        <v>2021</v>
      </c>
      <c r="B1828">
        <v>8</v>
      </c>
      <c r="C1828">
        <v>8803</v>
      </c>
      <c r="D1828">
        <v>628</v>
      </c>
      <c r="E1828" t="s">
        <v>10</v>
      </c>
      <c r="F1828">
        <v>3449904</v>
      </c>
      <c r="G1828" s="1">
        <v>260</v>
      </c>
      <c r="H1828" s="2">
        <v>225220</v>
      </c>
      <c r="I1828" t="str">
        <f>VLOOKUP(Tabela1[[#This Row],[CO_PAIS]],'[1]nome do paixs'!$A:$B,2,0)</f>
        <v>Reino Unido</v>
      </c>
      <c r="J1828" t="s">
        <v>12</v>
      </c>
    </row>
    <row r="1829" spans="1:10">
      <c r="A1829">
        <v>2021</v>
      </c>
      <c r="B1829">
        <v>8</v>
      </c>
      <c r="C1829">
        <v>8803</v>
      </c>
      <c r="D1829">
        <v>190</v>
      </c>
      <c r="E1829" t="s">
        <v>10</v>
      </c>
      <c r="F1829">
        <v>3424402</v>
      </c>
      <c r="G1829" s="1">
        <v>0</v>
      </c>
      <c r="H1829" s="2">
        <v>17</v>
      </c>
      <c r="I1829" t="str">
        <f>VLOOKUP(Tabela1[[#This Row],[CO_PAIS]],'[1]nome do paixs'!$A:$B,2,0)</f>
        <v>Coreia do Sul</v>
      </c>
      <c r="J1829" t="s">
        <v>13</v>
      </c>
    </row>
    <row r="1830" spans="1:10">
      <c r="A1830">
        <v>2021</v>
      </c>
      <c r="B1830">
        <v>8</v>
      </c>
      <c r="C1830">
        <v>8803</v>
      </c>
      <c r="D1830">
        <v>607</v>
      </c>
      <c r="E1830" t="s">
        <v>10</v>
      </c>
      <c r="F1830">
        <v>3454102</v>
      </c>
      <c r="G1830" s="1">
        <v>16909</v>
      </c>
      <c r="H1830" s="2">
        <v>6103605</v>
      </c>
      <c r="I1830" t="str">
        <f>VLOOKUP(Tabela1[[#This Row],[CO_PAIS]],'[1]nome do paixs'!$A:$B,2,0)</f>
        <v>Portugal</v>
      </c>
      <c r="J1830" t="s">
        <v>11</v>
      </c>
    </row>
    <row r="1831" spans="1:10">
      <c r="A1831">
        <v>2021</v>
      </c>
      <c r="B1831">
        <v>8</v>
      </c>
      <c r="C1831">
        <v>8803</v>
      </c>
      <c r="D1831">
        <v>474</v>
      </c>
      <c r="E1831" t="s">
        <v>10</v>
      </c>
      <c r="F1831">
        <v>3454102</v>
      </c>
      <c r="G1831" s="1">
        <v>92</v>
      </c>
      <c r="H1831" s="2">
        <v>164278</v>
      </c>
      <c r="I1831" t="str">
        <f>VLOOKUP(Tabela1[[#This Row],[CO_PAIS]],'[1]nome do paixs'!$A:$B,2,0)</f>
        <v>Marrocos</v>
      </c>
      <c r="J1831" t="s">
        <v>11</v>
      </c>
    </row>
    <row r="1832" spans="1:10">
      <c r="A1832">
        <v>2021</v>
      </c>
      <c r="B1832">
        <v>8</v>
      </c>
      <c r="C1832">
        <v>8803</v>
      </c>
      <c r="D1832">
        <v>791</v>
      </c>
      <c r="E1832" t="s">
        <v>10</v>
      </c>
      <c r="F1832">
        <v>3424402</v>
      </c>
      <c r="G1832" s="1">
        <v>60</v>
      </c>
      <c r="H1832" s="2">
        <v>61060</v>
      </c>
      <c r="I1832" t="str">
        <f>VLOOKUP(Tabela1[[#This Row],[CO_PAIS]],'[1]nome do paixs'!$A:$B,2,0)</f>
        <v>Tcheca, República</v>
      </c>
      <c r="J1832" t="s">
        <v>13</v>
      </c>
    </row>
    <row r="1833" spans="1:10">
      <c r="A1833">
        <v>2021</v>
      </c>
      <c r="B1833">
        <v>8</v>
      </c>
      <c r="C1833">
        <v>8803</v>
      </c>
      <c r="D1833">
        <v>72</v>
      </c>
      <c r="E1833" t="s">
        <v>10</v>
      </c>
      <c r="F1833">
        <v>3449904</v>
      </c>
      <c r="G1833" s="1">
        <v>53</v>
      </c>
      <c r="H1833" s="2">
        <v>23383</v>
      </c>
      <c r="I1833" t="str">
        <f>VLOOKUP(Tabela1[[#This Row],[CO_PAIS]],'[1]nome do paixs'!$A:$B,2,0)</f>
        <v>Áustria</v>
      </c>
      <c r="J1833" t="s">
        <v>12</v>
      </c>
    </row>
    <row r="1834" spans="1:10">
      <c r="A1834">
        <v>2021</v>
      </c>
      <c r="B1834">
        <v>8</v>
      </c>
      <c r="C1834">
        <v>8803</v>
      </c>
      <c r="D1834">
        <v>628</v>
      </c>
      <c r="E1834" t="s">
        <v>10</v>
      </c>
      <c r="F1834">
        <v>3454102</v>
      </c>
      <c r="G1834" s="1">
        <v>437</v>
      </c>
      <c r="H1834" s="2">
        <v>177683</v>
      </c>
      <c r="I1834" t="str">
        <f>VLOOKUP(Tabela1[[#This Row],[CO_PAIS]],'[1]nome do paixs'!$A:$B,2,0)</f>
        <v>Reino Unido</v>
      </c>
      <c r="J1834" t="s">
        <v>11</v>
      </c>
    </row>
    <row r="1835" spans="1:10">
      <c r="A1835">
        <v>2021</v>
      </c>
      <c r="B1835">
        <v>8</v>
      </c>
      <c r="C1835">
        <v>8803</v>
      </c>
      <c r="D1835">
        <v>493</v>
      </c>
      <c r="E1835" t="s">
        <v>10</v>
      </c>
      <c r="F1835">
        <v>3454102</v>
      </c>
      <c r="G1835" s="1">
        <v>6884</v>
      </c>
      <c r="H1835" s="2">
        <v>2878921</v>
      </c>
      <c r="I1835" t="str">
        <f>VLOOKUP(Tabela1[[#This Row],[CO_PAIS]],'[1]nome do paixs'!$A:$B,2,0)</f>
        <v>México</v>
      </c>
      <c r="J1835" t="s">
        <v>11</v>
      </c>
    </row>
    <row r="1836" spans="1:10">
      <c r="A1836">
        <v>2021</v>
      </c>
      <c r="B1836">
        <v>8</v>
      </c>
      <c r="C1836">
        <v>8803</v>
      </c>
      <c r="D1836">
        <v>399</v>
      </c>
      <c r="E1836" t="s">
        <v>10</v>
      </c>
      <c r="F1836">
        <v>3449904</v>
      </c>
      <c r="G1836" s="1">
        <v>223</v>
      </c>
      <c r="H1836" s="2">
        <v>241208</v>
      </c>
      <c r="I1836" t="str">
        <f>VLOOKUP(Tabela1[[#This Row],[CO_PAIS]],'[1]nome do paixs'!$A:$B,2,0)</f>
        <v>Japão</v>
      </c>
      <c r="J1836" t="s">
        <v>12</v>
      </c>
    </row>
    <row r="1837" spans="1:10">
      <c r="A1837">
        <v>2021</v>
      </c>
      <c r="B1837">
        <v>8</v>
      </c>
      <c r="C1837">
        <v>8803</v>
      </c>
      <c r="D1837">
        <v>493</v>
      </c>
      <c r="E1837" t="s">
        <v>10</v>
      </c>
      <c r="F1837">
        <v>3449904</v>
      </c>
      <c r="G1837" s="1">
        <v>1048</v>
      </c>
      <c r="H1837" s="2">
        <v>494546</v>
      </c>
      <c r="I1837" t="str">
        <f>VLOOKUP(Tabela1[[#This Row],[CO_PAIS]],'[1]nome do paixs'!$A:$B,2,0)</f>
        <v>México</v>
      </c>
      <c r="J1837" t="s">
        <v>12</v>
      </c>
    </row>
    <row r="1838" spans="1:10">
      <c r="A1838">
        <v>2024</v>
      </c>
      <c r="B1838">
        <v>9</v>
      </c>
      <c r="C1838">
        <v>8807</v>
      </c>
      <c r="D1838">
        <v>275</v>
      </c>
      <c r="E1838" t="s">
        <v>10</v>
      </c>
      <c r="F1838">
        <v>3454102</v>
      </c>
      <c r="G1838" s="1">
        <v>1989</v>
      </c>
      <c r="H1838" s="2">
        <v>2900334</v>
      </c>
      <c r="I1838" t="str">
        <f>VLOOKUP(Tabela1[[#This Row],[CO_PAIS]],'[1]nome do paixs'!$A:$B,2,0)</f>
        <v>França</v>
      </c>
      <c r="J1838" t="s">
        <v>11</v>
      </c>
    </row>
    <row r="1839" spans="1:10">
      <c r="A1839">
        <v>2024</v>
      </c>
      <c r="B1839">
        <v>9</v>
      </c>
      <c r="C1839">
        <v>8807</v>
      </c>
      <c r="D1839">
        <v>190</v>
      </c>
      <c r="E1839" t="s">
        <v>10</v>
      </c>
      <c r="F1839">
        <v>3454102</v>
      </c>
      <c r="G1839" s="1">
        <v>4623</v>
      </c>
      <c r="H1839" s="2">
        <v>3303028</v>
      </c>
      <c r="I1839" t="str">
        <f>VLOOKUP(Tabela1[[#This Row],[CO_PAIS]],'[1]nome do paixs'!$A:$B,2,0)</f>
        <v>Coreia do Sul</v>
      </c>
      <c r="J1839" t="s">
        <v>11</v>
      </c>
    </row>
    <row r="1840" spans="1:10">
      <c r="A1840">
        <v>2024</v>
      </c>
      <c r="B1840">
        <v>9</v>
      </c>
      <c r="C1840">
        <v>8807</v>
      </c>
      <c r="D1840">
        <v>791</v>
      </c>
      <c r="E1840" t="s">
        <v>10</v>
      </c>
      <c r="F1840">
        <v>3449904</v>
      </c>
      <c r="G1840" s="1">
        <v>15</v>
      </c>
      <c r="H1840" s="2">
        <v>31009</v>
      </c>
      <c r="I1840" t="str">
        <f>VLOOKUP(Tabela1[[#This Row],[CO_PAIS]],'[1]nome do paixs'!$A:$B,2,0)</f>
        <v>Tcheca, República</v>
      </c>
      <c r="J1840" t="s">
        <v>12</v>
      </c>
    </row>
    <row r="1841" spans="1:10">
      <c r="A1841">
        <v>2024</v>
      </c>
      <c r="B1841">
        <v>9</v>
      </c>
      <c r="C1841">
        <v>8807</v>
      </c>
      <c r="D1841">
        <v>628</v>
      </c>
      <c r="E1841" t="s">
        <v>10</v>
      </c>
      <c r="F1841">
        <v>3454102</v>
      </c>
      <c r="G1841" s="1">
        <v>364</v>
      </c>
      <c r="H1841" s="2">
        <v>240342</v>
      </c>
      <c r="I1841" t="str">
        <f>VLOOKUP(Tabela1[[#This Row],[CO_PAIS]],'[1]nome do paixs'!$A:$B,2,0)</f>
        <v>Reino Unido</v>
      </c>
      <c r="J1841" t="s">
        <v>11</v>
      </c>
    </row>
    <row r="1842" spans="1:10">
      <c r="A1842">
        <v>2024</v>
      </c>
      <c r="B1842">
        <v>9</v>
      </c>
      <c r="C1842">
        <v>8807</v>
      </c>
      <c r="D1842">
        <v>87</v>
      </c>
      <c r="E1842" t="s">
        <v>10</v>
      </c>
      <c r="F1842">
        <v>3449904</v>
      </c>
      <c r="G1842" s="1">
        <v>1380</v>
      </c>
      <c r="H1842" s="2">
        <v>1585059</v>
      </c>
      <c r="I1842" t="str">
        <f>VLOOKUP(Tabela1[[#This Row],[CO_PAIS]],'[1]nome do paixs'!$A:$B,2,0)</f>
        <v>Bélgica</v>
      </c>
      <c r="J1842" t="s">
        <v>12</v>
      </c>
    </row>
    <row r="1843" spans="1:10">
      <c r="A1843">
        <v>2024</v>
      </c>
      <c r="B1843">
        <v>9</v>
      </c>
      <c r="C1843">
        <v>8807</v>
      </c>
      <c r="D1843">
        <v>245</v>
      </c>
      <c r="E1843" t="s">
        <v>10</v>
      </c>
      <c r="F1843">
        <v>3449904</v>
      </c>
      <c r="G1843" s="1">
        <v>4762</v>
      </c>
      <c r="H1843" s="2">
        <v>2384172</v>
      </c>
      <c r="I1843" t="str">
        <f>VLOOKUP(Tabela1[[#This Row],[CO_PAIS]],'[1]nome do paixs'!$A:$B,2,0)</f>
        <v>Espanha</v>
      </c>
      <c r="J1843" t="s">
        <v>12</v>
      </c>
    </row>
    <row r="1844" spans="1:10">
      <c r="A1844">
        <v>2024</v>
      </c>
      <c r="B1844">
        <v>9</v>
      </c>
      <c r="C1844">
        <v>8807</v>
      </c>
      <c r="D1844">
        <v>493</v>
      </c>
      <c r="E1844" t="s">
        <v>10</v>
      </c>
      <c r="F1844">
        <v>3454102</v>
      </c>
      <c r="G1844" s="1">
        <v>10081</v>
      </c>
      <c r="H1844" s="2">
        <v>4131180</v>
      </c>
      <c r="I1844" t="str">
        <f>VLOOKUP(Tabela1[[#This Row],[CO_PAIS]],'[1]nome do paixs'!$A:$B,2,0)</f>
        <v>México</v>
      </c>
      <c r="J1844" t="s">
        <v>11</v>
      </c>
    </row>
    <row r="1845" spans="1:10">
      <c r="A1845">
        <v>2024</v>
      </c>
      <c r="B1845">
        <v>9</v>
      </c>
      <c r="C1845">
        <v>8807</v>
      </c>
      <c r="D1845">
        <v>628</v>
      </c>
      <c r="E1845" t="s">
        <v>10</v>
      </c>
      <c r="F1845">
        <v>3449904</v>
      </c>
      <c r="G1845" s="1">
        <v>513</v>
      </c>
      <c r="H1845" s="2">
        <v>548178</v>
      </c>
      <c r="I1845" t="str">
        <f>VLOOKUP(Tabela1[[#This Row],[CO_PAIS]],'[1]nome do paixs'!$A:$B,2,0)</f>
        <v>Reino Unido</v>
      </c>
      <c r="J1845" t="s">
        <v>12</v>
      </c>
    </row>
    <row r="1846" spans="1:10">
      <c r="A1846">
        <v>2024</v>
      </c>
      <c r="B1846">
        <v>9</v>
      </c>
      <c r="C1846">
        <v>8807</v>
      </c>
      <c r="D1846">
        <v>87</v>
      </c>
      <c r="E1846" t="s">
        <v>10</v>
      </c>
      <c r="F1846">
        <v>3454102</v>
      </c>
      <c r="G1846" s="1">
        <v>1498</v>
      </c>
      <c r="H1846" s="2">
        <v>1316336</v>
      </c>
      <c r="I1846" t="str">
        <f>VLOOKUP(Tabela1[[#This Row],[CO_PAIS]],'[1]nome do paixs'!$A:$B,2,0)</f>
        <v>Bélgica</v>
      </c>
      <c r="J1846" t="s">
        <v>11</v>
      </c>
    </row>
    <row r="1847" spans="1:10">
      <c r="A1847">
        <v>2024</v>
      </c>
      <c r="B1847">
        <v>9</v>
      </c>
      <c r="C1847">
        <v>8807</v>
      </c>
      <c r="D1847">
        <v>23</v>
      </c>
      <c r="E1847" t="s">
        <v>10</v>
      </c>
      <c r="F1847">
        <v>3449904</v>
      </c>
      <c r="G1847" s="1">
        <v>402</v>
      </c>
      <c r="H1847" s="2">
        <v>430626</v>
      </c>
      <c r="I1847" t="str">
        <f>VLOOKUP(Tabela1[[#This Row],[CO_PAIS]],'[1]nome do paixs'!$A:$B,2,0)</f>
        <v>Alemanha</v>
      </c>
      <c r="J1847" t="s">
        <v>12</v>
      </c>
    </row>
    <row r="1848" spans="1:10">
      <c r="A1848">
        <v>2024</v>
      </c>
      <c r="B1848">
        <v>9</v>
      </c>
      <c r="C1848">
        <v>8807</v>
      </c>
      <c r="D1848">
        <v>375</v>
      </c>
      <c r="E1848" t="s">
        <v>10</v>
      </c>
      <c r="F1848">
        <v>3454102</v>
      </c>
      <c r="G1848" s="1">
        <v>29</v>
      </c>
      <c r="H1848" s="2">
        <v>15150</v>
      </c>
      <c r="I1848" t="str">
        <f>VLOOKUP(Tabela1[[#This Row],[CO_PAIS]],'[1]nome do paixs'!$A:$B,2,0)</f>
        <v>Irlanda</v>
      </c>
      <c r="J1848" t="s">
        <v>11</v>
      </c>
    </row>
    <row r="1849" spans="1:10">
      <c r="A1849">
        <v>2024</v>
      </c>
      <c r="B1849">
        <v>9</v>
      </c>
      <c r="C1849">
        <v>8807</v>
      </c>
      <c r="D1849">
        <v>275</v>
      </c>
      <c r="E1849" t="s">
        <v>10</v>
      </c>
      <c r="F1849">
        <v>3449904</v>
      </c>
      <c r="G1849" s="1">
        <v>203</v>
      </c>
      <c r="H1849" s="2">
        <v>286319</v>
      </c>
      <c r="I1849" t="str">
        <f>VLOOKUP(Tabela1[[#This Row],[CO_PAIS]],'[1]nome do paixs'!$A:$B,2,0)</f>
        <v>França</v>
      </c>
      <c r="J1849" t="s">
        <v>12</v>
      </c>
    </row>
    <row r="1850" spans="1:10">
      <c r="A1850">
        <v>2024</v>
      </c>
      <c r="B1850">
        <v>9</v>
      </c>
      <c r="C1850">
        <v>8807</v>
      </c>
      <c r="D1850">
        <v>607</v>
      </c>
      <c r="E1850" t="s">
        <v>10</v>
      </c>
      <c r="F1850">
        <v>3449904</v>
      </c>
      <c r="G1850" s="1">
        <v>22</v>
      </c>
      <c r="H1850" s="2">
        <v>48777</v>
      </c>
      <c r="I1850" t="str">
        <f>VLOOKUP(Tabela1[[#This Row],[CO_PAIS]],'[1]nome do paixs'!$A:$B,2,0)</f>
        <v>Portugal</v>
      </c>
      <c r="J1850" t="s">
        <v>12</v>
      </c>
    </row>
    <row r="1851" spans="1:10">
      <c r="A1851">
        <v>2024</v>
      </c>
      <c r="B1851">
        <v>9</v>
      </c>
      <c r="C1851">
        <v>8807</v>
      </c>
      <c r="D1851">
        <v>72</v>
      </c>
      <c r="E1851" t="s">
        <v>10</v>
      </c>
      <c r="F1851">
        <v>3449904</v>
      </c>
      <c r="G1851" s="1">
        <v>0</v>
      </c>
      <c r="H1851" s="2">
        <v>1405</v>
      </c>
      <c r="I1851" t="str">
        <f>VLOOKUP(Tabela1[[#This Row],[CO_PAIS]],'[1]nome do paixs'!$A:$B,2,0)</f>
        <v>Áustria</v>
      </c>
      <c r="J1851" t="s">
        <v>12</v>
      </c>
    </row>
    <row r="1852" spans="1:10">
      <c r="A1852">
        <v>2024</v>
      </c>
      <c r="B1852">
        <v>9</v>
      </c>
      <c r="C1852">
        <v>8807</v>
      </c>
      <c r="D1852">
        <v>23</v>
      </c>
      <c r="E1852" t="s">
        <v>10</v>
      </c>
      <c r="F1852">
        <v>3454102</v>
      </c>
      <c r="G1852" s="1">
        <v>15836</v>
      </c>
      <c r="H1852" s="2">
        <v>735019</v>
      </c>
      <c r="I1852" t="str">
        <f>VLOOKUP(Tabela1[[#This Row],[CO_PAIS]],'[1]nome do paixs'!$A:$B,2,0)</f>
        <v>Alemanha</v>
      </c>
      <c r="J1852" t="s">
        <v>11</v>
      </c>
    </row>
    <row r="1853" spans="1:10">
      <c r="A1853">
        <v>2024</v>
      </c>
      <c r="B1853">
        <v>9</v>
      </c>
      <c r="C1853">
        <v>8807</v>
      </c>
      <c r="D1853">
        <v>386</v>
      </c>
      <c r="E1853" t="s">
        <v>10</v>
      </c>
      <c r="F1853">
        <v>3454102</v>
      </c>
      <c r="G1853" s="1">
        <v>768</v>
      </c>
      <c r="H1853" s="2">
        <v>2141232</v>
      </c>
      <c r="I1853" t="str">
        <f>VLOOKUP(Tabela1[[#This Row],[CO_PAIS]],'[1]nome do paixs'!$A:$B,2,0)</f>
        <v>Itália</v>
      </c>
      <c r="J1853" t="s">
        <v>11</v>
      </c>
    </row>
    <row r="1854" spans="1:10">
      <c r="A1854">
        <v>2024</v>
      </c>
      <c r="B1854">
        <v>9</v>
      </c>
      <c r="C1854">
        <v>8807</v>
      </c>
      <c r="D1854">
        <v>190</v>
      </c>
      <c r="E1854" t="s">
        <v>10</v>
      </c>
      <c r="F1854">
        <v>3449904</v>
      </c>
      <c r="G1854" s="1">
        <v>25</v>
      </c>
      <c r="H1854" s="2">
        <v>37087</v>
      </c>
      <c r="I1854" t="str">
        <f>VLOOKUP(Tabela1[[#This Row],[CO_PAIS]],'[1]nome do paixs'!$A:$B,2,0)</f>
        <v>Coreia do Sul</v>
      </c>
      <c r="J1854" t="s">
        <v>12</v>
      </c>
    </row>
    <row r="1855" spans="1:10">
      <c r="A1855">
        <v>2024</v>
      </c>
      <c r="B1855">
        <v>9</v>
      </c>
      <c r="C1855">
        <v>8807</v>
      </c>
      <c r="D1855">
        <v>149</v>
      </c>
      <c r="E1855" t="s">
        <v>10</v>
      </c>
      <c r="F1855">
        <v>3454102</v>
      </c>
      <c r="G1855" s="1">
        <v>134</v>
      </c>
      <c r="H1855" s="2">
        <v>169236</v>
      </c>
      <c r="I1855" t="str">
        <f>VLOOKUP(Tabela1[[#This Row],[CO_PAIS]],'[1]nome do paixs'!$A:$B,2,0)</f>
        <v>Canadá</v>
      </c>
      <c r="J1855" t="s">
        <v>11</v>
      </c>
    </row>
    <row r="1856" spans="1:10">
      <c r="A1856">
        <v>2024</v>
      </c>
      <c r="B1856">
        <v>9</v>
      </c>
      <c r="C1856">
        <v>8807</v>
      </c>
      <c r="D1856">
        <v>455</v>
      </c>
      <c r="E1856" t="s">
        <v>10</v>
      </c>
      <c r="F1856">
        <v>3454102</v>
      </c>
      <c r="G1856" s="1">
        <v>4411</v>
      </c>
      <c r="H1856" s="2">
        <v>683017</v>
      </c>
      <c r="I1856" t="str">
        <f>VLOOKUP(Tabela1[[#This Row],[CO_PAIS]],'[1]nome do paixs'!$A:$B,2,0)</f>
        <v>Malásia</v>
      </c>
      <c r="J1856" t="s">
        <v>11</v>
      </c>
    </row>
    <row r="1857" spans="1:10">
      <c r="A1857">
        <v>2024</v>
      </c>
      <c r="B1857">
        <v>9</v>
      </c>
      <c r="C1857">
        <v>8807</v>
      </c>
      <c r="D1857">
        <v>105</v>
      </c>
      <c r="E1857" t="s">
        <v>10</v>
      </c>
      <c r="F1857">
        <v>3454102</v>
      </c>
      <c r="G1857" s="1">
        <v>7125</v>
      </c>
      <c r="H1857" s="2">
        <v>7121240</v>
      </c>
      <c r="I1857" t="str">
        <f>VLOOKUP(Tabela1[[#This Row],[CO_PAIS]],'[1]nome do paixs'!$A:$B,2,0)</f>
        <v>Brasil</v>
      </c>
      <c r="J1857" t="s">
        <v>11</v>
      </c>
    </row>
    <row r="1858" spans="1:10">
      <c r="A1858">
        <v>2024</v>
      </c>
      <c r="B1858">
        <v>9</v>
      </c>
      <c r="C1858">
        <v>8807</v>
      </c>
      <c r="D1858">
        <v>249</v>
      </c>
      <c r="E1858" t="s">
        <v>10</v>
      </c>
      <c r="F1858">
        <v>3454102</v>
      </c>
      <c r="G1858" s="1">
        <v>17342</v>
      </c>
      <c r="H1858" s="2">
        <v>5569068</v>
      </c>
      <c r="I1858" t="str">
        <f>VLOOKUP(Tabela1[[#This Row],[CO_PAIS]],'[1]nome do paixs'!$A:$B,2,0)</f>
        <v>Estados Unidos</v>
      </c>
      <c r="J1858" t="s">
        <v>11</v>
      </c>
    </row>
    <row r="1859" spans="1:10">
      <c r="A1859">
        <v>2024</v>
      </c>
      <c r="B1859">
        <v>9</v>
      </c>
      <c r="C1859">
        <v>8807</v>
      </c>
      <c r="D1859">
        <v>741</v>
      </c>
      <c r="E1859" t="s">
        <v>10</v>
      </c>
      <c r="F1859">
        <v>3449904</v>
      </c>
      <c r="G1859" s="1">
        <v>76</v>
      </c>
      <c r="H1859" s="2">
        <v>105633</v>
      </c>
      <c r="I1859" t="str">
        <f>VLOOKUP(Tabela1[[#This Row],[CO_PAIS]],'[1]nome do paixs'!$A:$B,2,0)</f>
        <v>Singapura</v>
      </c>
      <c r="J1859" t="s">
        <v>12</v>
      </c>
    </row>
    <row r="1860" spans="1:10">
      <c r="A1860">
        <v>2024</v>
      </c>
      <c r="B1860">
        <v>9</v>
      </c>
      <c r="C1860">
        <v>8807</v>
      </c>
      <c r="D1860">
        <v>249</v>
      </c>
      <c r="E1860" t="s">
        <v>10</v>
      </c>
      <c r="F1860">
        <v>3449904</v>
      </c>
      <c r="G1860" s="1">
        <v>3420</v>
      </c>
      <c r="H1860" s="2">
        <v>5102185</v>
      </c>
      <c r="I1860" t="str">
        <f>VLOOKUP(Tabela1[[#This Row],[CO_PAIS]],'[1]nome do paixs'!$A:$B,2,0)</f>
        <v>Estados Unidos</v>
      </c>
      <c r="J1860" t="s">
        <v>12</v>
      </c>
    </row>
    <row r="1861" spans="1:10">
      <c r="A1861">
        <v>2024</v>
      </c>
      <c r="B1861">
        <v>9</v>
      </c>
      <c r="C1861">
        <v>8807</v>
      </c>
      <c r="D1861">
        <v>791</v>
      </c>
      <c r="E1861" t="s">
        <v>10</v>
      </c>
      <c r="F1861">
        <v>3454102</v>
      </c>
      <c r="G1861" s="1">
        <v>0</v>
      </c>
      <c r="H1861" s="2">
        <v>674</v>
      </c>
      <c r="I1861" t="str">
        <f>VLOOKUP(Tabela1[[#This Row],[CO_PAIS]],'[1]nome do paixs'!$A:$B,2,0)</f>
        <v>Tcheca, República</v>
      </c>
      <c r="J1861" t="s">
        <v>11</v>
      </c>
    </row>
    <row r="1862" spans="1:10">
      <c r="A1862">
        <v>2024</v>
      </c>
      <c r="B1862">
        <v>9</v>
      </c>
      <c r="C1862">
        <v>8807</v>
      </c>
      <c r="D1862">
        <v>474</v>
      </c>
      <c r="E1862" t="s">
        <v>10</v>
      </c>
      <c r="F1862">
        <v>3454102</v>
      </c>
      <c r="G1862" s="1">
        <v>138</v>
      </c>
      <c r="H1862" s="2">
        <v>363389</v>
      </c>
      <c r="I1862" t="str">
        <f>VLOOKUP(Tabela1[[#This Row],[CO_PAIS]],'[1]nome do paixs'!$A:$B,2,0)</f>
        <v>Marrocos</v>
      </c>
      <c r="J1862" t="s">
        <v>11</v>
      </c>
    </row>
    <row r="1863" spans="1:10">
      <c r="A1863">
        <v>2024</v>
      </c>
      <c r="B1863">
        <v>9</v>
      </c>
      <c r="C1863">
        <v>8807</v>
      </c>
      <c r="D1863">
        <v>827</v>
      </c>
      <c r="E1863" t="s">
        <v>10</v>
      </c>
      <c r="F1863">
        <v>3449904</v>
      </c>
      <c r="G1863" s="1">
        <v>2</v>
      </c>
      <c r="H1863" s="2">
        <v>1793</v>
      </c>
      <c r="I1863" t="str">
        <f>VLOOKUP(Tabela1[[#This Row],[CO_PAIS]],'[1]nome do paixs'!$A:$B,2,0)</f>
        <v>Turquia</v>
      </c>
      <c r="J1863" t="s">
        <v>12</v>
      </c>
    </row>
    <row r="1864" spans="1:10">
      <c r="A1864">
        <v>2024</v>
      </c>
      <c r="B1864">
        <v>9</v>
      </c>
      <c r="C1864">
        <v>8807</v>
      </c>
      <c r="D1864">
        <v>245</v>
      </c>
      <c r="E1864" t="s">
        <v>10</v>
      </c>
      <c r="F1864">
        <v>3424402</v>
      </c>
      <c r="G1864" s="1">
        <v>521</v>
      </c>
      <c r="H1864" s="2">
        <v>112432</v>
      </c>
      <c r="I1864" t="str">
        <f>VLOOKUP(Tabela1[[#This Row],[CO_PAIS]],'[1]nome do paixs'!$A:$B,2,0)</f>
        <v>Espanha</v>
      </c>
      <c r="J1864" t="s">
        <v>13</v>
      </c>
    </row>
    <row r="1865" spans="1:10">
      <c r="A1865">
        <v>2024</v>
      </c>
      <c r="B1865">
        <v>9</v>
      </c>
      <c r="C1865">
        <v>8807</v>
      </c>
      <c r="D1865">
        <v>493</v>
      </c>
      <c r="E1865" t="s">
        <v>10</v>
      </c>
      <c r="F1865">
        <v>3449904</v>
      </c>
      <c r="G1865" s="1">
        <v>1154</v>
      </c>
      <c r="H1865" s="2">
        <v>930421</v>
      </c>
      <c r="I1865" t="str">
        <f>VLOOKUP(Tabela1[[#This Row],[CO_PAIS]],'[1]nome do paixs'!$A:$B,2,0)</f>
        <v>México</v>
      </c>
      <c r="J1865" t="s">
        <v>12</v>
      </c>
    </row>
    <row r="1866" spans="1:10">
      <c r="A1866">
        <v>2024</v>
      </c>
      <c r="B1866">
        <v>9</v>
      </c>
      <c r="C1866">
        <v>8807</v>
      </c>
      <c r="D1866">
        <v>105</v>
      </c>
      <c r="E1866" t="s">
        <v>10</v>
      </c>
      <c r="F1866">
        <v>3449904</v>
      </c>
      <c r="G1866" s="1">
        <v>12932</v>
      </c>
      <c r="H1866" s="2">
        <v>9048118</v>
      </c>
      <c r="I1866" t="str">
        <f>VLOOKUP(Tabela1[[#This Row],[CO_PAIS]],'[1]nome do paixs'!$A:$B,2,0)</f>
        <v>Brasil</v>
      </c>
      <c r="J1866" t="s">
        <v>12</v>
      </c>
    </row>
    <row r="1867" spans="1:10">
      <c r="A1867">
        <v>2024</v>
      </c>
      <c r="B1867">
        <v>9</v>
      </c>
      <c r="C1867">
        <v>8807</v>
      </c>
      <c r="D1867">
        <v>607</v>
      </c>
      <c r="E1867" t="s">
        <v>10</v>
      </c>
      <c r="F1867">
        <v>3454102</v>
      </c>
      <c r="G1867" s="1">
        <v>25181</v>
      </c>
      <c r="H1867" s="2">
        <v>8618084</v>
      </c>
      <c r="I1867" t="str">
        <f>VLOOKUP(Tabela1[[#This Row],[CO_PAIS]],'[1]nome do paixs'!$A:$B,2,0)</f>
        <v>Portugal</v>
      </c>
      <c r="J1867" t="s">
        <v>11</v>
      </c>
    </row>
    <row r="1868" spans="1:10">
      <c r="A1868">
        <v>2024</v>
      </c>
      <c r="B1868">
        <v>9</v>
      </c>
      <c r="C1868">
        <v>8807</v>
      </c>
      <c r="D1868">
        <v>249</v>
      </c>
      <c r="E1868" t="s">
        <v>10</v>
      </c>
      <c r="F1868">
        <v>3424402</v>
      </c>
      <c r="G1868" s="1">
        <v>1262</v>
      </c>
      <c r="H1868" s="2">
        <v>274595</v>
      </c>
      <c r="I1868" t="str">
        <f>VLOOKUP(Tabela1[[#This Row],[CO_PAIS]],'[1]nome do paixs'!$A:$B,2,0)</f>
        <v>Estados Unidos</v>
      </c>
      <c r="J1868" t="s">
        <v>13</v>
      </c>
    </row>
    <row r="1869" spans="1:10">
      <c r="A1869">
        <v>2024</v>
      </c>
      <c r="B1869">
        <v>9</v>
      </c>
      <c r="C1869">
        <v>8807</v>
      </c>
      <c r="D1869">
        <v>399</v>
      </c>
      <c r="E1869" t="s">
        <v>10</v>
      </c>
      <c r="F1869">
        <v>3454102</v>
      </c>
      <c r="G1869" s="1">
        <v>3620</v>
      </c>
      <c r="H1869" s="2">
        <v>2160382</v>
      </c>
      <c r="I1869" t="str">
        <f>VLOOKUP(Tabela1[[#This Row],[CO_PAIS]],'[1]nome do paixs'!$A:$B,2,0)</f>
        <v>Japão</v>
      </c>
      <c r="J1869" t="s">
        <v>11</v>
      </c>
    </row>
    <row r="1870" spans="1:10">
      <c r="A1870">
        <v>2024</v>
      </c>
      <c r="B1870">
        <v>9</v>
      </c>
      <c r="C1870">
        <v>8807</v>
      </c>
      <c r="D1870">
        <v>361</v>
      </c>
      <c r="E1870" t="s">
        <v>10</v>
      </c>
      <c r="F1870">
        <v>3449904</v>
      </c>
      <c r="G1870" s="1">
        <v>2803</v>
      </c>
      <c r="H1870" s="2">
        <v>1433185</v>
      </c>
      <c r="I1870" t="str">
        <f>VLOOKUP(Tabela1[[#This Row],[CO_PAIS]],'[1]nome do paixs'!$A:$B,2,0)</f>
        <v>Índia</v>
      </c>
      <c r="J1870" t="s">
        <v>12</v>
      </c>
    </row>
    <row r="1871" spans="1:10">
      <c r="A1871">
        <v>2024</v>
      </c>
      <c r="B1871">
        <v>9</v>
      </c>
      <c r="C1871">
        <v>8807</v>
      </c>
      <c r="D1871">
        <v>776</v>
      </c>
      <c r="E1871" t="s">
        <v>10</v>
      </c>
      <c r="F1871">
        <v>3454102</v>
      </c>
      <c r="G1871" s="1">
        <v>23</v>
      </c>
      <c r="H1871" s="2">
        <v>2447</v>
      </c>
      <c r="I1871" t="str">
        <f>VLOOKUP(Tabela1[[#This Row],[CO_PAIS]],'[1]nome do paixs'!$A:$B,2,0)</f>
        <v>Tailândia</v>
      </c>
      <c r="J1871" t="s">
        <v>11</v>
      </c>
    </row>
    <row r="1872" spans="1:10">
      <c r="A1872">
        <v>2024</v>
      </c>
      <c r="B1872">
        <v>9</v>
      </c>
      <c r="C1872">
        <v>8807</v>
      </c>
      <c r="D1872">
        <v>386</v>
      </c>
      <c r="E1872" t="s">
        <v>10</v>
      </c>
      <c r="F1872">
        <v>3449904</v>
      </c>
      <c r="G1872" s="1">
        <v>9</v>
      </c>
      <c r="H1872" s="2">
        <v>8327</v>
      </c>
      <c r="I1872" t="str">
        <f>VLOOKUP(Tabela1[[#This Row],[CO_PAIS]],'[1]nome do paixs'!$A:$B,2,0)</f>
        <v>Itália</v>
      </c>
      <c r="J1872" t="s">
        <v>12</v>
      </c>
    </row>
    <row r="1873" spans="1:10">
      <c r="A1873">
        <v>2024</v>
      </c>
      <c r="B1873">
        <v>9</v>
      </c>
      <c r="C1873">
        <v>8807</v>
      </c>
      <c r="D1873">
        <v>245</v>
      </c>
      <c r="E1873" t="s">
        <v>10</v>
      </c>
      <c r="F1873">
        <v>3454102</v>
      </c>
      <c r="G1873" s="1">
        <v>471</v>
      </c>
      <c r="H1873" s="2">
        <v>544166</v>
      </c>
      <c r="I1873" t="str">
        <f>VLOOKUP(Tabela1[[#This Row],[CO_PAIS]],'[1]nome do paixs'!$A:$B,2,0)</f>
        <v>Espanha</v>
      </c>
      <c r="J1873" t="s">
        <v>11</v>
      </c>
    </row>
    <row r="1874" spans="1:10">
      <c r="A1874">
        <v>2024</v>
      </c>
      <c r="B1874">
        <v>9</v>
      </c>
      <c r="C1874">
        <v>8807</v>
      </c>
      <c r="D1874">
        <v>399</v>
      </c>
      <c r="E1874" t="s">
        <v>10</v>
      </c>
      <c r="F1874">
        <v>3449904</v>
      </c>
      <c r="G1874" s="1">
        <v>504</v>
      </c>
      <c r="H1874" s="2">
        <v>429163</v>
      </c>
      <c r="I1874" t="str">
        <f>VLOOKUP(Tabela1[[#This Row],[CO_PAIS]],'[1]nome do paixs'!$A:$B,2,0)</f>
        <v>Japão</v>
      </c>
      <c r="J1874" t="s">
        <v>12</v>
      </c>
    </row>
    <row r="1875" spans="1:10">
      <c r="A1875">
        <v>2024</v>
      </c>
      <c r="B1875">
        <v>9</v>
      </c>
      <c r="C1875">
        <v>8807</v>
      </c>
      <c r="D1875">
        <v>72</v>
      </c>
      <c r="E1875" t="s">
        <v>10</v>
      </c>
      <c r="F1875">
        <v>3454102</v>
      </c>
      <c r="G1875" s="1">
        <v>2561</v>
      </c>
      <c r="H1875" s="2">
        <v>795553</v>
      </c>
      <c r="I1875" t="str">
        <f>VLOOKUP(Tabela1[[#This Row],[CO_PAIS]],'[1]nome do paixs'!$A:$B,2,0)</f>
        <v>Áustria</v>
      </c>
      <c r="J1875" t="s">
        <v>11</v>
      </c>
    </row>
    <row r="1876" spans="1:10">
      <c r="A1876">
        <v>2024</v>
      </c>
      <c r="B1876">
        <v>9</v>
      </c>
      <c r="C1876">
        <v>8807</v>
      </c>
      <c r="D1876">
        <v>791</v>
      </c>
      <c r="E1876" t="s">
        <v>10</v>
      </c>
      <c r="F1876">
        <v>3424402</v>
      </c>
      <c r="G1876" s="1">
        <v>528</v>
      </c>
      <c r="H1876" s="2">
        <v>424999</v>
      </c>
      <c r="I1876" t="str">
        <f>VLOOKUP(Tabela1[[#This Row],[CO_PAIS]],'[1]nome do paixs'!$A:$B,2,0)</f>
        <v>Tcheca, República</v>
      </c>
      <c r="J1876" t="s">
        <v>13</v>
      </c>
    </row>
    <row r="1877" spans="1:10">
      <c r="A1877">
        <v>2024</v>
      </c>
      <c r="B1877">
        <v>9</v>
      </c>
      <c r="C1877">
        <v>8807</v>
      </c>
      <c r="D1877">
        <v>190</v>
      </c>
      <c r="E1877" t="s">
        <v>10</v>
      </c>
      <c r="F1877">
        <v>3424402</v>
      </c>
      <c r="G1877" s="1">
        <v>82</v>
      </c>
      <c r="H1877" s="2">
        <v>35628</v>
      </c>
      <c r="I1877" t="str">
        <f>VLOOKUP(Tabela1[[#This Row],[CO_PAIS]],'[1]nome do paixs'!$A:$B,2,0)</f>
        <v>Coreia do Sul</v>
      </c>
      <c r="J1877" t="s">
        <v>13</v>
      </c>
    </row>
    <row r="1878" spans="1:10">
      <c r="A1878">
        <v>2024</v>
      </c>
      <c r="B1878">
        <v>9</v>
      </c>
      <c r="C1878">
        <v>8807</v>
      </c>
      <c r="D1878">
        <v>493</v>
      </c>
      <c r="E1878" t="s">
        <v>10</v>
      </c>
      <c r="F1878">
        <v>3424402</v>
      </c>
      <c r="G1878" s="1">
        <v>1</v>
      </c>
      <c r="H1878" s="2">
        <v>653</v>
      </c>
      <c r="I1878" t="str">
        <f>VLOOKUP(Tabela1[[#This Row],[CO_PAIS]],'[1]nome do paixs'!$A:$B,2,0)</f>
        <v>México</v>
      </c>
      <c r="J1878" t="s">
        <v>13</v>
      </c>
    </row>
    <row r="1879" spans="1:10">
      <c r="A1879">
        <v>2024</v>
      </c>
      <c r="B1879">
        <v>9</v>
      </c>
      <c r="C1879">
        <v>8807</v>
      </c>
      <c r="D1879">
        <v>87</v>
      </c>
      <c r="E1879" t="s">
        <v>10</v>
      </c>
      <c r="F1879">
        <v>3424402</v>
      </c>
      <c r="G1879" s="1">
        <v>12</v>
      </c>
      <c r="H1879" s="2">
        <v>14984</v>
      </c>
      <c r="I1879" t="str">
        <f>VLOOKUP(Tabela1[[#This Row],[CO_PAIS]],'[1]nome do paixs'!$A:$B,2,0)</f>
        <v>Bélgica</v>
      </c>
      <c r="J1879" t="s">
        <v>13</v>
      </c>
    </row>
    <row r="1880" spans="1:10">
      <c r="A1880">
        <v>2024</v>
      </c>
      <c r="B1880">
        <v>9</v>
      </c>
      <c r="C1880">
        <v>8807</v>
      </c>
      <c r="D1880">
        <v>375</v>
      </c>
      <c r="E1880" t="s">
        <v>10</v>
      </c>
      <c r="F1880">
        <v>3449904</v>
      </c>
      <c r="G1880" s="1">
        <v>3</v>
      </c>
      <c r="H1880" s="2">
        <v>1929</v>
      </c>
      <c r="I1880" t="str">
        <f>VLOOKUP(Tabela1[[#This Row],[CO_PAIS]],'[1]nome do paixs'!$A:$B,2,0)</f>
        <v>Irlanda</v>
      </c>
      <c r="J1880" t="s">
        <v>12</v>
      </c>
    </row>
    <row r="1881" spans="1:10">
      <c r="A1881">
        <v>2024</v>
      </c>
      <c r="B1881">
        <v>9</v>
      </c>
      <c r="C1881">
        <v>8807</v>
      </c>
      <c r="D1881">
        <v>275</v>
      </c>
      <c r="E1881" t="s">
        <v>10</v>
      </c>
      <c r="F1881">
        <v>3424402</v>
      </c>
      <c r="G1881" s="1">
        <v>294</v>
      </c>
      <c r="H1881" s="2">
        <v>589733</v>
      </c>
      <c r="I1881" t="str">
        <f>VLOOKUP(Tabela1[[#This Row],[CO_PAIS]],'[1]nome do paixs'!$A:$B,2,0)</f>
        <v>França</v>
      </c>
      <c r="J1881" t="s">
        <v>13</v>
      </c>
    </row>
    <row r="1882" spans="1:10">
      <c r="A1882">
        <v>2024</v>
      </c>
      <c r="B1882">
        <v>9</v>
      </c>
      <c r="C1882">
        <v>8807</v>
      </c>
      <c r="D1882">
        <v>149</v>
      </c>
      <c r="E1882" t="s">
        <v>10</v>
      </c>
      <c r="F1882">
        <v>3449904</v>
      </c>
      <c r="G1882" s="1">
        <v>96</v>
      </c>
      <c r="H1882" s="2">
        <v>114876</v>
      </c>
      <c r="I1882" t="str">
        <f>VLOOKUP(Tabela1[[#This Row],[CO_PAIS]],'[1]nome do paixs'!$A:$B,2,0)</f>
        <v>Canadá</v>
      </c>
      <c r="J1882" t="s">
        <v>12</v>
      </c>
    </row>
    <row r="1883" spans="1:10">
      <c r="A1883">
        <v>2023</v>
      </c>
      <c r="B1883">
        <v>9</v>
      </c>
      <c r="C1883">
        <v>8807</v>
      </c>
      <c r="D1883">
        <v>275</v>
      </c>
      <c r="E1883" t="s">
        <v>10</v>
      </c>
      <c r="F1883">
        <v>3454102</v>
      </c>
      <c r="G1883" s="1">
        <v>1399</v>
      </c>
      <c r="H1883" s="2">
        <v>780972</v>
      </c>
      <c r="I1883" t="str">
        <f>VLOOKUP(Tabela1[[#This Row],[CO_PAIS]],'[1]nome do paixs'!$A:$B,2,0)</f>
        <v>França</v>
      </c>
      <c r="J1883" t="s">
        <v>11</v>
      </c>
    </row>
    <row r="1884" spans="1:10">
      <c r="A1884">
        <v>2023</v>
      </c>
      <c r="B1884">
        <v>9</v>
      </c>
      <c r="C1884">
        <v>8807</v>
      </c>
      <c r="D1884">
        <v>474</v>
      </c>
      <c r="E1884" t="s">
        <v>10</v>
      </c>
      <c r="F1884">
        <v>3449904</v>
      </c>
      <c r="G1884" s="1">
        <v>12</v>
      </c>
      <c r="H1884" s="2">
        <v>41025</v>
      </c>
      <c r="I1884" t="str">
        <f>VLOOKUP(Tabela1[[#This Row],[CO_PAIS]],'[1]nome do paixs'!$A:$B,2,0)</f>
        <v>Marrocos</v>
      </c>
      <c r="J1884" t="s">
        <v>12</v>
      </c>
    </row>
    <row r="1885" spans="1:10">
      <c r="A1885">
        <v>2023</v>
      </c>
      <c r="B1885">
        <v>9</v>
      </c>
      <c r="C1885">
        <v>8807</v>
      </c>
      <c r="D1885">
        <v>245</v>
      </c>
      <c r="E1885" t="s">
        <v>10</v>
      </c>
      <c r="F1885">
        <v>3424402</v>
      </c>
      <c r="G1885" s="1">
        <v>186</v>
      </c>
      <c r="H1885" s="2">
        <v>41555</v>
      </c>
      <c r="I1885" t="str">
        <f>VLOOKUP(Tabela1[[#This Row],[CO_PAIS]],'[1]nome do paixs'!$A:$B,2,0)</f>
        <v>Espanha</v>
      </c>
      <c r="J1885" t="s">
        <v>13</v>
      </c>
    </row>
    <row r="1886" spans="1:10">
      <c r="A1886">
        <v>2023</v>
      </c>
      <c r="B1886">
        <v>9</v>
      </c>
      <c r="C1886">
        <v>8807</v>
      </c>
      <c r="D1886">
        <v>628</v>
      </c>
      <c r="E1886" t="s">
        <v>10</v>
      </c>
      <c r="F1886">
        <v>3449904</v>
      </c>
      <c r="G1886" s="1">
        <v>318</v>
      </c>
      <c r="H1886" s="2">
        <v>442342</v>
      </c>
      <c r="I1886" t="str">
        <f>VLOOKUP(Tabela1[[#This Row],[CO_PAIS]],'[1]nome do paixs'!$A:$B,2,0)</f>
        <v>Reino Unido</v>
      </c>
      <c r="J1886" t="s">
        <v>12</v>
      </c>
    </row>
    <row r="1887" spans="1:10">
      <c r="A1887">
        <v>2023</v>
      </c>
      <c r="B1887">
        <v>9</v>
      </c>
      <c r="C1887">
        <v>8807</v>
      </c>
      <c r="D1887">
        <v>72</v>
      </c>
      <c r="E1887" t="s">
        <v>10</v>
      </c>
      <c r="F1887">
        <v>3454102</v>
      </c>
      <c r="G1887" s="1">
        <v>14811</v>
      </c>
      <c r="H1887" s="2">
        <v>1087937</v>
      </c>
      <c r="I1887" t="str">
        <f>VLOOKUP(Tabela1[[#This Row],[CO_PAIS]],'[1]nome do paixs'!$A:$B,2,0)</f>
        <v>Áustria</v>
      </c>
      <c r="J1887" t="s">
        <v>11</v>
      </c>
    </row>
    <row r="1888" spans="1:10">
      <c r="A1888">
        <v>2023</v>
      </c>
      <c r="B1888">
        <v>9</v>
      </c>
      <c r="C1888">
        <v>8807</v>
      </c>
      <c r="D1888">
        <v>190</v>
      </c>
      <c r="E1888" t="s">
        <v>10</v>
      </c>
      <c r="F1888">
        <v>3454102</v>
      </c>
      <c r="G1888" s="1">
        <v>2284</v>
      </c>
      <c r="H1888" s="2">
        <v>2211986</v>
      </c>
      <c r="I1888" t="str">
        <f>VLOOKUP(Tabela1[[#This Row],[CO_PAIS]],'[1]nome do paixs'!$A:$B,2,0)</f>
        <v>Coreia do Sul</v>
      </c>
      <c r="J1888" t="s">
        <v>11</v>
      </c>
    </row>
    <row r="1889" spans="1:10">
      <c r="A1889">
        <v>2023</v>
      </c>
      <c r="B1889">
        <v>9</v>
      </c>
      <c r="C1889">
        <v>8807</v>
      </c>
      <c r="D1889">
        <v>791</v>
      </c>
      <c r="E1889" t="s">
        <v>10</v>
      </c>
      <c r="F1889">
        <v>3449904</v>
      </c>
      <c r="G1889" s="1">
        <v>7</v>
      </c>
      <c r="H1889" s="2">
        <v>18830</v>
      </c>
      <c r="I1889" t="str">
        <f>VLOOKUP(Tabela1[[#This Row],[CO_PAIS]],'[1]nome do paixs'!$A:$B,2,0)</f>
        <v>Tcheca, República</v>
      </c>
      <c r="J1889" t="s">
        <v>12</v>
      </c>
    </row>
    <row r="1890" spans="1:10">
      <c r="A1890">
        <v>2023</v>
      </c>
      <c r="B1890">
        <v>9</v>
      </c>
      <c r="C1890">
        <v>8807</v>
      </c>
      <c r="D1890">
        <v>249</v>
      </c>
      <c r="E1890" t="s">
        <v>10</v>
      </c>
      <c r="F1890">
        <v>3449904</v>
      </c>
      <c r="G1890" s="1">
        <v>4919</v>
      </c>
      <c r="H1890" s="2">
        <v>4557884</v>
      </c>
      <c r="I1890" t="str">
        <f>VLOOKUP(Tabela1[[#This Row],[CO_PAIS]],'[1]nome do paixs'!$A:$B,2,0)</f>
        <v>Estados Unidos</v>
      </c>
      <c r="J1890" t="s">
        <v>12</v>
      </c>
    </row>
    <row r="1891" spans="1:10">
      <c r="A1891">
        <v>2023</v>
      </c>
      <c r="B1891">
        <v>9</v>
      </c>
      <c r="C1891">
        <v>8807</v>
      </c>
      <c r="D1891">
        <v>105</v>
      </c>
      <c r="E1891" t="s">
        <v>10</v>
      </c>
      <c r="F1891">
        <v>3454102</v>
      </c>
      <c r="G1891" s="1">
        <v>4516</v>
      </c>
      <c r="H1891" s="2">
        <v>4778626</v>
      </c>
      <c r="I1891" t="str">
        <f>VLOOKUP(Tabela1[[#This Row],[CO_PAIS]],'[1]nome do paixs'!$A:$B,2,0)</f>
        <v>Brasil</v>
      </c>
      <c r="J1891" t="s">
        <v>11</v>
      </c>
    </row>
    <row r="1892" spans="1:10">
      <c r="A1892">
        <v>2023</v>
      </c>
      <c r="B1892">
        <v>9</v>
      </c>
      <c r="C1892">
        <v>8807</v>
      </c>
      <c r="D1892">
        <v>105</v>
      </c>
      <c r="E1892" t="s">
        <v>10</v>
      </c>
      <c r="F1892">
        <v>3449904</v>
      </c>
      <c r="G1892" s="1">
        <v>6029</v>
      </c>
      <c r="H1892" s="2">
        <v>3876221</v>
      </c>
      <c r="I1892" t="str">
        <f>VLOOKUP(Tabela1[[#This Row],[CO_PAIS]],'[1]nome do paixs'!$A:$B,2,0)</f>
        <v>Brasil</v>
      </c>
      <c r="J1892" t="s">
        <v>12</v>
      </c>
    </row>
    <row r="1893" spans="1:10">
      <c r="A1893">
        <v>2023</v>
      </c>
      <c r="B1893">
        <v>9</v>
      </c>
      <c r="C1893">
        <v>8807</v>
      </c>
      <c r="D1893">
        <v>23</v>
      </c>
      <c r="E1893" t="s">
        <v>10</v>
      </c>
      <c r="F1893">
        <v>3449904</v>
      </c>
      <c r="G1893" s="1">
        <v>277</v>
      </c>
      <c r="H1893" s="2">
        <v>258271</v>
      </c>
      <c r="I1893" t="str">
        <f>VLOOKUP(Tabela1[[#This Row],[CO_PAIS]],'[1]nome do paixs'!$A:$B,2,0)</f>
        <v>Alemanha</v>
      </c>
      <c r="J1893" t="s">
        <v>12</v>
      </c>
    </row>
    <row r="1894" spans="1:10">
      <c r="A1894">
        <v>2023</v>
      </c>
      <c r="B1894">
        <v>9</v>
      </c>
      <c r="C1894">
        <v>8807</v>
      </c>
      <c r="D1894">
        <v>375</v>
      </c>
      <c r="E1894" t="s">
        <v>10</v>
      </c>
      <c r="F1894">
        <v>3454102</v>
      </c>
      <c r="G1894" s="1">
        <v>13</v>
      </c>
      <c r="H1894" s="2">
        <v>4825</v>
      </c>
      <c r="I1894" t="str">
        <f>VLOOKUP(Tabela1[[#This Row],[CO_PAIS]],'[1]nome do paixs'!$A:$B,2,0)</f>
        <v>Irlanda</v>
      </c>
      <c r="J1894" t="s">
        <v>11</v>
      </c>
    </row>
    <row r="1895" spans="1:10">
      <c r="A1895">
        <v>2023</v>
      </c>
      <c r="B1895">
        <v>9</v>
      </c>
      <c r="C1895">
        <v>8807</v>
      </c>
      <c r="D1895">
        <v>149</v>
      </c>
      <c r="E1895" t="s">
        <v>10</v>
      </c>
      <c r="F1895">
        <v>3454102</v>
      </c>
      <c r="G1895" s="1">
        <v>239</v>
      </c>
      <c r="H1895" s="2">
        <v>318666</v>
      </c>
      <c r="I1895" t="str">
        <f>VLOOKUP(Tabela1[[#This Row],[CO_PAIS]],'[1]nome do paixs'!$A:$B,2,0)</f>
        <v>Canadá</v>
      </c>
      <c r="J1895" t="s">
        <v>11</v>
      </c>
    </row>
    <row r="1896" spans="1:10">
      <c r="A1896">
        <v>2023</v>
      </c>
      <c r="B1896">
        <v>9</v>
      </c>
      <c r="C1896">
        <v>8807</v>
      </c>
      <c r="D1896">
        <v>399</v>
      </c>
      <c r="E1896" t="s">
        <v>10</v>
      </c>
      <c r="F1896">
        <v>3454102</v>
      </c>
      <c r="G1896" s="1">
        <v>1403</v>
      </c>
      <c r="H1896" s="2">
        <v>676011</v>
      </c>
      <c r="I1896" t="str">
        <f>VLOOKUP(Tabela1[[#This Row],[CO_PAIS]],'[1]nome do paixs'!$A:$B,2,0)</f>
        <v>Japão</v>
      </c>
      <c r="J1896" t="s">
        <v>11</v>
      </c>
    </row>
    <row r="1897" spans="1:10">
      <c r="A1897">
        <v>2023</v>
      </c>
      <c r="B1897">
        <v>9</v>
      </c>
      <c r="C1897">
        <v>8807</v>
      </c>
      <c r="D1897">
        <v>493</v>
      </c>
      <c r="E1897" t="s">
        <v>10</v>
      </c>
      <c r="F1897">
        <v>3449904</v>
      </c>
      <c r="G1897" s="1">
        <v>2525</v>
      </c>
      <c r="H1897" s="2">
        <v>1333349</v>
      </c>
      <c r="I1897" t="str">
        <f>VLOOKUP(Tabela1[[#This Row],[CO_PAIS]],'[1]nome do paixs'!$A:$B,2,0)</f>
        <v>México</v>
      </c>
      <c r="J1897" t="s">
        <v>12</v>
      </c>
    </row>
    <row r="1898" spans="1:10">
      <c r="A1898">
        <v>2023</v>
      </c>
      <c r="B1898">
        <v>9</v>
      </c>
      <c r="C1898">
        <v>8807</v>
      </c>
      <c r="D1898">
        <v>275</v>
      </c>
      <c r="E1898" t="s">
        <v>10</v>
      </c>
      <c r="F1898">
        <v>3449904</v>
      </c>
      <c r="G1898" s="1">
        <v>180</v>
      </c>
      <c r="H1898" s="2">
        <v>290652</v>
      </c>
      <c r="I1898" t="str">
        <f>VLOOKUP(Tabela1[[#This Row],[CO_PAIS]],'[1]nome do paixs'!$A:$B,2,0)</f>
        <v>França</v>
      </c>
      <c r="J1898" t="s">
        <v>12</v>
      </c>
    </row>
    <row r="1899" spans="1:10">
      <c r="A1899">
        <v>2023</v>
      </c>
      <c r="B1899">
        <v>9</v>
      </c>
      <c r="C1899">
        <v>8807</v>
      </c>
      <c r="D1899">
        <v>87</v>
      </c>
      <c r="E1899" t="s">
        <v>10</v>
      </c>
      <c r="F1899">
        <v>3449904</v>
      </c>
      <c r="G1899" s="1">
        <v>735</v>
      </c>
      <c r="H1899" s="2">
        <v>1017247</v>
      </c>
      <c r="I1899" t="str">
        <f>VLOOKUP(Tabela1[[#This Row],[CO_PAIS]],'[1]nome do paixs'!$A:$B,2,0)</f>
        <v>Bélgica</v>
      </c>
      <c r="J1899" t="s">
        <v>12</v>
      </c>
    </row>
    <row r="1900" spans="1:10">
      <c r="A1900">
        <v>2023</v>
      </c>
      <c r="B1900">
        <v>9</v>
      </c>
      <c r="C1900">
        <v>8807</v>
      </c>
      <c r="D1900">
        <v>741</v>
      </c>
      <c r="E1900" t="s">
        <v>10</v>
      </c>
      <c r="F1900">
        <v>3449904</v>
      </c>
      <c r="G1900" s="1">
        <v>45</v>
      </c>
      <c r="H1900" s="2">
        <v>51451</v>
      </c>
      <c r="I1900" t="str">
        <f>VLOOKUP(Tabela1[[#This Row],[CO_PAIS]],'[1]nome do paixs'!$A:$B,2,0)</f>
        <v>Singapura</v>
      </c>
      <c r="J1900" t="s">
        <v>12</v>
      </c>
    </row>
    <row r="1901" spans="1:10">
      <c r="A1901">
        <v>2023</v>
      </c>
      <c r="B1901">
        <v>9</v>
      </c>
      <c r="C1901">
        <v>8807</v>
      </c>
      <c r="D1901">
        <v>245</v>
      </c>
      <c r="E1901" t="s">
        <v>10</v>
      </c>
      <c r="F1901">
        <v>3449904</v>
      </c>
      <c r="G1901" s="1">
        <v>2534</v>
      </c>
      <c r="H1901" s="2">
        <v>911341</v>
      </c>
      <c r="I1901" t="str">
        <f>VLOOKUP(Tabela1[[#This Row],[CO_PAIS]],'[1]nome do paixs'!$A:$B,2,0)</f>
        <v>Espanha</v>
      </c>
      <c r="J1901" t="s">
        <v>12</v>
      </c>
    </row>
    <row r="1902" spans="1:10">
      <c r="A1902">
        <v>2023</v>
      </c>
      <c r="B1902">
        <v>9</v>
      </c>
      <c r="C1902">
        <v>8807</v>
      </c>
      <c r="D1902">
        <v>461</v>
      </c>
      <c r="E1902" t="s">
        <v>10</v>
      </c>
      <c r="F1902">
        <v>3449904</v>
      </c>
      <c r="G1902" s="1">
        <v>1</v>
      </c>
      <c r="H1902" s="2">
        <v>23646</v>
      </c>
      <c r="I1902" t="str">
        <f>VLOOKUP(Tabela1[[#This Row],[CO_PAIS]],'[1]nome do paixs'!$A:$B,2,0)</f>
        <v>Maldivas</v>
      </c>
      <c r="J1902" t="s">
        <v>12</v>
      </c>
    </row>
    <row r="1903" spans="1:10">
      <c r="A1903">
        <v>2023</v>
      </c>
      <c r="B1903">
        <v>9</v>
      </c>
      <c r="C1903">
        <v>8807</v>
      </c>
      <c r="D1903">
        <v>628</v>
      </c>
      <c r="E1903" t="s">
        <v>10</v>
      </c>
      <c r="F1903">
        <v>3454102</v>
      </c>
      <c r="G1903" s="1">
        <v>103</v>
      </c>
      <c r="H1903" s="2">
        <v>159618</v>
      </c>
      <c r="I1903" t="str">
        <f>VLOOKUP(Tabela1[[#This Row],[CO_PAIS]],'[1]nome do paixs'!$A:$B,2,0)</f>
        <v>Reino Unido</v>
      </c>
      <c r="J1903" t="s">
        <v>11</v>
      </c>
    </row>
    <row r="1904" spans="1:10">
      <c r="A1904">
        <v>2023</v>
      </c>
      <c r="B1904">
        <v>9</v>
      </c>
      <c r="C1904">
        <v>8807</v>
      </c>
      <c r="D1904">
        <v>87</v>
      </c>
      <c r="E1904" t="s">
        <v>10</v>
      </c>
      <c r="F1904">
        <v>3454102</v>
      </c>
      <c r="G1904" s="1">
        <v>1461</v>
      </c>
      <c r="H1904" s="2">
        <v>1227243</v>
      </c>
      <c r="I1904" t="str">
        <f>VLOOKUP(Tabela1[[#This Row],[CO_PAIS]],'[1]nome do paixs'!$A:$B,2,0)</f>
        <v>Bélgica</v>
      </c>
      <c r="J1904" t="s">
        <v>11</v>
      </c>
    </row>
    <row r="1905" spans="1:10">
      <c r="A1905">
        <v>2023</v>
      </c>
      <c r="B1905">
        <v>9</v>
      </c>
      <c r="C1905">
        <v>8807</v>
      </c>
      <c r="D1905">
        <v>249</v>
      </c>
      <c r="E1905" t="s">
        <v>10</v>
      </c>
      <c r="F1905">
        <v>3454102</v>
      </c>
      <c r="G1905" s="1">
        <v>19788</v>
      </c>
      <c r="H1905" s="2">
        <v>4736677</v>
      </c>
      <c r="I1905" t="str">
        <f>VLOOKUP(Tabela1[[#This Row],[CO_PAIS]],'[1]nome do paixs'!$A:$B,2,0)</f>
        <v>Estados Unidos</v>
      </c>
      <c r="J1905" t="s">
        <v>11</v>
      </c>
    </row>
    <row r="1906" spans="1:10">
      <c r="A1906">
        <v>2023</v>
      </c>
      <c r="B1906">
        <v>9</v>
      </c>
      <c r="C1906">
        <v>8807</v>
      </c>
      <c r="D1906">
        <v>149</v>
      </c>
      <c r="E1906" t="s">
        <v>10</v>
      </c>
      <c r="F1906">
        <v>3449904</v>
      </c>
      <c r="G1906" s="1">
        <v>3</v>
      </c>
      <c r="H1906" s="2">
        <v>5456</v>
      </c>
      <c r="I1906" t="str">
        <f>VLOOKUP(Tabela1[[#This Row],[CO_PAIS]],'[1]nome do paixs'!$A:$B,2,0)</f>
        <v>Canadá</v>
      </c>
      <c r="J1906" t="s">
        <v>12</v>
      </c>
    </row>
    <row r="1907" spans="1:10">
      <c r="A1907">
        <v>2023</v>
      </c>
      <c r="B1907">
        <v>9</v>
      </c>
      <c r="C1907">
        <v>8807</v>
      </c>
      <c r="D1907">
        <v>603</v>
      </c>
      <c r="E1907" t="s">
        <v>10</v>
      </c>
      <c r="F1907">
        <v>3449904</v>
      </c>
      <c r="G1907" s="1">
        <v>204</v>
      </c>
      <c r="H1907" s="2">
        <v>22853</v>
      </c>
      <c r="I1907" t="str">
        <f>VLOOKUP(Tabela1[[#This Row],[CO_PAIS]],'[1]nome do paixs'!$A:$B,2,0)</f>
        <v>Polônia</v>
      </c>
      <c r="J1907" t="s">
        <v>12</v>
      </c>
    </row>
    <row r="1908" spans="1:10">
      <c r="A1908">
        <v>2023</v>
      </c>
      <c r="B1908">
        <v>9</v>
      </c>
      <c r="C1908">
        <v>8807</v>
      </c>
      <c r="D1908">
        <v>190</v>
      </c>
      <c r="E1908" t="s">
        <v>10</v>
      </c>
      <c r="F1908">
        <v>3449904</v>
      </c>
      <c r="G1908" s="1">
        <v>67</v>
      </c>
      <c r="H1908" s="2">
        <v>74366</v>
      </c>
      <c r="I1908" t="str">
        <f>VLOOKUP(Tabela1[[#This Row],[CO_PAIS]],'[1]nome do paixs'!$A:$B,2,0)</f>
        <v>Coreia do Sul</v>
      </c>
      <c r="J1908" t="s">
        <v>12</v>
      </c>
    </row>
    <row r="1909" spans="1:10">
      <c r="A1909">
        <v>2023</v>
      </c>
      <c r="B1909">
        <v>9</v>
      </c>
      <c r="C1909">
        <v>8807</v>
      </c>
      <c r="D1909">
        <v>375</v>
      </c>
      <c r="E1909" t="s">
        <v>10</v>
      </c>
      <c r="F1909">
        <v>3449904</v>
      </c>
      <c r="G1909" s="1">
        <v>6</v>
      </c>
      <c r="H1909" s="2">
        <v>1436</v>
      </c>
      <c r="I1909" t="str">
        <f>VLOOKUP(Tabela1[[#This Row],[CO_PAIS]],'[1]nome do paixs'!$A:$B,2,0)</f>
        <v>Irlanda</v>
      </c>
      <c r="J1909" t="s">
        <v>12</v>
      </c>
    </row>
    <row r="1910" spans="1:10">
      <c r="A1910">
        <v>2023</v>
      </c>
      <c r="B1910">
        <v>9</v>
      </c>
      <c r="C1910">
        <v>8807</v>
      </c>
      <c r="D1910">
        <v>455</v>
      </c>
      <c r="E1910" t="s">
        <v>10</v>
      </c>
      <c r="F1910">
        <v>3449904</v>
      </c>
      <c r="G1910" s="1">
        <v>0</v>
      </c>
      <c r="H1910" s="2">
        <v>7882</v>
      </c>
      <c r="I1910" t="str">
        <f>VLOOKUP(Tabela1[[#This Row],[CO_PAIS]],'[1]nome do paixs'!$A:$B,2,0)</f>
        <v>Malásia</v>
      </c>
      <c r="J1910" t="s">
        <v>12</v>
      </c>
    </row>
    <row r="1911" spans="1:10">
      <c r="A1911">
        <v>2023</v>
      </c>
      <c r="B1911">
        <v>9</v>
      </c>
      <c r="C1911">
        <v>8807</v>
      </c>
      <c r="D1911">
        <v>607</v>
      </c>
      <c r="E1911" t="s">
        <v>10</v>
      </c>
      <c r="F1911">
        <v>3449904</v>
      </c>
      <c r="G1911" s="1">
        <v>2</v>
      </c>
      <c r="H1911" s="2">
        <v>8730</v>
      </c>
      <c r="I1911" t="str">
        <f>VLOOKUP(Tabela1[[#This Row],[CO_PAIS]],'[1]nome do paixs'!$A:$B,2,0)</f>
        <v>Portugal</v>
      </c>
      <c r="J1911" t="s">
        <v>12</v>
      </c>
    </row>
    <row r="1912" spans="1:10">
      <c r="A1912">
        <v>2023</v>
      </c>
      <c r="B1912">
        <v>9</v>
      </c>
      <c r="C1912">
        <v>8807</v>
      </c>
      <c r="D1912">
        <v>249</v>
      </c>
      <c r="E1912" t="s">
        <v>10</v>
      </c>
      <c r="F1912">
        <v>3424402</v>
      </c>
      <c r="G1912" s="1">
        <v>20</v>
      </c>
      <c r="H1912" s="2">
        <v>3124</v>
      </c>
      <c r="I1912" t="str">
        <f>VLOOKUP(Tabela1[[#This Row],[CO_PAIS]],'[1]nome do paixs'!$A:$B,2,0)</f>
        <v>Estados Unidos</v>
      </c>
      <c r="J1912" t="s">
        <v>13</v>
      </c>
    </row>
    <row r="1913" spans="1:10">
      <c r="A1913">
        <v>2023</v>
      </c>
      <c r="B1913">
        <v>9</v>
      </c>
      <c r="C1913">
        <v>8807</v>
      </c>
      <c r="D1913">
        <v>767</v>
      </c>
      <c r="E1913" t="s">
        <v>10</v>
      </c>
      <c r="F1913">
        <v>3449904</v>
      </c>
      <c r="G1913" s="1">
        <v>6</v>
      </c>
      <c r="H1913" s="2">
        <v>6656</v>
      </c>
      <c r="I1913" t="str">
        <f>VLOOKUP(Tabela1[[#This Row],[CO_PAIS]],'[1]nome do paixs'!$A:$B,2,0)</f>
        <v>Suíça</v>
      </c>
      <c r="J1913" t="s">
        <v>12</v>
      </c>
    </row>
    <row r="1914" spans="1:10">
      <c r="A1914">
        <v>2023</v>
      </c>
      <c r="B1914">
        <v>9</v>
      </c>
      <c r="C1914">
        <v>8807</v>
      </c>
      <c r="D1914">
        <v>493</v>
      </c>
      <c r="E1914" t="s">
        <v>10</v>
      </c>
      <c r="F1914">
        <v>3454102</v>
      </c>
      <c r="G1914" s="1">
        <v>7802</v>
      </c>
      <c r="H1914" s="2">
        <v>3180815</v>
      </c>
      <c r="I1914" t="str">
        <f>VLOOKUP(Tabela1[[#This Row],[CO_PAIS]],'[1]nome do paixs'!$A:$B,2,0)</f>
        <v>México</v>
      </c>
      <c r="J1914" t="s">
        <v>11</v>
      </c>
    </row>
    <row r="1915" spans="1:10">
      <c r="A1915">
        <v>2023</v>
      </c>
      <c r="B1915">
        <v>9</v>
      </c>
      <c r="C1915">
        <v>8807</v>
      </c>
      <c r="D1915">
        <v>399</v>
      </c>
      <c r="E1915" t="s">
        <v>10</v>
      </c>
      <c r="F1915">
        <v>3449904</v>
      </c>
      <c r="G1915" s="1">
        <v>2</v>
      </c>
      <c r="H1915" s="2">
        <v>8255</v>
      </c>
      <c r="I1915" t="str">
        <f>VLOOKUP(Tabela1[[#This Row],[CO_PAIS]],'[1]nome do paixs'!$A:$B,2,0)</f>
        <v>Japão</v>
      </c>
      <c r="J1915" t="s">
        <v>12</v>
      </c>
    </row>
    <row r="1916" spans="1:10">
      <c r="A1916">
        <v>2023</v>
      </c>
      <c r="B1916">
        <v>9</v>
      </c>
      <c r="C1916">
        <v>8807</v>
      </c>
      <c r="D1916">
        <v>676</v>
      </c>
      <c r="E1916" t="s">
        <v>10</v>
      </c>
      <c r="F1916">
        <v>3454102</v>
      </c>
      <c r="G1916" s="1">
        <v>553</v>
      </c>
      <c r="H1916" s="2">
        <v>36510</v>
      </c>
      <c r="I1916" t="str">
        <f>VLOOKUP(Tabela1[[#This Row],[CO_PAIS]],'[1]nome do paixs'!$A:$B,2,0)</f>
        <v>Rússia</v>
      </c>
      <c r="J1916" t="s">
        <v>11</v>
      </c>
    </row>
    <row r="1917" spans="1:10">
      <c r="A1917">
        <v>2023</v>
      </c>
      <c r="B1917">
        <v>9</v>
      </c>
      <c r="C1917">
        <v>8807</v>
      </c>
      <c r="D1917">
        <v>676</v>
      </c>
      <c r="E1917" t="s">
        <v>10</v>
      </c>
      <c r="F1917">
        <v>3449904</v>
      </c>
      <c r="G1917" s="1">
        <v>6</v>
      </c>
      <c r="H1917" s="2">
        <v>3060</v>
      </c>
      <c r="I1917" t="str">
        <f>VLOOKUP(Tabela1[[#This Row],[CO_PAIS]],'[1]nome do paixs'!$A:$B,2,0)</f>
        <v>Rússia</v>
      </c>
      <c r="J1917" t="s">
        <v>12</v>
      </c>
    </row>
    <row r="1918" spans="1:10">
      <c r="A1918">
        <v>2023</v>
      </c>
      <c r="B1918">
        <v>9</v>
      </c>
      <c r="C1918">
        <v>8807</v>
      </c>
      <c r="D1918">
        <v>361</v>
      </c>
      <c r="E1918" t="s">
        <v>10</v>
      </c>
      <c r="F1918">
        <v>3449904</v>
      </c>
      <c r="G1918" s="1">
        <v>748</v>
      </c>
      <c r="H1918" s="2">
        <v>323879</v>
      </c>
      <c r="I1918" t="str">
        <f>VLOOKUP(Tabela1[[#This Row],[CO_PAIS]],'[1]nome do paixs'!$A:$B,2,0)</f>
        <v>Índia</v>
      </c>
      <c r="J1918" t="s">
        <v>12</v>
      </c>
    </row>
    <row r="1919" spans="1:10">
      <c r="A1919">
        <v>2023</v>
      </c>
      <c r="B1919">
        <v>9</v>
      </c>
      <c r="C1919">
        <v>8807</v>
      </c>
      <c r="D1919">
        <v>791</v>
      </c>
      <c r="E1919" t="s">
        <v>10</v>
      </c>
      <c r="F1919">
        <v>3454102</v>
      </c>
      <c r="G1919" s="1">
        <v>0</v>
      </c>
      <c r="H1919" s="2">
        <v>787</v>
      </c>
      <c r="I1919" t="str">
        <f>VLOOKUP(Tabela1[[#This Row],[CO_PAIS]],'[1]nome do paixs'!$A:$B,2,0)</f>
        <v>Tcheca, República</v>
      </c>
      <c r="J1919" t="s">
        <v>11</v>
      </c>
    </row>
    <row r="1920" spans="1:10">
      <c r="A1920">
        <v>2023</v>
      </c>
      <c r="B1920">
        <v>9</v>
      </c>
      <c r="C1920">
        <v>8807</v>
      </c>
      <c r="D1920">
        <v>791</v>
      </c>
      <c r="E1920" t="s">
        <v>10</v>
      </c>
      <c r="F1920">
        <v>3424402</v>
      </c>
      <c r="G1920" s="1">
        <v>200</v>
      </c>
      <c r="H1920" s="2">
        <v>196131</v>
      </c>
      <c r="I1920" t="str">
        <f>VLOOKUP(Tabela1[[#This Row],[CO_PAIS]],'[1]nome do paixs'!$A:$B,2,0)</f>
        <v>Tcheca, República</v>
      </c>
      <c r="J1920" t="s">
        <v>13</v>
      </c>
    </row>
    <row r="1921" spans="1:10">
      <c r="A1921">
        <v>2023</v>
      </c>
      <c r="B1921">
        <v>9</v>
      </c>
      <c r="C1921">
        <v>8807</v>
      </c>
      <c r="D1921">
        <v>23</v>
      </c>
      <c r="E1921" t="s">
        <v>10</v>
      </c>
      <c r="F1921">
        <v>3424402</v>
      </c>
      <c r="G1921" s="1">
        <v>45</v>
      </c>
      <c r="H1921" s="2">
        <v>52493</v>
      </c>
      <c r="I1921" t="str">
        <f>VLOOKUP(Tabela1[[#This Row],[CO_PAIS]],'[1]nome do paixs'!$A:$B,2,0)</f>
        <v>Alemanha</v>
      </c>
      <c r="J1921" t="s">
        <v>13</v>
      </c>
    </row>
    <row r="1922" spans="1:10">
      <c r="A1922">
        <v>2023</v>
      </c>
      <c r="B1922">
        <v>9</v>
      </c>
      <c r="C1922">
        <v>8807</v>
      </c>
      <c r="D1922">
        <v>607</v>
      </c>
      <c r="E1922" t="s">
        <v>10</v>
      </c>
      <c r="F1922">
        <v>3454102</v>
      </c>
      <c r="G1922" s="1">
        <v>15301</v>
      </c>
      <c r="H1922" s="2">
        <v>4777751</v>
      </c>
      <c r="I1922" t="str">
        <f>VLOOKUP(Tabela1[[#This Row],[CO_PAIS]],'[1]nome do paixs'!$A:$B,2,0)</f>
        <v>Portugal</v>
      </c>
      <c r="J1922" t="s">
        <v>11</v>
      </c>
    </row>
    <row r="1923" spans="1:10">
      <c r="A1923">
        <v>2023</v>
      </c>
      <c r="B1923">
        <v>9</v>
      </c>
      <c r="C1923">
        <v>8807</v>
      </c>
      <c r="D1923">
        <v>455</v>
      </c>
      <c r="E1923" t="s">
        <v>10</v>
      </c>
      <c r="F1923">
        <v>3454102</v>
      </c>
      <c r="G1923" s="1">
        <v>2068</v>
      </c>
      <c r="H1923" s="2">
        <v>248157</v>
      </c>
      <c r="I1923" t="str">
        <f>VLOOKUP(Tabela1[[#This Row],[CO_PAIS]],'[1]nome do paixs'!$A:$B,2,0)</f>
        <v>Malásia</v>
      </c>
      <c r="J1923" t="s">
        <v>11</v>
      </c>
    </row>
    <row r="1924" spans="1:10">
      <c r="A1924">
        <v>2023</v>
      </c>
      <c r="B1924">
        <v>9</v>
      </c>
      <c r="C1924">
        <v>8807</v>
      </c>
      <c r="D1924">
        <v>23</v>
      </c>
      <c r="E1924" t="s">
        <v>10</v>
      </c>
      <c r="F1924">
        <v>3454102</v>
      </c>
      <c r="G1924" s="1">
        <v>12308</v>
      </c>
      <c r="H1924" s="2">
        <v>612927</v>
      </c>
      <c r="I1924" t="str">
        <f>VLOOKUP(Tabela1[[#This Row],[CO_PAIS]],'[1]nome do paixs'!$A:$B,2,0)</f>
        <v>Alemanha</v>
      </c>
      <c r="J1924" t="s">
        <v>11</v>
      </c>
    </row>
    <row r="1925" spans="1:10">
      <c r="A1925">
        <v>2023</v>
      </c>
      <c r="B1925">
        <v>9</v>
      </c>
      <c r="C1925">
        <v>8807</v>
      </c>
      <c r="D1925">
        <v>87</v>
      </c>
      <c r="E1925" t="s">
        <v>10</v>
      </c>
      <c r="F1925">
        <v>3424402</v>
      </c>
      <c r="G1925" s="1">
        <v>10</v>
      </c>
      <c r="H1925" s="2">
        <v>21475</v>
      </c>
      <c r="I1925" t="str">
        <f>VLOOKUP(Tabela1[[#This Row],[CO_PAIS]],'[1]nome do paixs'!$A:$B,2,0)</f>
        <v>Bélgica</v>
      </c>
      <c r="J1925" t="s">
        <v>13</v>
      </c>
    </row>
    <row r="1926" spans="1:10">
      <c r="A1926">
        <v>2023</v>
      </c>
      <c r="B1926">
        <v>9</v>
      </c>
      <c r="C1926">
        <v>8807</v>
      </c>
      <c r="D1926">
        <v>275</v>
      </c>
      <c r="E1926" t="s">
        <v>10</v>
      </c>
      <c r="F1926">
        <v>3424402</v>
      </c>
      <c r="G1926" s="1">
        <v>310</v>
      </c>
      <c r="H1926" s="2">
        <v>391815</v>
      </c>
      <c r="I1926" t="str">
        <f>VLOOKUP(Tabela1[[#This Row],[CO_PAIS]],'[1]nome do paixs'!$A:$B,2,0)</f>
        <v>França</v>
      </c>
      <c r="J1926" t="s">
        <v>13</v>
      </c>
    </row>
    <row r="1927" spans="1:10">
      <c r="A1927">
        <v>2023</v>
      </c>
      <c r="B1927">
        <v>9</v>
      </c>
      <c r="C1927">
        <v>8807</v>
      </c>
      <c r="D1927">
        <v>72</v>
      </c>
      <c r="E1927" t="s">
        <v>10</v>
      </c>
      <c r="F1927">
        <v>3449904</v>
      </c>
      <c r="G1927" s="1">
        <v>3</v>
      </c>
      <c r="H1927" s="2">
        <v>1830</v>
      </c>
      <c r="I1927" t="str">
        <f>VLOOKUP(Tabela1[[#This Row],[CO_PAIS]],'[1]nome do paixs'!$A:$B,2,0)</f>
        <v>Áustria</v>
      </c>
      <c r="J1927" t="s">
        <v>12</v>
      </c>
    </row>
    <row r="1928" spans="1:10">
      <c r="A1928">
        <v>2023</v>
      </c>
      <c r="B1928">
        <v>9</v>
      </c>
      <c r="C1928">
        <v>8807</v>
      </c>
      <c r="D1928">
        <v>245</v>
      </c>
      <c r="E1928" t="s">
        <v>10</v>
      </c>
      <c r="F1928">
        <v>3454102</v>
      </c>
      <c r="G1928" s="1">
        <v>902</v>
      </c>
      <c r="H1928" s="2">
        <v>919083</v>
      </c>
      <c r="I1928" t="str">
        <f>VLOOKUP(Tabela1[[#This Row],[CO_PAIS]],'[1]nome do paixs'!$A:$B,2,0)</f>
        <v>Espanha</v>
      </c>
      <c r="J1928" t="s">
        <v>11</v>
      </c>
    </row>
    <row r="1929" spans="1:10">
      <c r="A1929">
        <v>2022</v>
      </c>
      <c r="B1929">
        <v>9</v>
      </c>
      <c r="C1929">
        <v>8807</v>
      </c>
      <c r="D1929">
        <v>249</v>
      </c>
      <c r="E1929" t="s">
        <v>10</v>
      </c>
      <c r="F1929">
        <v>3424402</v>
      </c>
      <c r="G1929" s="1">
        <v>1308</v>
      </c>
      <c r="H1929" s="2">
        <v>261398</v>
      </c>
      <c r="I1929" t="str">
        <f>VLOOKUP(Tabela1[[#This Row],[CO_PAIS]],'[1]nome do paixs'!$A:$B,2,0)</f>
        <v>Estados Unidos</v>
      </c>
      <c r="J1929" t="s">
        <v>13</v>
      </c>
    </row>
    <row r="1930" spans="1:10">
      <c r="A1930">
        <v>2022</v>
      </c>
      <c r="B1930">
        <v>9</v>
      </c>
      <c r="C1930">
        <v>8807</v>
      </c>
      <c r="D1930">
        <v>245</v>
      </c>
      <c r="E1930" t="s">
        <v>10</v>
      </c>
      <c r="F1930">
        <v>3454102</v>
      </c>
      <c r="G1930" s="1">
        <v>1959</v>
      </c>
      <c r="H1930" s="2">
        <v>1549268</v>
      </c>
      <c r="I1930" t="str">
        <f>VLOOKUP(Tabela1[[#This Row],[CO_PAIS]],'[1]nome do paixs'!$A:$B,2,0)</f>
        <v>Espanha</v>
      </c>
      <c r="J1930" t="s">
        <v>11</v>
      </c>
    </row>
    <row r="1931" spans="1:10">
      <c r="A1931">
        <v>2022</v>
      </c>
      <c r="B1931">
        <v>9</v>
      </c>
      <c r="C1931">
        <v>8807</v>
      </c>
      <c r="D1931">
        <v>275</v>
      </c>
      <c r="E1931" t="s">
        <v>10</v>
      </c>
      <c r="F1931">
        <v>3449904</v>
      </c>
      <c r="G1931" s="1">
        <v>489</v>
      </c>
      <c r="H1931" s="2">
        <v>361513</v>
      </c>
      <c r="I1931" t="str">
        <f>VLOOKUP(Tabela1[[#This Row],[CO_PAIS]],'[1]nome do paixs'!$A:$B,2,0)</f>
        <v>França</v>
      </c>
      <c r="J1931" t="s">
        <v>12</v>
      </c>
    </row>
    <row r="1932" spans="1:10">
      <c r="A1932">
        <v>2022</v>
      </c>
      <c r="B1932">
        <v>9</v>
      </c>
      <c r="C1932">
        <v>8807</v>
      </c>
      <c r="D1932">
        <v>607</v>
      </c>
      <c r="E1932" t="s">
        <v>10</v>
      </c>
      <c r="F1932">
        <v>3454102</v>
      </c>
      <c r="G1932" s="1">
        <v>18164</v>
      </c>
      <c r="H1932" s="2">
        <v>6019546</v>
      </c>
      <c r="I1932" t="str">
        <f>VLOOKUP(Tabela1[[#This Row],[CO_PAIS]],'[1]nome do paixs'!$A:$B,2,0)</f>
        <v>Portugal</v>
      </c>
      <c r="J1932" t="s">
        <v>11</v>
      </c>
    </row>
    <row r="1933" spans="1:10">
      <c r="A1933">
        <v>2022</v>
      </c>
      <c r="B1933">
        <v>9</v>
      </c>
      <c r="C1933">
        <v>8807</v>
      </c>
      <c r="D1933">
        <v>190</v>
      </c>
      <c r="E1933" t="s">
        <v>10</v>
      </c>
      <c r="F1933">
        <v>3424402</v>
      </c>
      <c r="G1933" s="1">
        <v>18</v>
      </c>
      <c r="H1933" s="2">
        <v>3373</v>
      </c>
      <c r="I1933" t="str">
        <f>VLOOKUP(Tabela1[[#This Row],[CO_PAIS]],'[1]nome do paixs'!$A:$B,2,0)</f>
        <v>Coreia do Sul</v>
      </c>
      <c r="J1933" t="s">
        <v>13</v>
      </c>
    </row>
    <row r="1934" spans="1:10">
      <c r="A1934">
        <v>2022</v>
      </c>
      <c r="B1934">
        <v>9</v>
      </c>
      <c r="C1934">
        <v>8807</v>
      </c>
      <c r="D1934">
        <v>628</v>
      </c>
      <c r="E1934" t="s">
        <v>10</v>
      </c>
      <c r="F1934">
        <v>3454102</v>
      </c>
      <c r="G1934" s="1">
        <v>29</v>
      </c>
      <c r="H1934" s="2">
        <v>32300</v>
      </c>
      <c r="I1934" t="str">
        <f>VLOOKUP(Tabela1[[#This Row],[CO_PAIS]],'[1]nome do paixs'!$A:$B,2,0)</f>
        <v>Reino Unido</v>
      </c>
      <c r="J1934" t="s">
        <v>11</v>
      </c>
    </row>
    <row r="1935" spans="1:10">
      <c r="A1935">
        <v>2022</v>
      </c>
      <c r="B1935">
        <v>9</v>
      </c>
      <c r="C1935">
        <v>8807</v>
      </c>
      <c r="D1935">
        <v>190</v>
      </c>
      <c r="E1935" t="s">
        <v>10</v>
      </c>
      <c r="F1935">
        <v>3454102</v>
      </c>
      <c r="G1935" s="1">
        <v>3423</v>
      </c>
      <c r="H1935" s="2">
        <v>3367086</v>
      </c>
      <c r="I1935" t="str">
        <f>VLOOKUP(Tabela1[[#This Row],[CO_PAIS]],'[1]nome do paixs'!$A:$B,2,0)</f>
        <v>Coreia do Sul</v>
      </c>
      <c r="J1935" t="s">
        <v>11</v>
      </c>
    </row>
    <row r="1936" spans="1:10">
      <c r="A1936">
        <v>2022</v>
      </c>
      <c r="B1936">
        <v>9</v>
      </c>
      <c r="C1936">
        <v>8807</v>
      </c>
      <c r="D1936">
        <v>105</v>
      </c>
      <c r="E1936" t="s">
        <v>10</v>
      </c>
      <c r="F1936">
        <v>3454102</v>
      </c>
      <c r="G1936" s="1">
        <v>6117</v>
      </c>
      <c r="H1936" s="2">
        <v>5971265</v>
      </c>
      <c r="I1936" t="str">
        <f>VLOOKUP(Tabela1[[#This Row],[CO_PAIS]],'[1]nome do paixs'!$A:$B,2,0)</f>
        <v>Brasil</v>
      </c>
      <c r="J1936" t="s">
        <v>11</v>
      </c>
    </row>
    <row r="1937" spans="1:10">
      <c r="A1937">
        <v>2022</v>
      </c>
      <c r="B1937">
        <v>9</v>
      </c>
      <c r="C1937">
        <v>8807</v>
      </c>
      <c r="D1937">
        <v>386</v>
      </c>
      <c r="E1937" t="s">
        <v>10</v>
      </c>
      <c r="F1937">
        <v>3449904</v>
      </c>
      <c r="G1937" s="1">
        <v>1</v>
      </c>
      <c r="H1937" s="2">
        <v>25683</v>
      </c>
      <c r="I1937" t="str">
        <f>VLOOKUP(Tabela1[[#This Row],[CO_PAIS]],'[1]nome do paixs'!$A:$B,2,0)</f>
        <v>Itália</v>
      </c>
      <c r="J1937" t="s">
        <v>12</v>
      </c>
    </row>
    <row r="1938" spans="1:10">
      <c r="A1938">
        <v>2022</v>
      </c>
      <c r="B1938">
        <v>9</v>
      </c>
      <c r="C1938">
        <v>8807</v>
      </c>
      <c r="D1938">
        <v>249</v>
      </c>
      <c r="E1938" t="s">
        <v>10</v>
      </c>
      <c r="F1938">
        <v>3454102</v>
      </c>
      <c r="G1938" s="1">
        <v>33375</v>
      </c>
      <c r="H1938" s="2">
        <v>9197337</v>
      </c>
      <c r="I1938" t="str">
        <f>VLOOKUP(Tabela1[[#This Row],[CO_PAIS]],'[1]nome do paixs'!$A:$B,2,0)</f>
        <v>Estados Unidos</v>
      </c>
      <c r="J1938" t="s">
        <v>11</v>
      </c>
    </row>
    <row r="1939" spans="1:10">
      <c r="A1939">
        <v>2022</v>
      </c>
      <c r="B1939">
        <v>9</v>
      </c>
      <c r="C1939">
        <v>8807</v>
      </c>
      <c r="D1939">
        <v>23</v>
      </c>
      <c r="E1939" t="s">
        <v>10</v>
      </c>
      <c r="F1939">
        <v>3454102</v>
      </c>
      <c r="G1939" s="1">
        <v>3389</v>
      </c>
      <c r="H1939" s="2">
        <v>703920</v>
      </c>
      <c r="I1939" t="str">
        <f>VLOOKUP(Tabela1[[#This Row],[CO_PAIS]],'[1]nome do paixs'!$A:$B,2,0)</f>
        <v>Alemanha</v>
      </c>
      <c r="J1939" t="s">
        <v>11</v>
      </c>
    </row>
    <row r="1940" spans="1:10">
      <c r="A1940">
        <v>2022</v>
      </c>
      <c r="B1940">
        <v>9</v>
      </c>
      <c r="C1940">
        <v>8807</v>
      </c>
      <c r="D1940">
        <v>275</v>
      </c>
      <c r="E1940" t="s">
        <v>10</v>
      </c>
      <c r="F1940">
        <v>3454102</v>
      </c>
      <c r="G1940" s="1">
        <v>2077</v>
      </c>
      <c r="H1940" s="2">
        <v>3015306</v>
      </c>
      <c r="I1940" t="str">
        <f>VLOOKUP(Tabela1[[#This Row],[CO_PAIS]],'[1]nome do paixs'!$A:$B,2,0)</f>
        <v>França</v>
      </c>
      <c r="J1940" t="s">
        <v>11</v>
      </c>
    </row>
    <row r="1941" spans="1:10">
      <c r="A1941">
        <v>2022</v>
      </c>
      <c r="B1941">
        <v>9</v>
      </c>
      <c r="C1941">
        <v>8807</v>
      </c>
      <c r="D1941">
        <v>493</v>
      </c>
      <c r="E1941" t="s">
        <v>10</v>
      </c>
      <c r="F1941">
        <v>3449904</v>
      </c>
      <c r="G1941" s="1">
        <v>1656</v>
      </c>
      <c r="H1941" s="2">
        <v>1197291</v>
      </c>
      <c r="I1941" t="str">
        <f>VLOOKUP(Tabela1[[#This Row],[CO_PAIS]],'[1]nome do paixs'!$A:$B,2,0)</f>
        <v>México</v>
      </c>
      <c r="J1941" t="s">
        <v>12</v>
      </c>
    </row>
    <row r="1942" spans="1:10">
      <c r="A1942">
        <v>2022</v>
      </c>
      <c r="B1942">
        <v>9</v>
      </c>
      <c r="C1942">
        <v>8807</v>
      </c>
      <c r="D1942">
        <v>87</v>
      </c>
      <c r="E1942" t="s">
        <v>10</v>
      </c>
      <c r="F1942">
        <v>3454102</v>
      </c>
      <c r="G1942" s="1">
        <v>1307</v>
      </c>
      <c r="H1942" s="2">
        <v>982723</v>
      </c>
      <c r="I1942" t="str">
        <f>VLOOKUP(Tabela1[[#This Row],[CO_PAIS]],'[1]nome do paixs'!$A:$B,2,0)</f>
        <v>Bélgica</v>
      </c>
      <c r="J1942" t="s">
        <v>11</v>
      </c>
    </row>
    <row r="1943" spans="1:10">
      <c r="A1943">
        <v>2022</v>
      </c>
      <c r="B1943">
        <v>9</v>
      </c>
      <c r="C1943">
        <v>8807</v>
      </c>
      <c r="D1943">
        <v>72</v>
      </c>
      <c r="E1943" t="s">
        <v>10</v>
      </c>
      <c r="F1943">
        <v>3454102</v>
      </c>
      <c r="G1943" s="1">
        <v>1833</v>
      </c>
      <c r="H1943" s="2">
        <v>472112</v>
      </c>
      <c r="I1943" t="str">
        <f>VLOOKUP(Tabela1[[#This Row],[CO_PAIS]],'[1]nome do paixs'!$A:$B,2,0)</f>
        <v>Áustria</v>
      </c>
      <c r="J1943" t="s">
        <v>11</v>
      </c>
    </row>
    <row r="1944" spans="1:10">
      <c r="A1944">
        <v>2022</v>
      </c>
      <c r="B1944">
        <v>9</v>
      </c>
      <c r="C1944">
        <v>8807</v>
      </c>
      <c r="D1944">
        <v>676</v>
      </c>
      <c r="E1944" t="s">
        <v>10</v>
      </c>
      <c r="F1944">
        <v>3449904</v>
      </c>
      <c r="G1944" s="1">
        <v>210</v>
      </c>
      <c r="H1944" s="2">
        <v>39271</v>
      </c>
      <c r="I1944" t="str">
        <f>VLOOKUP(Tabela1[[#This Row],[CO_PAIS]],'[1]nome do paixs'!$A:$B,2,0)</f>
        <v>Rússia</v>
      </c>
      <c r="J1944" t="s">
        <v>12</v>
      </c>
    </row>
    <row r="1945" spans="1:10">
      <c r="A1945">
        <v>2022</v>
      </c>
      <c r="B1945">
        <v>9</v>
      </c>
      <c r="C1945">
        <v>8807</v>
      </c>
      <c r="D1945">
        <v>23</v>
      </c>
      <c r="E1945" t="s">
        <v>10</v>
      </c>
      <c r="F1945">
        <v>3449904</v>
      </c>
      <c r="G1945" s="1">
        <v>152</v>
      </c>
      <c r="H1945" s="2">
        <v>206472</v>
      </c>
      <c r="I1945" t="str">
        <f>VLOOKUP(Tabela1[[#This Row],[CO_PAIS]],'[1]nome do paixs'!$A:$B,2,0)</f>
        <v>Alemanha</v>
      </c>
      <c r="J1945" t="s">
        <v>12</v>
      </c>
    </row>
    <row r="1946" spans="1:10">
      <c r="A1946">
        <v>2022</v>
      </c>
      <c r="B1946">
        <v>9</v>
      </c>
      <c r="C1946">
        <v>8807</v>
      </c>
      <c r="D1946">
        <v>251</v>
      </c>
      <c r="E1946" t="s">
        <v>10</v>
      </c>
      <c r="F1946">
        <v>3449904</v>
      </c>
      <c r="G1946" s="1">
        <v>41</v>
      </c>
      <c r="H1946" s="2">
        <v>631</v>
      </c>
      <c r="I1946" t="str">
        <f>VLOOKUP(Tabela1[[#This Row],[CO_PAIS]],'[1]nome do paixs'!$A:$B,2,0)</f>
        <v>Estônia</v>
      </c>
      <c r="J1946" t="s">
        <v>12</v>
      </c>
    </row>
    <row r="1947" spans="1:10">
      <c r="A1947">
        <v>2022</v>
      </c>
      <c r="B1947">
        <v>9</v>
      </c>
      <c r="C1947">
        <v>8807</v>
      </c>
      <c r="D1947">
        <v>628</v>
      </c>
      <c r="E1947" t="s">
        <v>10</v>
      </c>
      <c r="F1947">
        <v>3449904</v>
      </c>
      <c r="G1947" s="1">
        <v>878</v>
      </c>
      <c r="H1947" s="2">
        <v>504518</v>
      </c>
      <c r="I1947" t="str">
        <f>VLOOKUP(Tabela1[[#This Row],[CO_PAIS]],'[1]nome do paixs'!$A:$B,2,0)</f>
        <v>Reino Unido</v>
      </c>
      <c r="J1947" t="s">
        <v>12</v>
      </c>
    </row>
    <row r="1948" spans="1:10">
      <c r="A1948">
        <v>2022</v>
      </c>
      <c r="B1948">
        <v>9</v>
      </c>
      <c r="C1948">
        <v>8807</v>
      </c>
      <c r="D1948">
        <v>87</v>
      </c>
      <c r="E1948" t="s">
        <v>10</v>
      </c>
      <c r="F1948">
        <v>3449904</v>
      </c>
      <c r="G1948" s="1">
        <v>2035</v>
      </c>
      <c r="H1948" s="2">
        <v>1743530</v>
      </c>
      <c r="I1948" t="str">
        <f>VLOOKUP(Tabela1[[#This Row],[CO_PAIS]],'[1]nome do paixs'!$A:$B,2,0)</f>
        <v>Bélgica</v>
      </c>
      <c r="J1948" t="s">
        <v>12</v>
      </c>
    </row>
    <row r="1949" spans="1:10">
      <c r="A1949">
        <v>2022</v>
      </c>
      <c r="B1949">
        <v>9</v>
      </c>
      <c r="C1949">
        <v>8807</v>
      </c>
      <c r="D1949">
        <v>245</v>
      </c>
      <c r="E1949" t="s">
        <v>10</v>
      </c>
      <c r="F1949">
        <v>3424402</v>
      </c>
      <c r="G1949" s="1">
        <v>255</v>
      </c>
      <c r="H1949" s="2">
        <v>97053</v>
      </c>
      <c r="I1949" t="str">
        <f>VLOOKUP(Tabela1[[#This Row],[CO_PAIS]],'[1]nome do paixs'!$A:$B,2,0)</f>
        <v>Espanha</v>
      </c>
      <c r="J1949" t="s">
        <v>13</v>
      </c>
    </row>
    <row r="1950" spans="1:10">
      <c r="A1950">
        <v>2022</v>
      </c>
      <c r="B1950">
        <v>9</v>
      </c>
      <c r="C1950">
        <v>8807</v>
      </c>
      <c r="D1950">
        <v>474</v>
      </c>
      <c r="E1950" t="s">
        <v>10</v>
      </c>
      <c r="F1950">
        <v>3454102</v>
      </c>
      <c r="G1950" s="1">
        <v>184</v>
      </c>
      <c r="H1950" s="2">
        <v>355692</v>
      </c>
      <c r="I1950" t="str">
        <f>VLOOKUP(Tabela1[[#This Row],[CO_PAIS]],'[1]nome do paixs'!$A:$B,2,0)</f>
        <v>Marrocos</v>
      </c>
      <c r="J1950" t="s">
        <v>11</v>
      </c>
    </row>
    <row r="1951" spans="1:10">
      <c r="A1951">
        <v>2022</v>
      </c>
      <c r="B1951">
        <v>9</v>
      </c>
      <c r="C1951">
        <v>8807</v>
      </c>
      <c r="D1951">
        <v>399</v>
      </c>
      <c r="E1951" t="s">
        <v>10</v>
      </c>
      <c r="F1951">
        <v>3454102</v>
      </c>
      <c r="G1951" s="1">
        <v>4224</v>
      </c>
      <c r="H1951" s="2">
        <v>2758450</v>
      </c>
      <c r="I1951" t="str">
        <f>VLOOKUP(Tabela1[[#This Row],[CO_PAIS]],'[1]nome do paixs'!$A:$B,2,0)</f>
        <v>Japão</v>
      </c>
      <c r="J1951" t="s">
        <v>11</v>
      </c>
    </row>
    <row r="1952" spans="1:10">
      <c r="A1952">
        <v>2022</v>
      </c>
      <c r="B1952">
        <v>9</v>
      </c>
      <c r="C1952">
        <v>8807</v>
      </c>
      <c r="D1952">
        <v>245</v>
      </c>
      <c r="E1952" t="s">
        <v>10</v>
      </c>
      <c r="F1952">
        <v>3449904</v>
      </c>
      <c r="G1952" s="1">
        <v>3302</v>
      </c>
      <c r="H1952" s="2">
        <v>1228514</v>
      </c>
      <c r="I1952" t="str">
        <f>VLOOKUP(Tabela1[[#This Row],[CO_PAIS]],'[1]nome do paixs'!$A:$B,2,0)</f>
        <v>Espanha</v>
      </c>
      <c r="J1952" t="s">
        <v>12</v>
      </c>
    </row>
    <row r="1953" spans="1:10">
      <c r="A1953">
        <v>2022</v>
      </c>
      <c r="B1953">
        <v>9</v>
      </c>
      <c r="C1953">
        <v>8807</v>
      </c>
      <c r="D1953">
        <v>375</v>
      </c>
      <c r="E1953" t="s">
        <v>10</v>
      </c>
      <c r="F1953">
        <v>3449904</v>
      </c>
      <c r="G1953" s="1">
        <v>18</v>
      </c>
      <c r="H1953" s="2">
        <v>11167</v>
      </c>
      <c r="I1953" t="str">
        <f>VLOOKUP(Tabela1[[#This Row],[CO_PAIS]],'[1]nome do paixs'!$A:$B,2,0)</f>
        <v>Irlanda</v>
      </c>
      <c r="J1953" t="s">
        <v>12</v>
      </c>
    </row>
    <row r="1954" spans="1:10">
      <c r="A1954">
        <v>2022</v>
      </c>
      <c r="B1954">
        <v>9</v>
      </c>
      <c r="C1954">
        <v>8807</v>
      </c>
      <c r="D1954">
        <v>493</v>
      </c>
      <c r="E1954" t="s">
        <v>10</v>
      </c>
      <c r="F1954">
        <v>3454102</v>
      </c>
      <c r="G1954" s="1">
        <v>9555</v>
      </c>
      <c r="H1954" s="2">
        <v>3710537</v>
      </c>
      <c r="I1954" t="str">
        <f>VLOOKUP(Tabela1[[#This Row],[CO_PAIS]],'[1]nome do paixs'!$A:$B,2,0)</f>
        <v>México</v>
      </c>
      <c r="J1954" t="s">
        <v>11</v>
      </c>
    </row>
    <row r="1955" spans="1:10">
      <c r="A1955">
        <v>2022</v>
      </c>
      <c r="B1955">
        <v>9</v>
      </c>
      <c r="C1955">
        <v>8807</v>
      </c>
      <c r="D1955">
        <v>791</v>
      </c>
      <c r="E1955" t="s">
        <v>10</v>
      </c>
      <c r="F1955">
        <v>3424402</v>
      </c>
      <c r="G1955" s="1">
        <v>444</v>
      </c>
      <c r="H1955" s="2">
        <v>343286</v>
      </c>
      <c r="I1955" t="str">
        <f>VLOOKUP(Tabela1[[#This Row],[CO_PAIS]],'[1]nome do paixs'!$A:$B,2,0)</f>
        <v>Tcheca, República</v>
      </c>
      <c r="J1955" t="s">
        <v>13</v>
      </c>
    </row>
    <row r="1956" spans="1:10">
      <c r="A1956">
        <v>2022</v>
      </c>
      <c r="B1956">
        <v>9</v>
      </c>
      <c r="C1956">
        <v>8807</v>
      </c>
      <c r="D1956">
        <v>399</v>
      </c>
      <c r="E1956" t="s">
        <v>10</v>
      </c>
      <c r="F1956">
        <v>3449904</v>
      </c>
      <c r="G1956" s="1">
        <v>987</v>
      </c>
      <c r="H1956" s="2">
        <v>850892</v>
      </c>
      <c r="I1956" t="str">
        <f>VLOOKUP(Tabela1[[#This Row],[CO_PAIS]],'[1]nome do paixs'!$A:$B,2,0)</f>
        <v>Japão</v>
      </c>
      <c r="J1956" t="s">
        <v>12</v>
      </c>
    </row>
    <row r="1957" spans="1:10">
      <c r="A1957">
        <v>2022</v>
      </c>
      <c r="B1957">
        <v>9</v>
      </c>
      <c r="C1957">
        <v>8807</v>
      </c>
      <c r="D1957">
        <v>741</v>
      </c>
      <c r="E1957" t="s">
        <v>10</v>
      </c>
      <c r="F1957">
        <v>3449904</v>
      </c>
      <c r="G1957" s="1">
        <v>263</v>
      </c>
      <c r="H1957" s="2">
        <v>272336</v>
      </c>
      <c r="I1957" t="str">
        <f>VLOOKUP(Tabela1[[#This Row],[CO_PAIS]],'[1]nome do paixs'!$A:$B,2,0)</f>
        <v>Singapura</v>
      </c>
      <c r="J1957" t="s">
        <v>12</v>
      </c>
    </row>
    <row r="1958" spans="1:10">
      <c r="A1958">
        <v>2022</v>
      </c>
      <c r="B1958">
        <v>9</v>
      </c>
      <c r="C1958">
        <v>8807</v>
      </c>
      <c r="D1958">
        <v>149</v>
      </c>
      <c r="E1958" t="s">
        <v>10</v>
      </c>
      <c r="F1958">
        <v>3449904</v>
      </c>
      <c r="G1958" s="1">
        <v>1</v>
      </c>
      <c r="H1958" s="2">
        <v>1906</v>
      </c>
      <c r="I1958" t="str">
        <f>VLOOKUP(Tabela1[[#This Row],[CO_PAIS]],'[1]nome do paixs'!$A:$B,2,0)</f>
        <v>Canadá</v>
      </c>
      <c r="J1958" t="s">
        <v>12</v>
      </c>
    </row>
    <row r="1959" spans="1:10">
      <c r="A1959">
        <v>2022</v>
      </c>
      <c r="B1959">
        <v>9</v>
      </c>
      <c r="C1959">
        <v>8807</v>
      </c>
      <c r="D1959">
        <v>105</v>
      </c>
      <c r="E1959" t="s">
        <v>10</v>
      </c>
      <c r="F1959">
        <v>3449904</v>
      </c>
      <c r="G1959" s="1">
        <v>10325</v>
      </c>
      <c r="H1959" s="2">
        <v>6420276</v>
      </c>
      <c r="I1959" t="str">
        <f>VLOOKUP(Tabela1[[#This Row],[CO_PAIS]],'[1]nome do paixs'!$A:$B,2,0)</f>
        <v>Brasil</v>
      </c>
      <c r="J1959" t="s">
        <v>12</v>
      </c>
    </row>
    <row r="1960" spans="1:10">
      <c r="A1960">
        <v>2022</v>
      </c>
      <c r="B1960">
        <v>9</v>
      </c>
      <c r="C1960">
        <v>8807</v>
      </c>
      <c r="D1960">
        <v>827</v>
      </c>
      <c r="E1960" t="s">
        <v>10</v>
      </c>
      <c r="F1960">
        <v>3449904</v>
      </c>
      <c r="G1960" s="1">
        <v>0</v>
      </c>
      <c r="H1960" s="2">
        <v>18</v>
      </c>
      <c r="I1960" t="str">
        <f>VLOOKUP(Tabela1[[#This Row],[CO_PAIS]],'[1]nome do paixs'!$A:$B,2,0)</f>
        <v>Turquia</v>
      </c>
      <c r="J1960" t="s">
        <v>12</v>
      </c>
    </row>
    <row r="1961" spans="1:10">
      <c r="A1961">
        <v>2022</v>
      </c>
      <c r="B1961">
        <v>9</v>
      </c>
      <c r="C1961">
        <v>8807</v>
      </c>
      <c r="D1961">
        <v>23</v>
      </c>
      <c r="E1961" t="s">
        <v>10</v>
      </c>
      <c r="F1961">
        <v>3424402</v>
      </c>
      <c r="G1961" s="1">
        <v>1</v>
      </c>
      <c r="H1961" s="2">
        <v>29133</v>
      </c>
      <c r="I1961" t="str">
        <f>VLOOKUP(Tabela1[[#This Row],[CO_PAIS]],'[1]nome do paixs'!$A:$B,2,0)</f>
        <v>Alemanha</v>
      </c>
      <c r="J1961" t="s">
        <v>13</v>
      </c>
    </row>
    <row r="1962" spans="1:10">
      <c r="A1962">
        <v>2022</v>
      </c>
      <c r="B1962">
        <v>9</v>
      </c>
      <c r="C1962">
        <v>8807</v>
      </c>
      <c r="D1962">
        <v>375</v>
      </c>
      <c r="E1962" t="s">
        <v>10</v>
      </c>
      <c r="F1962">
        <v>3454102</v>
      </c>
      <c r="G1962" s="1">
        <v>279</v>
      </c>
      <c r="H1962" s="2">
        <v>68286</v>
      </c>
      <c r="I1962" t="str">
        <f>VLOOKUP(Tabela1[[#This Row],[CO_PAIS]],'[1]nome do paixs'!$A:$B,2,0)</f>
        <v>Irlanda</v>
      </c>
      <c r="J1962" t="s">
        <v>11</v>
      </c>
    </row>
    <row r="1963" spans="1:10">
      <c r="A1963">
        <v>2022</v>
      </c>
      <c r="B1963">
        <v>9</v>
      </c>
      <c r="C1963">
        <v>8807</v>
      </c>
      <c r="D1963">
        <v>190</v>
      </c>
      <c r="E1963" t="s">
        <v>10</v>
      </c>
      <c r="F1963">
        <v>3449904</v>
      </c>
      <c r="G1963" s="1">
        <v>19</v>
      </c>
      <c r="H1963" s="2">
        <v>14158</v>
      </c>
      <c r="I1963" t="str">
        <f>VLOOKUP(Tabela1[[#This Row],[CO_PAIS]],'[1]nome do paixs'!$A:$B,2,0)</f>
        <v>Coreia do Sul</v>
      </c>
      <c r="J1963" t="s">
        <v>12</v>
      </c>
    </row>
    <row r="1964" spans="1:10">
      <c r="A1964">
        <v>2022</v>
      </c>
      <c r="B1964">
        <v>9</v>
      </c>
      <c r="C1964">
        <v>8807</v>
      </c>
      <c r="D1964">
        <v>361</v>
      </c>
      <c r="E1964" t="s">
        <v>10</v>
      </c>
      <c r="F1964">
        <v>3449904</v>
      </c>
      <c r="G1964" s="1">
        <v>622</v>
      </c>
      <c r="H1964" s="2">
        <v>280344</v>
      </c>
      <c r="I1964" t="str">
        <f>VLOOKUP(Tabela1[[#This Row],[CO_PAIS]],'[1]nome do paixs'!$A:$B,2,0)</f>
        <v>Índia</v>
      </c>
      <c r="J1964" t="s">
        <v>12</v>
      </c>
    </row>
    <row r="1965" spans="1:10">
      <c r="A1965">
        <v>2022</v>
      </c>
      <c r="B1965">
        <v>9</v>
      </c>
      <c r="C1965">
        <v>8807</v>
      </c>
      <c r="D1965">
        <v>455</v>
      </c>
      <c r="E1965" t="s">
        <v>10</v>
      </c>
      <c r="F1965">
        <v>3454102</v>
      </c>
      <c r="G1965" s="1">
        <v>5133</v>
      </c>
      <c r="H1965" s="2">
        <v>622273</v>
      </c>
      <c r="I1965" t="str">
        <f>VLOOKUP(Tabela1[[#This Row],[CO_PAIS]],'[1]nome do paixs'!$A:$B,2,0)</f>
        <v>Malásia</v>
      </c>
      <c r="J1965" t="s">
        <v>11</v>
      </c>
    </row>
    <row r="1966" spans="1:10">
      <c r="A1966">
        <v>2022</v>
      </c>
      <c r="B1966">
        <v>9</v>
      </c>
      <c r="C1966">
        <v>8807</v>
      </c>
      <c r="D1966">
        <v>386</v>
      </c>
      <c r="E1966" t="s">
        <v>10</v>
      </c>
      <c r="F1966">
        <v>3454102</v>
      </c>
      <c r="G1966" s="1">
        <v>960</v>
      </c>
      <c r="H1966" s="2">
        <v>2493212</v>
      </c>
      <c r="I1966" t="str">
        <f>VLOOKUP(Tabela1[[#This Row],[CO_PAIS]],'[1]nome do paixs'!$A:$B,2,0)</f>
        <v>Itália</v>
      </c>
      <c r="J1966" t="s">
        <v>11</v>
      </c>
    </row>
    <row r="1967" spans="1:10">
      <c r="A1967">
        <v>2022</v>
      </c>
      <c r="B1967">
        <v>9</v>
      </c>
      <c r="C1967">
        <v>8807</v>
      </c>
      <c r="D1967">
        <v>603</v>
      </c>
      <c r="E1967" t="s">
        <v>10</v>
      </c>
      <c r="F1967">
        <v>3449904</v>
      </c>
      <c r="G1967" s="1">
        <v>33</v>
      </c>
      <c r="H1967" s="2">
        <v>13408</v>
      </c>
      <c r="I1967" t="str">
        <f>VLOOKUP(Tabela1[[#This Row],[CO_PAIS]],'[1]nome do paixs'!$A:$B,2,0)</f>
        <v>Polônia</v>
      </c>
      <c r="J1967" t="s">
        <v>12</v>
      </c>
    </row>
    <row r="1968" spans="1:10">
      <c r="A1968">
        <v>2022</v>
      </c>
      <c r="B1968">
        <v>9</v>
      </c>
      <c r="C1968">
        <v>8807</v>
      </c>
      <c r="D1968">
        <v>275</v>
      </c>
      <c r="E1968" t="s">
        <v>10</v>
      </c>
      <c r="F1968">
        <v>3424402</v>
      </c>
      <c r="G1968" s="1">
        <v>434</v>
      </c>
      <c r="H1968" s="2">
        <v>502570</v>
      </c>
      <c r="I1968" t="str">
        <f>VLOOKUP(Tabela1[[#This Row],[CO_PAIS]],'[1]nome do paixs'!$A:$B,2,0)</f>
        <v>França</v>
      </c>
      <c r="J1968" t="s">
        <v>13</v>
      </c>
    </row>
    <row r="1969" spans="1:10">
      <c r="A1969">
        <v>2022</v>
      </c>
      <c r="B1969">
        <v>9</v>
      </c>
      <c r="C1969">
        <v>8807</v>
      </c>
      <c r="D1969">
        <v>249</v>
      </c>
      <c r="E1969" t="s">
        <v>10</v>
      </c>
      <c r="F1969">
        <v>3449904</v>
      </c>
      <c r="G1969" s="1">
        <v>4046</v>
      </c>
      <c r="H1969" s="2">
        <v>3276090</v>
      </c>
      <c r="I1969" t="str">
        <f>VLOOKUP(Tabela1[[#This Row],[CO_PAIS]],'[1]nome do paixs'!$A:$B,2,0)</f>
        <v>Estados Unidos</v>
      </c>
      <c r="J1969" t="s">
        <v>12</v>
      </c>
    </row>
    <row r="1970" spans="1:10">
      <c r="A1970">
        <v>2022</v>
      </c>
      <c r="B1970">
        <v>9</v>
      </c>
      <c r="C1970">
        <v>8807</v>
      </c>
      <c r="D1970">
        <v>741</v>
      </c>
      <c r="E1970" t="s">
        <v>10</v>
      </c>
      <c r="F1970">
        <v>3454102</v>
      </c>
      <c r="G1970" s="1">
        <v>2</v>
      </c>
      <c r="H1970" s="2">
        <v>3015</v>
      </c>
      <c r="I1970" t="str">
        <f>VLOOKUP(Tabela1[[#This Row],[CO_PAIS]],'[1]nome do paixs'!$A:$B,2,0)</f>
        <v>Singapura</v>
      </c>
      <c r="J1970" t="s">
        <v>11</v>
      </c>
    </row>
    <row r="1971" spans="1:10">
      <c r="A1971">
        <v>2022</v>
      </c>
      <c r="B1971">
        <v>9</v>
      </c>
      <c r="C1971">
        <v>8807</v>
      </c>
      <c r="D1971">
        <v>607</v>
      </c>
      <c r="E1971" t="s">
        <v>10</v>
      </c>
      <c r="F1971">
        <v>3449904</v>
      </c>
      <c r="G1971" s="1">
        <v>0</v>
      </c>
      <c r="H1971" s="2">
        <v>4072</v>
      </c>
      <c r="I1971" t="str">
        <f>VLOOKUP(Tabela1[[#This Row],[CO_PAIS]],'[1]nome do paixs'!$A:$B,2,0)</f>
        <v>Portugal</v>
      </c>
      <c r="J1971" t="s">
        <v>12</v>
      </c>
    </row>
    <row r="1972" spans="1:10">
      <c r="A1972">
        <v>2022</v>
      </c>
      <c r="B1972">
        <v>9</v>
      </c>
      <c r="C1972">
        <v>8807</v>
      </c>
      <c r="D1972">
        <v>87</v>
      </c>
      <c r="E1972" t="s">
        <v>10</v>
      </c>
      <c r="F1972">
        <v>3424402</v>
      </c>
      <c r="G1972" s="1">
        <v>11</v>
      </c>
      <c r="H1972" s="2">
        <v>25496</v>
      </c>
      <c r="I1972" t="str">
        <f>VLOOKUP(Tabela1[[#This Row],[CO_PAIS]],'[1]nome do paixs'!$A:$B,2,0)</f>
        <v>Bélgica</v>
      </c>
      <c r="J1972" t="s">
        <v>13</v>
      </c>
    </row>
    <row r="1973" spans="1:10">
      <c r="A1973">
        <v>2021</v>
      </c>
      <c r="B1973">
        <v>9</v>
      </c>
      <c r="C1973">
        <v>8803</v>
      </c>
      <c r="D1973">
        <v>375</v>
      </c>
      <c r="E1973" t="s">
        <v>10</v>
      </c>
      <c r="F1973">
        <v>3454102</v>
      </c>
      <c r="G1973" s="1">
        <v>18</v>
      </c>
      <c r="H1973" s="2">
        <v>7386</v>
      </c>
      <c r="I1973" t="str">
        <f>VLOOKUP(Tabela1[[#This Row],[CO_PAIS]],'[1]nome do paixs'!$A:$B,2,0)</f>
        <v>Irlanda</v>
      </c>
      <c r="J1973" t="s">
        <v>11</v>
      </c>
    </row>
    <row r="1974" spans="1:10">
      <c r="A1974">
        <v>2021</v>
      </c>
      <c r="B1974">
        <v>9</v>
      </c>
      <c r="C1974">
        <v>8803</v>
      </c>
      <c r="D1974">
        <v>474</v>
      </c>
      <c r="E1974" t="s">
        <v>10</v>
      </c>
      <c r="F1974">
        <v>3454102</v>
      </c>
      <c r="G1974" s="1">
        <v>92</v>
      </c>
      <c r="H1974" s="2">
        <v>164167</v>
      </c>
      <c r="I1974" t="str">
        <f>VLOOKUP(Tabela1[[#This Row],[CO_PAIS]],'[1]nome do paixs'!$A:$B,2,0)</f>
        <v>Marrocos</v>
      </c>
      <c r="J1974" t="s">
        <v>11</v>
      </c>
    </row>
    <row r="1975" spans="1:10">
      <c r="A1975">
        <v>2021</v>
      </c>
      <c r="B1975">
        <v>9</v>
      </c>
      <c r="C1975">
        <v>8803</v>
      </c>
      <c r="D1975">
        <v>23</v>
      </c>
      <c r="E1975" t="s">
        <v>10</v>
      </c>
      <c r="F1975">
        <v>3449904</v>
      </c>
      <c r="G1975" s="1">
        <v>77</v>
      </c>
      <c r="H1975" s="2">
        <v>135097</v>
      </c>
      <c r="I1975" t="str">
        <f>VLOOKUP(Tabela1[[#This Row],[CO_PAIS]],'[1]nome do paixs'!$A:$B,2,0)</f>
        <v>Alemanha</v>
      </c>
      <c r="J1975" t="s">
        <v>12</v>
      </c>
    </row>
    <row r="1976" spans="1:10">
      <c r="A1976">
        <v>2021</v>
      </c>
      <c r="B1976">
        <v>9</v>
      </c>
      <c r="C1976">
        <v>8803</v>
      </c>
      <c r="D1976">
        <v>190</v>
      </c>
      <c r="E1976" t="s">
        <v>10</v>
      </c>
      <c r="F1976">
        <v>3424402</v>
      </c>
      <c r="G1976" s="1">
        <v>1114</v>
      </c>
      <c r="H1976" s="2">
        <v>243491</v>
      </c>
      <c r="I1976" t="str">
        <f>VLOOKUP(Tabela1[[#This Row],[CO_PAIS]],'[1]nome do paixs'!$A:$B,2,0)</f>
        <v>Coreia do Sul</v>
      </c>
      <c r="J1976" t="s">
        <v>13</v>
      </c>
    </row>
    <row r="1977" spans="1:10">
      <c r="A1977">
        <v>2021</v>
      </c>
      <c r="B1977">
        <v>9</v>
      </c>
      <c r="C1977">
        <v>8803</v>
      </c>
      <c r="D1977">
        <v>245</v>
      </c>
      <c r="E1977" t="s">
        <v>10</v>
      </c>
      <c r="F1977">
        <v>3449904</v>
      </c>
      <c r="G1977" s="1">
        <v>1343</v>
      </c>
      <c r="H1977" s="2">
        <v>645908</v>
      </c>
      <c r="I1977" t="str">
        <f>VLOOKUP(Tabela1[[#This Row],[CO_PAIS]],'[1]nome do paixs'!$A:$B,2,0)</f>
        <v>Espanha</v>
      </c>
      <c r="J1977" t="s">
        <v>12</v>
      </c>
    </row>
    <row r="1978" spans="1:10">
      <c r="A1978">
        <v>2021</v>
      </c>
      <c r="B1978">
        <v>9</v>
      </c>
      <c r="C1978">
        <v>8803</v>
      </c>
      <c r="D1978">
        <v>676</v>
      </c>
      <c r="E1978" t="s">
        <v>10</v>
      </c>
      <c r="F1978">
        <v>3449904</v>
      </c>
      <c r="G1978" s="1">
        <v>44</v>
      </c>
      <c r="H1978" s="2">
        <v>36036</v>
      </c>
      <c r="I1978" t="str">
        <f>VLOOKUP(Tabela1[[#This Row],[CO_PAIS]],'[1]nome do paixs'!$A:$B,2,0)</f>
        <v>Rússia</v>
      </c>
      <c r="J1978" t="s">
        <v>12</v>
      </c>
    </row>
    <row r="1979" spans="1:10">
      <c r="A1979">
        <v>2021</v>
      </c>
      <c r="B1979">
        <v>9</v>
      </c>
      <c r="C1979">
        <v>8803</v>
      </c>
      <c r="D1979">
        <v>158</v>
      </c>
      <c r="E1979" t="s">
        <v>10</v>
      </c>
      <c r="F1979">
        <v>3449904</v>
      </c>
      <c r="G1979" s="1">
        <v>1</v>
      </c>
      <c r="H1979" s="2">
        <v>15446</v>
      </c>
      <c r="I1979" t="str">
        <f>VLOOKUP(Tabela1[[#This Row],[CO_PAIS]],'[1]nome do paixs'!$A:$B,2,0)</f>
        <v>Chile</v>
      </c>
      <c r="J1979" t="s">
        <v>12</v>
      </c>
    </row>
    <row r="1980" spans="1:10">
      <c r="A1980">
        <v>2021</v>
      </c>
      <c r="B1980">
        <v>9</v>
      </c>
      <c r="C1980">
        <v>8803</v>
      </c>
      <c r="D1980">
        <v>361</v>
      </c>
      <c r="E1980" t="s">
        <v>10</v>
      </c>
      <c r="F1980">
        <v>3449904</v>
      </c>
      <c r="G1980" s="1">
        <v>845</v>
      </c>
      <c r="H1980" s="2">
        <v>369850</v>
      </c>
      <c r="I1980" t="str">
        <f>VLOOKUP(Tabela1[[#This Row],[CO_PAIS]],'[1]nome do paixs'!$A:$B,2,0)</f>
        <v>Índia</v>
      </c>
      <c r="J1980" t="s">
        <v>12</v>
      </c>
    </row>
    <row r="1981" spans="1:10">
      <c r="A1981">
        <v>2021</v>
      </c>
      <c r="B1981">
        <v>9</v>
      </c>
      <c r="C1981">
        <v>8803</v>
      </c>
      <c r="D1981">
        <v>603</v>
      </c>
      <c r="E1981" t="s">
        <v>10</v>
      </c>
      <c r="F1981">
        <v>3449904</v>
      </c>
      <c r="G1981" s="1">
        <v>24</v>
      </c>
      <c r="H1981" s="2">
        <v>9903</v>
      </c>
      <c r="I1981" t="str">
        <f>VLOOKUP(Tabela1[[#This Row],[CO_PAIS]],'[1]nome do paixs'!$A:$B,2,0)</f>
        <v>Polônia</v>
      </c>
      <c r="J1981" t="s">
        <v>12</v>
      </c>
    </row>
    <row r="1982" spans="1:10">
      <c r="A1982">
        <v>2021</v>
      </c>
      <c r="B1982">
        <v>9</v>
      </c>
      <c r="C1982">
        <v>8803</v>
      </c>
      <c r="D1982">
        <v>105</v>
      </c>
      <c r="E1982" t="s">
        <v>10</v>
      </c>
      <c r="F1982">
        <v>3454102</v>
      </c>
      <c r="G1982" s="1">
        <v>2070</v>
      </c>
      <c r="H1982" s="2">
        <v>1045656</v>
      </c>
      <c r="I1982" t="str">
        <f>VLOOKUP(Tabela1[[#This Row],[CO_PAIS]],'[1]nome do paixs'!$A:$B,2,0)</f>
        <v>Brasil</v>
      </c>
      <c r="J1982" t="s">
        <v>11</v>
      </c>
    </row>
    <row r="1983" spans="1:10">
      <c r="A1983">
        <v>2021</v>
      </c>
      <c r="B1983">
        <v>9</v>
      </c>
      <c r="C1983">
        <v>8803</v>
      </c>
      <c r="D1983">
        <v>607</v>
      </c>
      <c r="E1983" t="s">
        <v>10</v>
      </c>
      <c r="F1983">
        <v>3449904</v>
      </c>
      <c r="G1983" s="1">
        <v>45</v>
      </c>
      <c r="H1983" s="2">
        <v>20274</v>
      </c>
      <c r="I1983" t="str">
        <f>VLOOKUP(Tabela1[[#This Row],[CO_PAIS]],'[1]nome do paixs'!$A:$B,2,0)</f>
        <v>Portugal</v>
      </c>
      <c r="J1983" t="s">
        <v>12</v>
      </c>
    </row>
    <row r="1984" spans="1:10">
      <c r="A1984">
        <v>2021</v>
      </c>
      <c r="B1984">
        <v>9</v>
      </c>
      <c r="C1984">
        <v>8803</v>
      </c>
      <c r="D1984">
        <v>386</v>
      </c>
      <c r="E1984" t="s">
        <v>10</v>
      </c>
      <c r="F1984">
        <v>3449904</v>
      </c>
      <c r="G1984" s="1">
        <v>34</v>
      </c>
      <c r="H1984" s="2">
        <v>28024</v>
      </c>
      <c r="I1984" t="str">
        <f>VLOOKUP(Tabela1[[#This Row],[CO_PAIS]],'[1]nome do paixs'!$A:$B,2,0)</f>
        <v>Itália</v>
      </c>
      <c r="J1984" t="s">
        <v>12</v>
      </c>
    </row>
    <row r="1985" spans="1:10">
      <c r="A1985">
        <v>2021</v>
      </c>
      <c r="B1985">
        <v>9</v>
      </c>
      <c r="C1985">
        <v>8803</v>
      </c>
      <c r="D1985">
        <v>791</v>
      </c>
      <c r="E1985" t="s">
        <v>10</v>
      </c>
      <c r="F1985">
        <v>3424402</v>
      </c>
      <c r="G1985" s="1">
        <v>241</v>
      </c>
      <c r="H1985" s="2">
        <v>182542</v>
      </c>
      <c r="I1985" t="str">
        <f>VLOOKUP(Tabela1[[#This Row],[CO_PAIS]],'[1]nome do paixs'!$A:$B,2,0)</f>
        <v>Tcheca, República</v>
      </c>
      <c r="J1985" t="s">
        <v>13</v>
      </c>
    </row>
    <row r="1986" spans="1:10">
      <c r="A1986">
        <v>2021</v>
      </c>
      <c r="B1986">
        <v>9</v>
      </c>
      <c r="C1986">
        <v>8803</v>
      </c>
      <c r="D1986">
        <v>190</v>
      </c>
      <c r="E1986" t="s">
        <v>10</v>
      </c>
      <c r="F1986">
        <v>3449904</v>
      </c>
      <c r="G1986" s="1">
        <v>0</v>
      </c>
      <c r="H1986" s="2">
        <v>181</v>
      </c>
      <c r="I1986" t="str">
        <f>VLOOKUP(Tabela1[[#This Row],[CO_PAIS]],'[1]nome do paixs'!$A:$B,2,0)</f>
        <v>Coreia do Sul</v>
      </c>
      <c r="J1986" t="s">
        <v>12</v>
      </c>
    </row>
    <row r="1987" spans="1:10">
      <c r="A1987">
        <v>2021</v>
      </c>
      <c r="B1987">
        <v>9</v>
      </c>
      <c r="C1987">
        <v>8803</v>
      </c>
      <c r="D1987">
        <v>399</v>
      </c>
      <c r="E1987" t="s">
        <v>10</v>
      </c>
      <c r="F1987">
        <v>3449904</v>
      </c>
      <c r="G1987" s="1">
        <v>422</v>
      </c>
      <c r="H1987" s="2">
        <v>425249</v>
      </c>
      <c r="I1987" t="str">
        <f>VLOOKUP(Tabela1[[#This Row],[CO_PAIS]],'[1]nome do paixs'!$A:$B,2,0)</f>
        <v>Japão</v>
      </c>
      <c r="J1987" t="s">
        <v>12</v>
      </c>
    </row>
    <row r="1988" spans="1:10">
      <c r="A1988">
        <v>2021</v>
      </c>
      <c r="B1988">
        <v>9</v>
      </c>
      <c r="C1988">
        <v>8803</v>
      </c>
      <c r="D1988">
        <v>741</v>
      </c>
      <c r="E1988" t="s">
        <v>10</v>
      </c>
      <c r="F1988">
        <v>3449904</v>
      </c>
      <c r="G1988" s="1">
        <v>171</v>
      </c>
      <c r="H1988" s="2">
        <v>170359</v>
      </c>
      <c r="I1988" t="str">
        <f>VLOOKUP(Tabela1[[#This Row],[CO_PAIS]],'[1]nome do paixs'!$A:$B,2,0)</f>
        <v>Singapura</v>
      </c>
      <c r="J1988" t="s">
        <v>12</v>
      </c>
    </row>
    <row r="1989" spans="1:10">
      <c r="A1989">
        <v>2021</v>
      </c>
      <c r="B1989">
        <v>9</v>
      </c>
      <c r="C1989">
        <v>8803</v>
      </c>
      <c r="D1989">
        <v>87</v>
      </c>
      <c r="E1989" t="s">
        <v>10</v>
      </c>
      <c r="F1989">
        <v>3454102</v>
      </c>
      <c r="G1989" s="1">
        <v>2131</v>
      </c>
      <c r="H1989" s="2">
        <v>1942928</v>
      </c>
      <c r="I1989" t="str">
        <f>VLOOKUP(Tabela1[[#This Row],[CO_PAIS]],'[1]nome do paixs'!$A:$B,2,0)</f>
        <v>Bélgica</v>
      </c>
      <c r="J1989" t="s">
        <v>11</v>
      </c>
    </row>
    <row r="1990" spans="1:10">
      <c r="A1990">
        <v>2021</v>
      </c>
      <c r="B1990">
        <v>9</v>
      </c>
      <c r="C1990">
        <v>8803</v>
      </c>
      <c r="D1990">
        <v>827</v>
      </c>
      <c r="E1990" t="s">
        <v>10</v>
      </c>
      <c r="F1990">
        <v>3449904</v>
      </c>
      <c r="G1990" s="1">
        <v>1</v>
      </c>
      <c r="H1990" s="2">
        <v>967</v>
      </c>
      <c r="I1990" t="str">
        <f>VLOOKUP(Tabela1[[#This Row],[CO_PAIS]],'[1]nome do paixs'!$A:$B,2,0)</f>
        <v>Turquia</v>
      </c>
      <c r="J1990" t="s">
        <v>12</v>
      </c>
    </row>
    <row r="1991" spans="1:10">
      <c r="A1991">
        <v>2021</v>
      </c>
      <c r="B1991">
        <v>9</v>
      </c>
      <c r="C1991">
        <v>8803</v>
      </c>
      <c r="D1991">
        <v>249</v>
      </c>
      <c r="E1991" t="s">
        <v>10</v>
      </c>
      <c r="F1991">
        <v>3454102</v>
      </c>
      <c r="G1991" s="1">
        <v>11967</v>
      </c>
      <c r="H1991" s="2">
        <v>6303474</v>
      </c>
      <c r="I1991" t="str">
        <f>VLOOKUP(Tabela1[[#This Row],[CO_PAIS]],'[1]nome do paixs'!$A:$B,2,0)</f>
        <v>Estados Unidos</v>
      </c>
      <c r="J1991" t="s">
        <v>11</v>
      </c>
    </row>
    <row r="1992" spans="1:10">
      <c r="A1992">
        <v>2021</v>
      </c>
      <c r="B1992">
        <v>9</v>
      </c>
      <c r="C1992">
        <v>8803</v>
      </c>
      <c r="D1992">
        <v>249</v>
      </c>
      <c r="E1992" t="s">
        <v>10</v>
      </c>
      <c r="F1992">
        <v>3424402</v>
      </c>
      <c r="G1992" s="1">
        <v>1163</v>
      </c>
      <c r="H1992" s="2">
        <v>196487</v>
      </c>
      <c r="I1992" t="str">
        <f>VLOOKUP(Tabela1[[#This Row],[CO_PAIS]],'[1]nome do paixs'!$A:$B,2,0)</f>
        <v>Estados Unidos</v>
      </c>
      <c r="J1992" t="s">
        <v>13</v>
      </c>
    </row>
    <row r="1993" spans="1:10">
      <c r="A1993">
        <v>2021</v>
      </c>
      <c r="B1993">
        <v>9</v>
      </c>
      <c r="C1993">
        <v>8803</v>
      </c>
      <c r="D1993">
        <v>791</v>
      </c>
      <c r="E1993" t="s">
        <v>10</v>
      </c>
      <c r="F1993">
        <v>3449904</v>
      </c>
      <c r="G1993" s="1">
        <v>0</v>
      </c>
      <c r="H1993" s="2">
        <v>1516</v>
      </c>
      <c r="I1993" t="str">
        <f>VLOOKUP(Tabela1[[#This Row],[CO_PAIS]],'[1]nome do paixs'!$A:$B,2,0)</f>
        <v>Tcheca, República</v>
      </c>
      <c r="J1993" t="s">
        <v>12</v>
      </c>
    </row>
    <row r="1994" spans="1:10">
      <c r="A1994">
        <v>2021</v>
      </c>
      <c r="B1994">
        <v>9</v>
      </c>
      <c r="C1994">
        <v>8803</v>
      </c>
      <c r="D1994">
        <v>275</v>
      </c>
      <c r="E1994" t="s">
        <v>10</v>
      </c>
      <c r="F1994">
        <v>3454102</v>
      </c>
      <c r="G1994" s="1">
        <v>843</v>
      </c>
      <c r="H1994" s="2">
        <v>1522283</v>
      </c>
      <c r="I1994" t="str">
        <f>VLOOKUP(Tabela1[[#This Row],[CO_PAIS]],'[1]nome do paixs'!$A:$B,2,0)</f>
        <v>França</v>
      </c>
      <c r="J1994" t="s">
        <v>11</v>
      </c>
    </row>
    <row r="1995" spans="1:10">
      <c r="A1995">
        <v>2021</v>
      </c>
      <c r="B1995">
        <v>9</v>
      </c>
      <c r="C1995">
        <v>8803</v>
      </c>
      <c r="D1995">
        <v>275</v>
      </c>
      <c r="E1995" t="s">
        <v>10</v>
      </c>
      <c r="F1995">
        <v>3424402</v>
      </c>
      <c r="G1995" s="1">
        <v>193</v>
      </c>
      <c r="H1995" s="2">
        <v>240841</v>
      </c>
      <c r="I1995" t="str">
        <f>VLOOKUP(Tabela1[[#This Row],[CO_PAIS]],'[1]nome do paixs'!$A:$B,2,0)</f>
        <v>França</v>
      </c>
      <c r="J1995" t="s">
        <v>13</v>
      </c>
    </row>
    <row r="1996" spans="1:10">
      <c r="A1996">
        <v>2021</v>
      </c>
      <c r="B1996">
        <v>9</v>
      </c>
      <c r="C1996">
        <v>8803</v>
      </c>
      <c r="D1996">
        <v>628</v>
      </c>
      <c r="E1996" t="s">
        <v>10</v>
      </c>
      <c r="F1996">
        <v>3449904</v>
      </c>
      <c r="G1996" s="1">
        <v>430</v>
      </c>
      <c r="H1996" s="2">
        <v>369197</v>
      </c>
      <c r="I1996" t="str">
        <f>VLOOKUP(Tabela1[[#This Row],[CO_PAIS]],'[1]nome do paixs'!$A:$B,2,0)</f>
        <v>Reino Unido</v>
      </c>
      <c r="J1996" t="s">
        <v>12</v>
      </c>
    </row>
    <row r="1997" spans="1:10">
      <c r="A1997">
        <v>2021</v>
      </c>
      <c r="B1997">
        <v>9</v>
      </c>
      <c r="C1997">
        <v>8803</v>
      </c>
      <c r="D1997">
        <v>375</v>
      </c>
      <c r="E1997" t="s">
        <v>10</v>
      </c>
      <c r="F1997">
        <v>3449904</v>
      </c>
      <c r="G1997" s="1">
        <v>0</v>
      </c>
      <c r="H1997" s="2">
        <v>471</v>
      </c>
      <c r="I1997" t="str">
        <f>VLOOKUP(Tabela1[[#This Row],[CO_PAIS]],'[1]nome do paixs'!$A:$B,2,0)</f>
        <v>Irlanda</v>
      </c>
      <c r="J1997" t="s">
        <v>12</v>
      </c>
    </row>
    <row r="1998" spans="1:10">
      <c r="A1998">
        <v>2021</v>
      </c>
      <c r="B1998">
        <v>9</v>
      </c>
      <c r="C1998">
        <v>8803</v>
      </c>
      <c r="D1998">
        <v>149</v>
      </c>
      <c r="E1998" t="s">
        <v>10</v>
      </c>
      <c r="F1998">
        <v>3449904</v>
      </c>
      <c r="G1998" s="1">
        <v>2</v>
      </c>
      <c r="H1998" s="2">
        <v>11168</v>
      </c>
      <c r="I1998" t="str">
        <f>VLOOKUP(Tabela1[[#This Row],[CO_PAIS]],'[1]nome do paixs'!$A:$B,2,0)</f>
        <v>Canadá</v>
      </c>
      <c r="J1998" t="s">
        <v>12</v>
      </c>
    </row>
    <row r="1999" spans="1:10">
      <c r="A1999">
        <v>2021</v>
      </c>
      <c r="B1999">
        <v>9</v>
      </c>
      <c r="C1999">
        <v>8803</v>
      </c>
      <c r="D1999">
        <v>190</v>
      </c>
      <c r="E1999" t="s">
        <v>10</v>
      </c>
      <c r="F1999">
        <v>3454102</v>
      </c>
      <c r="G1999" s="1">
        <v>1142</v>
      </c>
      <c r="H1999" s="2">
        <v>1026530</v>
      </c>
      <c r="I1999" t="str">
        <f>VLOOKUP(Tabela1[[#This Row],[CO_PAIS]],'[1]nome do paixs'!$A:$B,2,0)</f>
        <v>Coreia do Sul</v>
      </c>
      <c r="J1999" t="s">
        <v>11</v>
      </c>
    </row>
    <row r="2000" spans="1:10">
      <c r="A2000">
        <v>2021</v>
      </c>
      <c r="B2000">
        <v>9</v>
      </c>
      <c r="C2000">
        <v>8803</v>
      </c>
      <c r="D2000">
        <v>275</v>
      </c>
      <c r="E2000" t="s">
        <v>10</v>
      </c>
      <c r="F2000">
        <v>3449904</v>
      </c>
      <c r="G2000" s="1">
        <v>81</v>
      </c>
      <c r="H2000" s="2">
        <v>95159</v>
      </c>
      <c r="I2000" t="str">
        <f>VLOOKUP(Tabela1[[#This Row],[CO_PAIS]],'[1]nome do paixs'!$A:$B,2,0)</f>
        <v>França</v>
      </c>
      <c r="J2000" t="s">
        <v>12</v>
      </c>
    </row>
    <row r="2001" spans="1:10">
      <c r="A2001">
        <v>2021</v>
      </c>
      <c r="B2001">
        <v>9</v>
      </c>
      <c r="C2001">
        <v>8803</v>
      </c>
      <c r="D2001">
        <v>72</v>
      </c>
      <c r="E2001" t="s">
        <v>10</v>
      </c>
      <c r="F2001">
        <v>3449904</v>
      </c>
      <c r="G2001" s="1">
        <v>9</v>
      </c>
      <c r="H2001" s="2">
        <v>13666</v>
      </c>
      <c r="I2001" t="str">
        <f>VLOOKUP(Tabela1[[#This Row],[CO_PAIS]],'[1]nome do paixs'!$A:$B,2,0)</f>
        <v>Áustria</v>
      </c>
      <c r="J2001" t="s">
        <v>12</v>
      </c>
    </row>
    <row r="2002" spans="1:10">
      <c r="A2002">
        <v>2021</v>
      </c>
      <c r="B2002">
        <v>9</v>
      </c>
      <c r="C2002">
        <v>8803</v>
      </c>
      <c r="D2002">
        <v>386</v>
      </c>
      <c r="E2002" t="s">
        <v>10</v>
      </c>
      <c r="F2002">
        <v>3454102</v>
      </c>
      <c r="G2002" s="1">
        <v>576</v>
      </c>
      <c r="H2002" s="2">
        <v>1490536</v>
      </c>
      <c r="I2002" t="str">
        <f>VLOOKUP(Tabela1[[#This Row],[CO_PAIS]],'[1]nome do paixs'!$A:$B,2,0)</f>
        <v>Itália</v>
      </c>
      <c r="J2002" t="s">
        <v>11</v>
      </c>
    </row>
    <row r="2003" spans="1:10">
      <c r="A2003">
        <v>2021</v>
      </c>
      <c r="B2003">
        <v>9</v>
      </c>
      <c r="C2003">
        <v>8803</v>
      </c>
      <c r="D2003">
        <v>23</v>
      </c>
      <c r="E2003" t="s">
        <v>10</v>
      </c>
      <c r="F2003">
        <v>3454102</v>
      </c>
      <c r="G2003" s="1">
        <v>1693</v>
      </c>
      <c r="H2003" s="2">
        <v>479954</v>
      </c>
      <c r="I2003" t="str">
        <f>VLOOKUP(Tabela1[[#This Row],[CO_PAIS]],'[1]nome do paixs'!$A:$B,2,0)</f>
        <v>Alemanha</v>
      </c>
      <c r="J2003" t="s">
        <v>11</v>
      </c>
    </row>
    <row r="2004" spans="1:10">
      <c r="A2004">
        <v>2021</v>
      </c>
      <c r="B2004">
        <v>9</v>
      </c>
      <c r="C2004">
        <v>8803</v>
      </c>
      <c r="D2004">
        <v>628</v>
      </c>
      <c r="E2004" t="s">
        <v>10</v>
      </c>
      <c r="F2004">
        <v>3454102</v>
      </c>
      <c r="G2004" s="1">
        <v>282</v>
      </c>
      <c r="H2004" s="2">
        <v>89986</v>
      </c>
      <c r="I2004" t="str">
        <f>VLOOKUP(Tabela1[[#This Row],[CO_PAIS]],'[1]nome do paixs'!$A:$B,2,0)</f>
        <v>Reino Unido</v>
      </c>
      <c r="J2004" t="s">
        <v>11</v>
      </c>
    </row>
    <row r="2005" spans="1:10">
      <c r="A2005">
        <v>2021</v>
      </c>
      <c r="B2005">
        <v>9</v>
      </c>
      <c r="C2005">
        <v>8803</v>
      </c>
      <c r="D2005">
        <v>249</v>
      </c>
      <c r="E2005" t="s">
        <v>10</v>
      </c>
      <c r="F2005">
        <v>3449904</v>
      </c>
      <c r="G2005" s="1">
        <v>3177</v>
      </c>
      <c r="H2005" s="2">
        <v>2263661</v>
      </c>
      <c r="I2005" t="str">
        <f>VLOOKUP(Tabela1[[#This Row],[CO_PAIS]],'[1]nome do paixs'!$A:$B,2,0)</f>
        <v>Estados Unidos</v>
      </c>
      <c r="J2005" t="s">
        <v>12</v>
      </c>
    </row>
    <row r="2006" spans="1:10">
      <c r="A2006">
        <v>2021</v>
      </c>
      <c r="B2006">
        <v>9</v>
      </c>
      <c r="C2006">
        <v>8803</v>
      </c>
      <c r="D2006">
        <v>105</v>
      </c>
      <c r="E2006" t="s">
        <v>10</v>
      </c>
      <c r="F2006">
        <v>3449904</v>
      </c>
      <c r="G2006" s="1">
        <v>10793</v>
      </c>
      <c r="H2006" s="2">
        <v>7125679</v>
      </c>
      <c r="I2006" t="str">
        <f>VLOOKUP(Tabela1[[#This Row],[CO_PAIS]],'[1]nome do paixs'!$A:$B,2,0)</f>
        <v>Brasil</v>
      </c>
      <c r="J2006" t="s">
        <v>12</v>
      </c>
    </row>
    <row r="2007" spans="1:10">
      <c r="A2007">
        <v>2021</v>
      </c>
      <c r="B2007">
        <v>9</v>
      </c>
      <c r="C2007">
        <v>8803</v>
      </c>
      <c r="D2007">
        <v>245</v>
      </c>
      <c r="E2007" t="s">
        <v>10</v>
      </c>
      <c r="F2007">
        <v>3424402</v>
      </c>
      <c r="G2007" s="1">
        <v>56</v>
      </c>
      <c r="H2007" s="2">
        <v>24209</v>
      </c>
      <c r="I2007" t="str">
        <f>VLOOKUP(Tabela1[[#This Row],[CO_PAIS]],'[1]nome do paixs'!$A:$B,2,0)</f>
        <v>Espanha</v>
      </c>
      <c r="J2007" t="s">
        <v>13</v>
      </c>
    </row>
    <row r="2008" spans="1:10">
      <c r="A2008">
        <v>2021</v>
      </c>
      <c r="B2008">
        <v>9</v>
      </c>
      <c r="C2008">
        <v>8803</v>
      </c>
      <c r="D2008">
        <v>399</v>
      </c>
      <c r="E2008" t="s">
        <v>10</v>
      </c>
      <c r="F2008">
        <v>3454102</v>
      </c>
      <c r="G2008" s="1">
        <v>3217</v>
      </c>
      <c r="H2008" s="2">
        <v>1820531</v>
      </c>
      <c r="I2008" t="str">
        <f>VLOOKUP(Tabela1[[#This Row],[CO_PAIS]],'[1]nome do paixs'!$A:$B,2,0)</f>
        <v>Japão</v>
      </c>
      <c r="J2008" t="s">
        <v>11</v>
      </c>
    </row>
    <row r="2009" spans="1:10">
      <c r="A2009">
        <v>2021</v>
      </c>
      <c r="B2009">
        <v>9</v>
      </c>
      <c r="C2009">
        <v>8803</v>
      </c>
      <c r="D2009">
        <v>245</v>
      </c>
      <c r="E2009" t="s">
        <v>10</v>
      </c>
      <c r="F2009">
        <v>3454102</v>
      </c>
      <c r="G2009" s="1">
        <v>1203</v>
      </c>
      <c r="H2009" s="2">
        <v>1115836</v>
      </c>
      <c r="I2009" t="str">
        <f>VLOOKUP(Tabela1[[#This Row],[CO_PAIS]],'[1]nome do paixs'!$A:$B,2,0)</f>
        <v>Espanha</v>
      </c>
      <c r="J2009" t="s">
        <v>11</v>
      </c>
    </row>
    <row r="2010" spans="1:10">
      <c r="A2010">
        <v>2021</v>
      </c>
      <c r="B2010">
        <v>9</v>
      </c>
      <c r="C2010">
        <v>8803</v>
      </c>
      <c r="D2010">
        <v>493</v>
      </c>
      <c r="E2010" t="s">
        <v>10</v>
      </c>
      <c r="F2010">
        <v>3449904</v>
      </c>
      <c r="G2010" s="1">
        <v>741</v>
      </c>
      <c r="H2010" s="2">
        <v>442530</v>
      </c>
      <c r="I2010" t="str">
        <f>VLOOKUP(Tabela1[[#This Row],[CO_PAIS]],'[1]nome do paixs'!$A:$B,2,0)</f>
        <v>México</v>
      </c>
      <c r="J2010" t="s">
        <v>12</v>
      </c>
    </row>
    <row r="2011" spans="1:10">
      <c r="A2011">
        <v>2021</v>
      </c>
      <c r="B2011">
        <v>9</v>
      </c>
      <c r="C2011">
        <v>8803</v>
      </c>
      <c r="D2011">
        <v>607</v>
      </c>
      <c r="E2011" t="s">
        <v>10</v>
      </c>
      <c r="F2011">
        <v>3454102</v>
      </c>
      <c r="G2011" s="1">
        <v>5329</v>
      </c>
      <c r="H2011" s="2">
        <v>2256708</v>
      </c>
      <c r="I2011" t="str">
        <f>VLOOKUP(Tabela1[[#This Row],[CO_PAIS]],'[1]nome do paixs'!$A:$B,2,0)</f>
        <v>Portugal</v>
      </c>
      <c r="J2011" t="s">
        <v>11</v>
      </c>
    </row>
    <row r="2012" spans="1:10">
      <c r="A2012">
        <v>2021</v>
      </c>
      <c r="B2012">
        <v>9</v>
      </c>
      <c r="C2012">
        <v>8803</v>
      </c>
      <c r="D2012">
        <v>72</v>
      </c>
      <c r="E2012" t="s">
        <v>10</v>
      </c>
      <c r="F2012">
        <v>3454102</v>
      </c>
      <c r="G2012" s="1">
        <v>224</v>
      </c>
      <c r="H2012" s="2">
        <v>224656</v>
      </c>
      <c r="I2012" t="str">
        <f>VLOOKUP(Tabela1[[#This Row],[CO_PAIS]],'[1]nome do paixs'!$A:$B,2,0)</f>
        <v>Áustria</v>
      </c>
      <c r="J2012" t="s">
        <v>11</v>
      </c>
    </row>
    <row r="2013" spans="1:10">
      <c r="A2013">
        <v>2021</v>
      </c>
      <c r="B2013">
        <v>9</v>
      </c>
      <c r="C2013">
        <v>8803</v>
      </c>
      <c r="D2013">
        <v>87</v>
      </c>
      <c r="E2013" t="s">
        <v>10</v>
      </c>
      <c r="F2013">
        <v>3449904</v>
      </c>
      <c r="G2013" s="1">
        <v>459</v>
      </c>
      <c r="H2013" s="2">
        <v>363673</v>
      </c>
      <c r="I2013" t="str">
        <f>VLOOKUP(Tabela1[[#This Row],[CO_PAIS]],'[1]nome do paixs'!$A:$B,2,0)</f>
        <v>Bélgica</v>
      </c>
      <c r="J2013" t="s">
        <v>12</v>
      </c>
    </row>
    <row r="2014" spans="1:10">
      <c r="A2014">
        <v>2021</v>
      </c>
      <c r="B2014">
        <v>9</v>
      </c>
      <c r="C2014">
        <v>8803</v>
      </c>
      <c r="D2014">
        <v>493</v>
      </c>
      <c r="E2014" t="s">
        <v>10</v>
      </c>
      <c r="F2014">
        <v>3454102</v>
      </c>
      <c r="G2014" s="1">
        <v>2995</v>
      </c>
      <c r="H2014" s="2">
        <v>1228940</v>
      </c>
      <c r="I2014" t="str">
        <f>VLOOKUP(Tabela1[[#This Row],[CO_PAIS]],'[1]nome do paixs'!$A:$B,2,0)</f>
        <v>México</v>
      </c>
      <c r="J2014" t="s">
        <v>11</v>
      </c>
    </row>
    <row r="2015" spans="1:10">
      <c r="A2015">
        <v>2024</v>
      </c>
      <c r="B2015">
        <v>10</v>
      </c>
      <c r="C2015">
        <v>8807</v>
      </c>
      <c r="D2015">
        <v>791</v>
      </c>
      <c r="E2015" t="s">
        <v>10</v>
      </c>
      <c r="F2015">
        <v>3454102</v>
      </c>
      <c r="G2015" s="1">
        <v>5</v>
      </c>
      <c r="H2015" s="2">
        <v>29589</v>
      </c>
      <c r="I2015" t="str">
        <f>VLOOKUP(Tabela1[[#This Row],[CO_PAIS]],'[1]nome do paixs'!$A:$B,2,0)</f>
        <v>Tcheca, República</v>
      </c>
      <c r="J2015" t="s">
        <v>11</v>
      </c>
    </row>
    <row r="2016" spans="1:10">
      <c r="A2016">
        <v>2024</v>
      </c>
      <c r="B2016">
        <v>10</v>
      </c>
      <c r="C2016">
        <v>8807</v>
      </c>
      <c r="D2016">
        <v>275</v>
      </c>
      <c r="E2016" t="s">
        <v>10</v>
      </c>
      <c r="F2016">
        <v>3454102</v>
      </c>
      <c r="G2016" s="1">
        <v>1501</v>
      </c>
      <c r="H2016" s="2">
        <v>2598593</v>
      </c>
      <c r="I2016" t="str">
        <f>VLOOKUP(Tabela1[[#This Row],[CO_PAIS]],'[1]nome do paixs'!$A:$B,2,0)</f>
        <v>França</v>
      </c>
      <c r="J2016" t="s">
        <v>11</v>
      </c>
    </row>
    <row r="2017" spans="1:10">
      <c r="A2017">
        <v>2024</v>
      </c>
      <c r="B2017">
        <v>10</v>
      </c>
      <c r="C2017">
        <v>8807</v>
      </c>
      <c r="D2017">
        <v>245</v>
      </c>
      <c r="E2017" t="s">
        <v>10</v>
      </c>
      <c r="F2017">
        <v>3454102</v>
      </c>
      <c r="G2017" s="1">
        <v>418</v>
      </c>
      <c r="H2017" s="2">
        <v>362185</v>
      </c>
      <c r="I2017" t="str">
        <f>VLOOKUP(Tabela1[[#This Row],[CO_PAIS]],'[1]nome do paixs'!$A:$B,2,0)</f>
        <v>Espanha</v>
      </c>
      <c r="J2017" t="s">
        <v>11</v>
      </c>
    </row>
    <row r="2018" spans="1:10">
      <c r="A2018">
        <v>2024</v>
      </c>
      <c r="B2018">
        <v>10</v>
      </c>
      <c r="C2018">
        <v>8807</v>
      </c>
      <c r="D2018">
        <v>628</v>
      </c>
      <c r="E2018" t="s">
        <v>10</v>
      </c>
      <c r="F2018">
        <v>3454102</v>
      </c>
      <c r="G2018" s="1">
        <v>264</v>
      </c>
      <c r="H2018" s="2">
        <v>260616</v>
      </c>
      <c r="I2018" t="str">
        <f>VLOOKUP(Tabela1[[#This Row],[CO_PAIS]],'[1]nome do paixs'!$A:$B,2,0)</f>
        <v>Reino Unido</v>
      </c>
      <c r="J2018" t="s">
        <v>11</v>
      </c>
    </row>
    <row r="2019" spans="1:10">
      <c r="A2019">
        <v>2024</v>
      </c>
      <c r="B2019">
        <v>10</v>
      </c>
      <c r="C2019">
        <v>8807</v>
      </c>
      <c r="D2019">
        <v>87</v>
      </c>
      <c r="E2019" t="s">
        <v>10</v>
      </c>
      <c r="F2019">
        <v>3449904</v>
      </c>
      <c r="G2019" s="1">
        <v>1803</v>
      </c>
      <c r="H2019" s="2">
        <v>1619301</v>
      </c>
      <c r="I2019" t="str">
        <f>VLOOKUP(Tabela1[[#This Row],[CO_PAIS]],'[1]nome do paixs'!$A:$B,2,0)</f>
        <v>Bélgica</v>
      </c>
      <c r="J2019" t="s">
        <v>12</v>
      </c>
    </row>
    <row r="2020" spans="1:10">
      <c r="A2020">
        <v>2024</v>
      </c>
      <c r="B2020">
        <v>10</v>
      </c>
      <c r="C2020">
        <v>8807</v>
      </c>
      <c r="D2020">
        <v>399</v>
      </c>
      <c r="E2020" t="s">
        <v>10</v>
      </c>
      <c r="F2020">
        <v>3449904</v>
      </c>
      <c r="G2020" s="1">
        <v>448</v>
      </c>
      <c r="H2020" s="2">
        <v>359377</v>
      </c>
      <c r="I2020" t="str">
        <f>VLOOKUP(Tabela1[[#This Row],[CO_PAIS]],'[1]nome do paixs'!$A:$B,2,0)</f>
        <v>Japão</v>
      </c>
      <c r="J2020" t="s">
        <v>12</v>
      </c>
    </row>
    <row r="2021" spans="1:10">
      <c r="A2021">
        <v>2024</v>
      </c>
      <c r="B2021">
        <v>10</v>
      </c>
      <c r="C2021">
        <v>8807</v>
      </c>
      <c r="D2021">
        <v>676</v>
      </c>
      <c r="E2021" t="s">
        <v>10</v>
      </c>
      <c r="F2021">
        <v>3454102</v>
      </c>
      <c r="G2021" s="1">
        <v>706</v>
      </c>
      <c r="H2021" s="2">
        <v>59003</v>
      </c>
      <c r="I2021" t="str">
        <f>VLOOKUP(Tabela1[[#This Row],[CO_PAIS]],'[1]nome do paixs'!$A:$B,2,0)</f>
        <v>Rússia</v>
      </c>
      <c r="J2021" t="s">
        <v>11</v>
      </c>
    </row>
    <row r="2022" spans="1:10">
      <c r="A2022">
        <v>2024</v>
      </c>
      <c r="B2022">
        <v>10</v>
      </c>
      <c r="C2022">
        <v>8807</v>
      </c>
      <c r="D2022">
        <v>399</v>
      </c>
      <c r="E2022" t="s">
        <v>10</v>
      </c>
      <c r="F2022">
        <v>3454102</v>
      </c>
      <c r="G2022" s="1">
        <v>2121</v>
      </c>
      <c r="H2022" s="2">
        <v>1353438</v>
      </c>
      <c r="I2022" t="str">
        <f>VLOOKUP(Tabela1[[#This Row],[CO_PAIS]],'[1]nome do paixs'!$A:$B,2,0)</f>
        <v>Japão</v>
      </c>
      <c r="J2022" t="s">
        <v>11</v>
      </c>
    </row>
    <row r="2023" spans="1:10">
      <c r="A2023">
        <v>2024</v>
      </c>
      <c r="B2023">
        <v>10</v>
      </c>
      <c r="C2023">
        <v>8807</v>
      </c>
      <c r="D2023">
        <v>493</v>
      </c>
      <c r="E2023" t="s">
        <v>10</v>
      </c>
      <c r="F2023">
        <v>3454102</v>
      </c>
      <c r="G2023" s="1">
        <v>18056</v>
      </c>
      <c r="H2023" s="2">
        <v>7869528</v>
      </c>
      <c r="I2023" t="str">
        <f>VLOOKUP(Tabela1[[#This Row],[CO_PAIS]],'[1]nome do paixs'!$A:$B,2,0)</f>
        <v>México</v>
      </c>
      <c r="J2023" t="s">
        <v>11</v>
      </c>
    </row>
    <row r="2024" spans="1:10">
      <c r="A2024">
        <v>2024</v>
      </c>
      <c r="B2024">
        <v>10</v>
      </c>
      <c r="C2024">
        <v>8807</v>
      </c>
      <c r="D2024">
        <v>275</v>
      </c>
      <c r="E2024" t="s">
        <v>10</v>
      </c>
      <c r="F2024">
        <v>3424402</v>
      </c>
      <c r="G2024" s="1">
        <v>428</v>
      </c>
      <c r="H2024" s="2">
        <v>590956</v>
      </c>
      <c r="I2024" t="str">
        <f>VLOOKUP(Tabela1[[#This Row],[CO_PAIS]],'[1]nome do paixs'!$A:$B,2,0)</f>
        <v>França</v>
      </c>
      <c r="J2024" t="s">
        <v>13</v>
      </c>
    </row>
    <row r="2025" spans="1:10">
      <c r="A2025">
        <v>2024</v>
      </c>
      <c r="B2025">
        <v>10</v>
      </c>
      <c r="C2025">
        <v>8807</v>
      </c>
      <c r="D2025">
        <v>149</v>
      </c>
      <c r="E2025" t="s">
        <v>10</v>
      </c>
      <c r="F2025">
        <v>3449904</v>
      </c>
      <c r="G2025" s="1">
        <v>6</v>
      </c>
      <c r="H2025" s="2">
        <v>10970</v>
      </c>
      <c r="I2025" t="str">
        <f>VLOOKUP(Tabela1[[#This Row],[CO_PAIS]],'[1]nome do paixs'!$A:$B,2,0)</f>
        <v>Canadá</v>
      </c>
      <c r="J2025" t="s">
        <v>12</v>
      </c>
    </row>
    <row r="2026" spans="1:10">
      <c r="A2026">
        <v>2024</v>
      </c>
      <c r="B2026">
        <v>10</v>
      </c>
      <c r="C2026">
        <v>8807</v>
      </c>
      <c r="D2026">
        <v>361</v>
      </c>
      <c r="E2026" t="s">
        <v>10</v>
      </c>
      <c r="F2026">
        <v>3449904</v>
      </c>
      <c r="G2026" s="1">
        <v>1472</v>
      </c>
      <c r="H2026" s="2">
        <v>687253</v>
      </c>
      <c r="I2026" t="str">
        <f>VLOOKUP(Tabela1[[#This Row],[CO_PAIS]],'[1]nome do paixs'!$A:$B,2,0)</f>
        <v>Índia</v>
      </c>
      <c r="J2026" t="s">
        <v>12</v>
      </c>
    </row>
    <row r="2027" spans="1:10">
      <c r="A2027">
        <v>2024</v>
      </c>
      <c r="B2027">
        <v>10</v>
      </c>
      <c r="C2027">
        <v>8807</v>
      </c>
      <c r="D2027">
        <v>105</v>
      </c>
      <c r="E2027" t="s">
        <v>10</v>
      </c>
      <c r="F2027">
        <v>3449904</v>
      </c>
      <c r="G2027" s="1">
        <v>12421</v>
      </c>
      <c r="H2027" s="2">
        <v>7815446</v>
      </c>
      <c r="I2027" t="str">
        <f>VLOOKUP(Tabela1[[#This Row],[CO_PAIS]],'[1]nome do paixs'!$A:$B,2,0)</f>
        <v>Brasil</v>
      </c>
      <c r="J2027" t="s">
        <v>12</v>
      </c>
    </row>
    <row r="2028" spans="1:10">
      <c r="A2028">
        <v>2024</v>
      </c>
      <c r="B2028">
        <v>10</v>
      </c>
      <c r="C2028">
        <v>8807</v>
      </c>
      <c r="D2028">
        <v>375</v>
      </c>
      <c r="E2028" t="s">
        <v>10</v>
      </c>
      <c r="F2028">
        <v>3454102</v>
      </c>
      <c r="G2028" s="1">
        <v>102</v>
      </c>
      <c r="H2028" s="2">
        <v>23980</v>
      </c>
      <c r="I2028" t="str">
        <f>VLOOKUP(Tabela1[[#This Row],[CO_PAIS]],'[1]nome do paixs'!$A:$B,2,0)</f>
        <v>Irlanda</v>
      </c>
      <c r="J2028" t="s">
        <v>11</v>
      </c>
    </row>
    <row r="2029" spans="1:10">
      <c r="A2029">
        <v>2024</v>
      </c>
      <c r="B2029">
        <v>10</v>
      </c>
      <c r="C2029">
        <v>8807</v>
      </c>
      <c r="D2029">
        <v>23</v>
      </c>
      <c r="E2029" t="s">
        <v>10</v>
      </c>
      <c r="F2029">
        <v>3454102</v>
      </c>
      <c r="G2029" s="1">
        <v>23161</v>
      </c>
      <c r="H2029" s="2">
        <v>2206327</v>
      </c>
      <c r="I2029" t="str">
        <f>VLOOKUP(Tabela1[[#This Row],[CO_PAIS]],'[1]nome do paixs'!$A:$B,2,0)</f>
        <v>Alemanha</v>
      </c>
      <c r="J2029" t="s">
        <v>11</v>
      </c>
    </row>
    <row r="2030" spans="1:10">
      <c r="A2030">
        <v>2024</v>
      </c>
      <c r="B2030">
        <v>10</v>
      </c>
      <c r="C2030">
        <v>8807</v>
      </c>
      <c r="D2030">
        <v>249</v>
      </c>
      <c r="E2030" t="s">
        <v>10</v>
      </c>
      <c r="F2030">
        <v>3449904</v>
      </c>
      <c r="G2030" s="1">
        <v>5614</v>
      </c>
      <c r="H2030" s="2">
        <v>4423308</v>
      </c>
      <c r="I2030" t="str">
        <f>VLOOKUP(Tabela1[[#This Row],[CO_PAIS]],'[1]nome do paixs'!$A:$B,2,0)</f>
        <v>Estados Unidos</v>
      </c>
      <c r="J2030" t="s">
        <v>12</v>
      </c>
    </row>
    <row r="2031" spans="1:10">
      <c r="A2031">
        <v>2024</v>
      </c>
      <c r="B2031">
        <v>10</v>
      </c>
      <c r="C2031">
        <v>8807</v>
      </c>
      <c r="D2031">
        <v>275</v>
      </c>
      <c r="E2031" t="s">
        <v>10</v>
      </c>
      <c r="F2031">
        <v>3449904</v>
      </c>
      <c r="G2031" s="1">
        <v>307</v>
      </c>
      <c r="H2031" s="2">
        <v>449005</v>
      </c>
      <c r="I2031" t="str">
        <f>VLOOKUP(Tabela1[[#This Row],[CO_PAIS]],'[1]nome do paixs'!$A:$B,2,0)</f>
        <v>França</v>
      </c>
      <c r="J2031" t="s">
        <v>12</v>
      </c>
    </row>
    <row r="2032" spans="1:10">
      <c r="A2032">
        <v>2024</v>
      </c>
      <c r="B2032">
        <v>10</v>
      </c>
      <c r="C2032">
        <v>8807</v>
      </c>
      <c r="D2032">
        <v>455</v>
      </c>
      <c r="E2032" t="s">
        <v>10</v>
      </c>
      <c r="F2032">
        <v>3454102</v>
      </c>
      <c r="G2032" s="1">
        <v>2203</v>
      </c>
      <c r="H2032" s="2">
        <v>331213</v>
      </c>
      <c r="I2032" t="str">
        <f>VLOOKUP(Tabela1[[#This Row],[CO_PAIS]],'[1]nome do paixs'!$A:$B,2,0)</f>
        <v>Malásia</v>
      </c>
      <c r="J2032" t="s">
        <v>11</v>
      </c>
    </row>
    <row r="2033" spans="1:10">
      <c r="A2033">
        <v>2024</v>
      </c>
      <c r="B2033">
        <v>10</v>
      </c>
      <c r="C2033">
        <v>8807</v>
      </c>
      <c r="D2033">
        <v>245</v>
      </c>
      <c r="E2033" t="s">
        <v>10</v>
      </c>
      <c r="F2033">
        <v>3424402</v>
      </c>
      <c r="G2033" s="1">
        <v>164</v>
      </c>
      <c r="H2033" s="2">
        <v>50546</v>
      </c>
      <c r="I2033" t="str">
        <f>VLOOKUP(Tabela1[[#This Row],[CO_PAIS]],'[1]nome do paixs'!$A:$B,2,0)</f>
        <v>Espanha</v>
      </c>
      <c r="J2033" t="s">
        <v>13</v>
      </c>
    </row>
    <row r="2034" spans="1:10">
      <c r="A2034">
        <v>2024</v>
      </c>
      <c r="B2034">
        <v>10</v>
      </c>
      <c r="C2034">
        <v>8807</v>
      </c>
      <c r="D2034">
        <v>741</v>
      </c>
      <c r="E2034" t="s">
        <v>10</v>
      </c>
      <c r="F2034">
        <v>3454102</v>
      </c>
      <c r="G2034" s="1">
        <v>321</v>
      </c>
      <c r="H2034" s="2">
        <v>545888</v>
      </c>
      <c r="I2034" t="str">
        <f>VLOOKUP(Tabela1[[#This Row],[CO_PAIS]],'[1]nome do paixs'!$A:$B,2,0)</f>
        <v>Singapura</v>
      </c>
      <c r="J2034" t="s">
        <v>11</v>
      </c>
    </row>
    <row r="2035" spans="1:10">
      <c r="A2035">
        <v>2024</v>
      </c>
      <c r="B2035">
        <v>10</v>
      </c>
      <c r="C2035">
        <v>8807</v>
      </c>
      <c r="D2035">
        <v>607</v>
      </c>
      <c r="E2035" t="s">
        <v>10</v>
      </c>
      <c r="F2035">
        <v>3449904</v>
      </c>
      <c r="G2035" s="1">
        <v>24</v>
      </c>
      <c r="H2035" s="2">
        <v>50040</v>
      </c>
      <c r="I2035" t="str">
        <f>VLOOKUP(Tabela1[[#This Row],[CO_PAIS]],'[1]nome do paixs'!$A:$B,2,0)</f>
        <v>Portugal</v>
      </c>
      <c r="J2035" t="s">
        <v>12</v>
      </c>
    </row>
    <row r="2036" spans="1:10">
      <c r="A2036">
        <v>2024</v>
      </c>
      <c r="B2036">
        <v>10</v>
      </c>
      <c r="C2036">
        <v>8807</v>
      </c>
      <c r="D2036">
        <v>87</v>
      </c>
      <c r="E2036" t="s">
        <v>10</v>
      </c>
      <c r="F2036">
        <v>3454102</v>
      </c>
      <c r="G2036" s="1">
        <v>2189</v>
      </c>
      <c r="H2036" s="2">
        <v>1955711</v>
      </c>
      <c r="I2036" t="str">
        <f>VLOOKUP(Tabela1[[#This Row],[CO_PAIS]],'[1]nome do paixs'!$A:$B,2,0)</f>
        <v>Bélgica</v>
      </c>
      <c r="J2036" t="s">
        <v>11</v>
      </c>
    </row>
    <row r="2037" spans="1:10">
      <c r="A2037">
        <v>2024</v>
      </c>
      <c r="B2037">
        <v>10</v>
      </c>
      <c r="C2037">
        <v>8807</v>
      </c>
      <c r="D2037">
        <v>493</v>
      </c>
      <c r="E2037" t="s">
        <v>10</v>
      </c>
      <c r="F2037">
        <v>3449904</v>
      </c>
      <c r="G2037" s="1">
        <v>2162</v>
      </c>
      <c r="H2037" s="2">
        <v>1275617</v>
      </c>
      <c r="I2037" t="str">
        <f>VLOOKUP(Tabela1[[#This Row],[CO_PAIS]],'[1]nome do paixs'!$A:$B,2,0)</f>
        <v>México</v>
      </c>
      <c r="J2037" t="s">
        <v>12</v>
      </c>
    </row>
    <row r="2038" spans="1:10">
      <c r="A2038">
        <v>2024</v>
      </c>
      <c r="B2038">
        <v>10</v>
      </c>
      <c r="C2038">
        <v>8807</v>
      </c>
      <c r="D2038">
        <v>386</v>
      </c>
      <c r="E2038" t="s">
        <v>10</v>
      </c>
      <c r="F2038">
        <v>3454102</v>
      </c>
      <c r="G2038" s="1">
        <v>379</v>
      </c>
      <c r="H2038" s="2">
        <v>1063746</v>
      </c>
      <c r="I2038" t="str">
        <f>VLOOKUP(Tabela1[[#This Row],[CO_PAIS]],'[1]nome do paixs'!$A:$B,2,0)</f>
        <v>Itália</v>
      </c>
      <c r="J2038" t="s">
        <v>11</v>
      </c>
    </row>
    <row r="2039" spans="1:10">
      <c r="A2039">
        <v>2024</v>
      </c>
      <c r="B2039">
        <v>10</v>
      </c>
      <c r="C2039">
        <v>8807</v>
      </c>
      <c r="D2039">
        <v>386</v>
      </c>
      <c r="E2039" t="s">
        <v>10</v>
      </c>
      <c r="F2039">
        <v>3449904</v>
      </c>
      <c r="G2039" s="1">
        <v>74</v>
      </c>
      <c r="H2039" s="2">
        <v>72458</v>
      </c>
      <c r="I2039" t="str">
        <f>VLOOKUP(Tabela1[[#This Row],[CO_PAIS]],'[1]nome do paixs'!$A:$B,2,0)</f>
        <v>Itália</v>
      </c>
      <c r="J2039" t="s">
        <v>12</v>
      </c>
    </row>
    <row r="2040" spans="1:10">
      <c r="A2040">
        <v>2024</v>
      </c>
      <c r="B2040">
        <v>10</v>
      </c>
      <c r="C2040">
        <v>8807</v>
      </c>
      <c r="D2040">
        <v>72</v>
      </c>
      <c r="E2040" t="s">
        <v>10</v>
      </c>
      <c r="F2040">
        <v>3449904</v>
      </c>
      <c r="G2040" s="1">
        <v>25</v>
      </c>
      <c r="H2040" s="2">
        <v>14321</v>
      </c>
      <c r="I2040" t="str">
        <f>VLOOKUP(Tabela1[[#This Row],[CO_PAIS]],'[1]nome do paixs'!$A:$B,2,0)</f>
        <v>Áustria</v>
      </c>
      <c r="J2040" t="s">
        <v>12</v>
      </c>
    </row>
    <row r="2041" spans="1:10">
      <c r="A2041">
        <v>2024</v>
      </c>
      <c r="B2041">
        <v>10</v>
      </c>
      <c r="C2041">
        <v>8807</v>
      </c>
      <c r="D2041">
        <v>375</v>
      </c>
      <c r="E2041" t="s">
        <v>10</v>
      </c>
      <c r="F2041">
        <v>3449904</v>
      </c>
      <c r="G2041" s="1">
        <v>103</v>
      </c>
      <c r="H2041" s="2">
        <v>52702</v>
      </c>
      <c r="I2041" t="str">
        <f>VLOOKUP(Tabela1[[#This Row],[CO_PAIS]],'[1]nome do paixs'!$A:$B,2,0)</f>
        <v>Irlanda</v>
      </c>
      <c r="J2041" t="s">
        <v>12</v>
      </c>
    </row>
    <row r="2042" spans="1:10">
      <c r="A2042">
        <v>2024</v>
      </c>
      <c r="B2042">
        <v>10</v>
      </c>
      <c r="C2042">
        <v>8807</v>
      </c>
      <c r="D2042">
        <v>161</v>
      </c>
      <c r="E2042" t="s">
        <v>10</v>
      </c>
      <c r="F2042">
        <v>3449904</v>
      </c>
      <c r="G2042" s="1">
        <v>1</v>
      </c>
      <c r="H2042" s="2">
        <v>1345</v>
      </c>
      <c r="I2042" t="str">
        <f>VLOOKUP(Tabela1[[#This Row],[CO_PAIS]],'[1]nome do paixs'!$A:$B,2,0)</f>
        <v>Taiwan (Formosa)</v>
      </c>
      <c r="J2042" t="s">
        <v>12</v>
      </c>
    </row>
    <row r="2043" spans="1:10">
      <c r="A2043">
        <v>2024</v>
      </c>
      <c r="B2043">
        <v>10</v>
      </c>
      <c r="C2043">
        <v>8807</v>
      </c>
      <c r="D2043">
        <v>105</v>
      </c>
      <c r="E2043" t="s">
        <v>10</v>
      </c>
      <c r="F2043">
        <v>3454102</v>
      </c>
      <c r="G2043" s="1">
        <v>3714</v>
      </c>
      <c r="H2043" s="2">
        <v>3396049</v>
      </c>
      <c r="I2043" t="str">
        <f>VLOOKUP(Tabela1[[#This Row],[CO_PAIS]],'[1]nome do paixs'!$A:$B,2,0)</f>
        <v>Brasil</v>
      </c>
      <c r="J2043" t="s">
        <v>11</v>
      </c>
    </row>
    <row r="2044" spans="1:10">
      <c r="A2044">
        <v>2024</v>
      </c>
      <c r="B2044">
        <v>10</v>
      </c>
      <c r="C2044">
        <v>8807</v>
      </c>
      <c r="D2044">
        <v>628</v>
      </c>
      <c r="E2044" t="s">
        <v>10</v>
      </c>
      <c r="F2044">
        <v>3449904</v>
      </c>
      <c r="G2044" s="1">
        <v>1140</v>
      </c>
      <c r="H2044" s="2">
        <v>792567</v>
      </c>
      <c r="I2044" t="str">
        <f>VLOOKUP(Tabela1[[#This Row],[CO_PAIS]],'[1]nome do paixs'!$A:$B,2,0)</f>
        <v>Reino Unido</v>
      </c>
      <c r="J2044" t="s">
        <v>12</v>
      </c>
    </row>
    <row r="2045" spans="1:10">
      <c r="A2045">
        <v>2024</v>
      </c>
      <c r="B2045">
        <v>10</v>
      </c>
      <c r="C2045">
        <v>8807</v>
      </c>
      <c r="D2045">
        <v>245</v>
      </c>
      <c r="E2045" t="s">
        <v>10</v>
      </c>
      <c r="F2045">
        <v>3449904</v>
      </c>
      <c r="G2045" s="1">
        <v>4156</v>
      </c>
      <c r="H2045" s="2">
        <v>2047074</v>
      </c>
      <c r="I2045" t="str">
        <f>VLOOKUP(Tabela1[[#This Row],[CO_PAIS]],'[1]nome do paixs'!$A:$B,2,0)</f>
        <v>Espanha</v>
      </c>
      <c r="J2045" t="s">
        <v>12</v>
      </c>
    </row>
    <row r="2046" spans="1:10">
      <c r="A2046">
        <v>2024</v>
      </c>
      <c r="B2046">
        <v>10</v>
      </c>
      <c r="C2046">
        <v>8807</v>
      </c>
      <c r="D2046">
        <v>190</v>
      </c>
      <c r="E2046" t="s">
        <v>10</v>
      </c>
      <c r="F2046">
        <v>3424402</v>
      </c>
      <c r="G2046" s="1">
        <v>181</v>
      </c>
      <c r="H2046" s="2">
        <v>74422</v>
      </c>
      <c r="I2046" t="str">
        <f>VLOOKUP(Tabela1[[#This Row],[CO_PAIS]],'[1]nome do paixs'!$A:$B,2,0)</f>
        <v>Coreia do Sul</v>
      </c>
      <c r="J2046" t="s">
        <v>13</v>
      </c>
    </row>
    <row r="2047" spans="1:10">
      <c r="A2047">
        <v>2024</v>
      </c>
      <c r="B2047">
        <v>10</v>
      </c>
      <c r="C2047">
        <v>8807</v>
      </c>
      <c r="D2047">
        <v>149</v>
      </c>
      <c r="E2047" t="s">
        <v>10</v>
      </c>
      <c r="F2047">
        <v>3454102</v>
      </c>
      <c r="G2047" s="1">
        <v>85</v>
      </c>
      <c r="H2047" s="2">
        <v>91037</v>
      </c>
      <c r="I2047" t="str">
        <f>VLOOKUP(Tabela1[[#This Row],[CO_PAIS]],'[1]nome do paixs'!$A:$B,2,0)</f>
        <v>Canadá</v>
      </c>
      <c r="J2047" t="s">
        <v>11</v>
      </c>
    </row>
    <row r="2048" spans="1:10">
      <c r="A2048">
        <v>2024</v>
      </c>
      <c r="B2048">
        <v>10</v>
      </c>
      <c r="C2048">
        <v>8807</v>
      </c>
      <c r="D2048">
        <v>190</v>
      </c>
      <c r="E2048" t="s">
        <v>10</v>
      </c>
      <c r="F2048">
        <v>3449904</v>
      </c>
      <c r="G2048" s="1">
        <v>214</v>
      </c>
      <c r="H2048" s="2">
        <v>127523</v>
      </c>
      <c r="I2048" t="str">
        <f>VLOOKUP(Tabela1[[#This Row],[CO_PAIS]],'[1]nome do paixs'!$A:$B,2,0)</f>
        <v>Coreia do Sul</v>
      </c>
      <c r="J2048" t="s">
        <v>12</v>
      </c>
    </row>
    <row r="2049" spans="1:10">
      <c r="A2049">
        <v>2024</v>
      </c>
      <c r="B2049">
        <v>10</v>
      </c>
      <c r="C2049">
        <v>8807</v>
      </c>
      <c r="D2049">
        <v>63</v>
      </c>
      <c r="E2049" t="s">
        <v>10</v>
      </c>
      <c r="F2049">
        <v>3449904</v>
      </c>
      <c r="G2049" s="1">
        <v>0</v>
      </c>
      <c r="H2049" s="2">
        <v>1169</v>
      </c>
      <c r="I2049" t="str">
        <f>VLOOKUP(Tabela1[[#This Row],[CO_PAIS]],'[1]nome do paixs'!$A:$B,2,0)</f>
        <v>Argentina</v>
      </c>
      <c r="J2049" t="s">
        <v>12</v>
      </c>
    </row>
    <row r="2050" spans="1:10">
      <c r="A2050">
        <v>2024</v>
      </c>
      <c r="B2050">
        <v>10</v>
      </c>
      <c r="C2050">
        <v>8807</v>
      </c>
      <c r="D2050">
        <v>493</v>
      </c>
      <c r="E2050" t="s">
        <v>10</v>
      </c>
      <c r="F2050">
        <v>3424402</v>
      </c>
      <c r="G2050" s="1">
        <v>7</v>
      </c>
      <c r="H2050" s="2">
        <v>13931</v>
      </c>
      <c r="I2050" t="str">
        <f>VLOOKUP(Tabela1[[#This Row],[CO_PAIS]],'[1]nome do paixs'!$A:$B,2,0)</f>
        <v>México</v>
      </c>
      <c r="J2050" t="s">
        <v>13</v>
      </c>
    </row>
    <row r="2051" spans="1:10">
      <c r="A2051">
        <v>2024</v>
      </c>
      <c r="B2051">
        <v>10</v>
      </c>
      <c r="C2051">
        <v>8807</v>
      </c>
      <c r="D2051">
        <v>23</v>
      </c>
      <c r="E2051" t="s">
        <v>10</v>
      </c>
      <c r="F2051">
        <v>3449904</v>
      </c>
      <c r="G2051" s="1">
        <v>374</v>
      </c>
      <c r="H2051" s="2">
        <v>512134</v>
      </c>
      <c r="I2051" t="str">
        <f>VLOOKUP(Tabela1[[#This Row],[CO_PAIS]],'[1]nome do paixs'!$A:$B,2,0)</f>
        <v>Alemanha</v>
      </c>
      <c r="J2051" t="s">
        <v>12</v>
      </c>
    </row>
    <row r="2052" spans="1:10">
      <c r="A2052">
        <v>2024</v>
      </c>
      <c r="B2052">
        <v>10</v>
      </c>
      <c r="C2052">
        <v>8807</v>
      </c>
      <c r="D2052">
        <v>87</v>
      </c>
      <c r="E2052" t="s">
        <v>10</v>
      </c>
      <c r="F2052">
        <v>3424402</v>
      </c>
      <c r="G2052" s="1">
        <v>21</v>
      </c>
      <c r="H2052" s="2">
        <v>46591</v>
      </c>
      <c r="I2052" t="str">
        <f>VLOOKUP(Tabela1[[#This Row],[CO_PAIS]],'[1]nome do paixs'!$A:$B,2,0)</f>
        <v>Bélgica</v>
      </c>
      <c r="J2052" t="s">
        <v>13</v>
      </c>
    </row>
    <row r="2053" spans="1:10">
      <c r="A2053">
        <v>2024</v>
      </c>
      <c r="B2053">
        <v>10</v>
      </c>
      <c r="C2053">
        <v>8807</v>
      </c>
      <c r="D2053">
        <v>23</v>
      </c>
      <c r="E2053" t="s">
        <v>10</v>
      </c>
      <c r="F2053">
        <v>3424402</v>
      </c>
      <c r="G2053" s="1">
        <v>48</v>
      </c>
      <c r="H2053" s="2">
        <v>83083</v>
      </c>
      <c r="I2053" t="str">
        <f>VLOOKUP(Tabela1[[#This Row],[CO_PAIS]],'[1]nome do paixs'!$A:$B,2,0)</f>
        <v>Alemanha</v>
      </c>
      <c r="J2053" t="s">
        <v>13</v>
      </c>
    </row>
    <row r="2054" spans="1:10">
      <c r="A2054">
        <v>2024</v>
      </c>
      <c r="B2054">
        <v>10</v>
      </c>
      <c r="C2054">
        <v>8807</v>
      </c>
      <c r="D2054">
        <v>249</v>
      </c>
      <c r="E2054" t="s">
        <v>10</v>
      </c>
      <c r="F2054">
        <v>3454102</v>
      </c>
      <c r="G2054" s="1">
        <v>40542</v>
      </c>
      <c r="H2054" s="2">
        <v>16210086</v>
      </c>
      <c r="I2054" t="str">
        <f>VLOOKUP(Tabela1[[#This Row],[CO_PAIS]],'[1]nome do paixs'!$A:$B,2,0)</f>
        <v>Estados Unidos</v>
      </c>
      <c r="J2054" t="s">
        <v>11</v>
      </c>
    </row>
    <row r="2055" spans="1:10">
      <c r="A2055">
        <v>2024</v>
      </c>
      <c r="B2055">
        <v>10</v>
      </c>
      <c r="C2055">
        <v>8807</v>
      </c>
      <c r="D2055">
        <v>474</v>
      </c>
      <c r="E2055" t="s">
        <v>10</v>
      </c>
      <c r="F2055">
        <v>3454102</v>
      </c>
      <c r="G2055" s="1">
        <v>139</v>
      </c>
      <c r="H2055" s="2">
        <v>363388</v>
      </c>
      <c r="I2055" t="str">
        <f>VLOOKUP(Tabela1[[#This Row],[CO_PAIS]],'[1]nome do paixs'!$A:$B,2,0)</f>
        <v>Marrocos</v>
      </c>
      <c r="J2055" t="s">
        <v>11</v>
      </c>
    </row>
    <row r="2056" spans="1:10">
      <c r="A2056">
        <v>2024</v>
      </c>
      <c r="B2056">
        <v>10</v>
      </c>
      <c r="C2056">
        <v>8807</v>
      </c>
      <c r="D2056">
        <v>249</v>
      </c>
      <c r="E2056" t="s">
        <v>10</v>
      </c>
      <c r="F2056">
        <v>3424402</v>
      </c>
      <c r="G2056" s="1">
        <v>12</v>
      </c>
      <c r="H2056" s="2">
        <v>6186</v>
      </c>
      <c r="I2056" t="str">
        <f>VLOOKUP(Tabela1[[#This Row],[CO_PAIS]],'[1]nome do paixs'!$A:$B,2,0)</f>
        <v>Estados Unidos</v>
      </c>
      <c r="J2056" t="s">
        <v>13</v>
      </c>
    </row>
    <row r="2057" spans="1:10">
      <c r="A2057">
        <v>2024</v>
      </c>
      <c r="B2057">
        <v>10</v>
      </c>
      <c r="C2057">
        <v>8807</v>
      </c>
      <c r="D2057">
        <v>791</v>
      </c>
      <c r="E2057" t="s">
        <v>10</v>
      </c>
      <c r="F2057">
        <v>3424402</v>
      </c>
      <c r="G2057" s="1">
        <v>335</v>
      </c>
      <c r="H2057" s="2">
        <v>285549</v>
      </c>
      <c r="I2057" t="str">
        <f>VLOOKUP(Tabela1[[#This Row],[CO_PAIS]],'[1]nome do paixs'!$A:$B,2,0)</f>
        <v>Tcheca, República</v>
      </c>
      <c r="J2057" t="s">
        <v>13</v>
      </c>
    </row>
    <row r="2058" spans="1:10">
      <c r="A2058">
        <v>2024</v>
      </c>
      <c r="B2058">
        <v>10</v>
      </c>
      <c r="C2058">
        <v>8807</v>
      </c>
      <c r="D2058">
        <v>190</v>
      </c>
      <c r="E2058" t="s">
        <v>10</v>
      </c>
      <c r="F2058">
        <v>3454102</v>
      </c>
      <c r="G2058" s="1">
        <v>12561</v>
      </c>
      <c r="H2058" s="2">
        <v>9013068</v>
      </c>
      <c r="I2058" t="str">
        <f>VLOOKUP(Tabela1[[#This Row],[CO_PAIS]],'[1]nome do paixs'!$A:$B,2,0)</f>
        <v>Coreia do Sul</v>
      </c>
      <c r="J2058" t="s">
        <v>11</v>
      </c>
    </row>
    <row r="2059" spans="1:10">
      <c r="A2059">
        <v>2024</v>
      </c>
      <c r="B2059">
        <v>10</v>
      </c>
      <c r="C2059">
        <v>8807</v>
      </c>
      <c r="D2059">
        <v>72</v>
      </c>
      <c r="E2059" t="s">
        <v>10</v>
      </c>
      <c r="F2059">
        <v>3454102</v>
      </c>
      <c r="G2059" s="1">
        <v>14530</v>
      </c>
      <c r="H2059" s="2">
        <v>2162355</v>
      </c>
      <c r="I2059" t="str">
        <f>VLOOKUP(Tabela1[[#This Row],[CO_PAIS]],'[1]nome do paixs'!$A:$B,2,0)</f>
        <v>Áustria</v>
      </c>
      <c r="J2059" t="s">
        <v>11</v>
      </c>
    </row>
    <row r="2060" spans="1:10">
      <c r="A2060">
        <v>2024</v>
      </c>
      <c r="B2060">
        <v>10</v>
      </c>
      <c r="C2060">
        <v>8807</v>
      </c>
      <c r="D2060">
        <v>791</v>
      </c>
      <c r="E2060" t="s">
        <v>10</v>
      </c>
      <c r="F2060">
        <v>3449904</v>
      </c>
      <c r="G2060" s="1">
        <v>27</v>
      </c>
      <c r="H2060" s="2">
        <v>32790</v>
      </c>
      <c r="I2060" t="str">
        <f>VLOOKUP(Tabela1[[#This Row],[CO_PAIS]],'[1]nome do paixs'!$A:$B,2,0)</f>
        <v>Tcheca, República</v>
      </c>
      <c r="J2060" t="s">
        <v>12</v>
      </c>
    </row>
    <row r="2061" spans="1:10">
      <c r="A2061">
        <v>2024</v>
      </c>
      <c r="B2061">
        <v>10</v>
      </c>
      <c r="C2061">
        <v>8807</v>
      </c>
      <c r="D2061">
        <v>607</v>
      </c>
      <c r="E2061" t="s">
        <v>10</v>
      </c>
      <c r="F2061">
        <v>3454102</v>
      </c>
      <c r="G2061" s="1">
        <v>14500</v>
      </c>
      <c r="H2061" s="2">
        <v>5262698</v>
      </c>
      <c r="I2061" t="str">
        <f>VLOOKUP(Tabela1[[#This Row],[CO_PAIS]],'[1]nome do paixs'!$A:$B,2,0)</f>
        <v>Portugal</v>
      </c>
      <c r="J2061" t="s">
        <v>11</v>
      </c>
    </row>
    <row r="2062" spans="1:10">
      <c r="A2062">
        <v>2024</v>
      </c>
      <c r="B2062">
        <v>10</v>
      </c>
      <c r="C2062">
        <v>8807</v>
      </c>
      <c r="D2062">
        <v>827</v>
      </c>
      <c r="E2062" t="s">
        <v>10</v>
      </c>
      <c r="F2062">
        <v>3449904</v>
      </c>
      <c r="G2062" s="1">
        <v>0</v>
      </c>
      <c r="H2062" s="2">
        <v>610</v>
      </c>
      <c r="I2062" t="str">
        <f>VLOOKUP(Tabela1[[#This Row],[CO_PAIS]],'[1]nome do paixs'!$A:$B,2,0)</f>
        <v>Turquia</v>
      </c>
      <c r="J2062" t="s">
        <v>12</v>
      </c>
    </row>
    <row r="2063" spans="1:10">
      <c r="A2063">
        <v>2024</v>
      </c>
      <c r="B2063">
        <v>10</v>
      </c>
      <c r="C2063">
        <v>8807</v>
      </c>
      <c r="D2063">
        <v>741</v>
      </c>
      <c r="E2063" t="s">
        <v>10</v>
      </c>
      <c r="F2063">
        <v>3449904</v>
      </c>
      <c r="G2063" s="1">
        <v>315</v>
      </c>
      <c r="H2063" s="2">
        <v>362451</v>
      </c>
      <c r="I2063" t="str">
        <f>VLOOKUP(Tabela1[[#This Row],[CO_PAIS]],'[1]nome do paixs'!$A:$B,2,0)</f>
        <v>Singapura</v>
      </c>
      <c r="J2063" t="s">
        <v>12</v>
      </c>
    </row>
    <row r="2064" spans="1:10">
      <c r="A2064">
        <v>2023</v>
      </c>
      <c r="B2064">
        <v>10</v>
      </c>
      <c r="C2064">
        <v>8807</v>
      </c>
      <c r="D2064">
        <v>399</v>
      </c>
      <c r="E2064" t="s">
        <v>10</v>
      </c>
      <c r="F2064">
        <v>3449904</v>
      </c>
      <c r="G2064" s="1">
        <v>153</v>
      </c>
      <c r="H2064" s="2">
        <v>114501</v>
      </c>
      <c r="I2064" t="str">
        <f>VLOOKUP(Tabela1[[#This Row],[CO_PAIS]],'[1]nome do paixs'!$A:$B,2,0)</f>
        <v>Japão</v>
      </c>
      <c r="J2064" t="s">
        <v>12</v>
      </c>
    </row>
    <row r="2065" spans="1:10">
      <c r="A2065">
        <v>2023</v>
      </c>
      <c r="B2065">
        <v>10</v>
      </c>
      <c r="C2065">
        <v>8807</v>
      </c>
      <c r="D2065">
        <v>375</v>
      </c>
      <c r="E2065" t="s">
        <v>10</v>
      </c>
      <c r="F2065">
        <v>3454102</v>
      </c>
      <c r="G2065" s="1">
        <v>26</v>
      </c>
      <c r="H2065" s="2">
        <v>16827</v>
      </c>
      <c r="I2065" t="str">
        <f>VLOOKUP(Tabela1[[#This Row],[CO_PAIS]],'[1]nome do paixs'!$A:$B,2,0)</f>
        <v>Irlanda</v>
      </c>
      <c r="J2065" t="s">
        <v>11</v>
      </c>
    </row>
    <row r="2066" spans="1:10">
      <c r="A2066">
        <v>2023</v>
      </c>
      <c r="B2066">
        <v>10</v>
      </c>
      <c r="C2066">
        <v>8807</v>
      </c>
      <c r="D2066">
        <v>275</v>
      </c>
      <c r="E2066" t="s">
        <v>10</v>
      </c>
      <c r="F2066">
        <v>3454102</v>
      </c>
      <c r="G2066" s="1">
        <v>205</v>
      </c>
      <c r="H2066" s="2">
        <v>99809</v>
      </c>
      <c r="I2066" t="str">
        <f>VLOOKUP(Tabela1[[#This Row],[CO_PAIS]],'[1]nome do paixs'!$A:$B,2,0)</f>
        <v>França</v>
      </c>
      <c r="J2066" t="s">
        <v>11</v>
      </c>
    </row>
    <row r="2067" spans="1:10">
      <c r="A2067">
        <v>2023</v>
      </c>
      <c r="B2067">
        <v>10</v>
      </c>
      <c r="C2067">
        <v>8807</v>
      </c>
      <c r="D2067">
        <v>245</v>
      </c>
      <c r="E2067" t="s">
        <v>10</v>
      </c>
      <c r="F2067">
        <v>3424402</v>
      </c>
      <c r="G2067" s="1">
        <v>237</v>
      </c>
      <c r="H2067" s="2">
        <v>76686</v>
      </c>
      <c r="I2067" t="str">
        <f>VLOOKUP(Tabela1[[#This Row],[CO_PAIS]],'[1]nome do paixs'!$A:$B,2,0)</f>
        <v>Espanha</v>
      </c>
      <c r="J2067" t="s">
        <v>13</v>
      </c>
    </row>
    <row r="2068" spans="1:10">
      <c r="A2068">
        <v>2023</v>
      </c>
      <c r="B2068">
        <v>10</v>
      </c>
      <c r="C2068">
        <v>8807</v>
      </c>
      <c r="D2068">
        <v>628</v>
      </c>
      <c r="E2068" t="s">
        <v>10</v>
      </c>
      <c r="F2068">
        <v>3449904</v>
      </c>
      <c r="G2068" s="1">
        <v>546</v>
      </c>
      <c r="H2068" s="2">
        <v>601003</v>
      </c>
      <c r="I2068" t="str">
        <f>VLOOKUP(Tabela1[[#This Row],[CO_PAIS]],'[1]nome do paixs'!$A:$B,2,0)</f>
        <v>Reino Unido</v>
      </c>
      <c r="J2068" t="s">
        <v>12</v>
      </c>
    </row>
    <row r="2069" spans="1:10">
      <c r="A2069">
        <v>2023</v>
      </c>
      <c r="B2069">
        <v>10</v>
      </c>
      <c r="C2069">
        <v>8807</v>
      </c>
      <c r="D2069">
        <v>791</v>
      </c>
      <c r="E2069" t="s">
        <v>10</v>
      </c>
      <c r="F2069">
        <v>3424402</v>
      </c>
      <c r="G2069" s="1">
        <v>297</v>
      </c>
      <c r="H2069" s="2">
        <v>232771</v>
      </c>
      <c r="I2069" t="str">
        <f>VLOOKUP(Tabela1[[#This Row],[CO_PAIS]],'[1]nome do paixs'!$A:$B,2,0)</f>
        <v>Tcheca, República</v>
      </c>
      <c r="J2069" t="s">
        <v>13</v>
      </c>
    </row>
    <row r="2070" spans="1:10">
      <c r="A2070">
        <v>2023</v>
      </c>
      <c r="B2070">
        <v>10</v>
      </c>
      <c r="C2070">
        <v>8807</v>
      </c>
      <c r="D2070">
        <v>87</v>
      </c>
      <c r="E2070" t="s">
        <v>10</v>
      </c>
      <c r="F2070">
        <v>3454102</v>
      </c>
      <c r="G2070" s="1">
        <v>1333</v>
      </c>
      <c r="H2070" s="2">
        <v>1237145</v>
      </c>
      <c r="I2070" t="str">
        <f>VLOOKUP(Tabela1[[#This Row],[CO_PAIS]],'[1]nome do paixs'!$A:$B,2,0)</f>
        <v>Bélgica</v>
      </c>
      <c r="J2070" t="s">
        <v>11</v>
      </c>
    </row>
    <row r="2071" spans="1:10">
      <c r="A2071">
        <v>2023</v>
      </c>
      <c r="B2071">
        <v>10</v>
      </c>
      <c r="C2071">
        <v>8807</v>
      </c>
      <c r="D2071">
        <v>190</v>
      </c>
      <c r="E2071" t="s">
        <v>10</v>
      </c>
      <c r="F2071">
        <v>3449904</v>
      </c>
      <c r="G2071" s="1">
        <v>1</v>
      </c>
      <c r="H2071" s="2">
        <v>4477</v>
      </c>
      <c r="I2071" t="str">
        <f>VLOOKUP(Tabela1[[#This Row],[CO_PAIS]],'[1]nome do paixs'!$A:$B,2,0)</f>
        <v>Coreia do Sul</v>
      </c>
      <c r="J2071" t="s">
        <v>12</v>
      </c>
    </row>
    <row r="2072" spans="1:10">
      <c r="A2072">
        <v>2023</v>
      </c>
      <c r="B2072">
        <v>10</v>
      </c>
      <c r="C2072">
        <v>8807</v>
      </c>
      <c r="D2072">
        <v>23</v>
      </c>
      <c r="E2072" t="s">
        <v>10</v>
      </c>
      <c r="F2072">
        <v>3454102</v>
      </c>
      <c r="G2072" s="1">
        <v>2890</v>
      </c>
      <c r="H2072" s="2">
        <v>276418</v>
      </c>
      <c r="I2072" t="str">
        <f>VLOOKUP(Tabela1[[#This Row],[CO_PAIS]],'[1]nome do paixs'!$A:$B,2,0)</f>
        <v>Alemanha</v>
      </c>
      <c r="J2072" t="s">
        <v>11</v>
      </c>
    </row>
    <row r="2073" spans="1:10">
      <c r="A2073">
        <v>2023</v>
      </c>
      <c r="B2073">
        <v>10</v>
      </c>
      <c r="C2073">
        <v>8807</v>
      </c>
      <c r="D2073">
        <v>105</v>
      </c>
      <c r="E2073" t="s">
        <v>10</v>
      </c>
      <c r="F2073">
        <v>3449904</v>
      </c>
      <c r="G2073" s="1">
        <v>2148</v>
      </c>
      <c r="H2073" s="2">
        <v>1185622</v>
      </c>
      <c r="I2073" t="str">
        <f>VLOOKUP(Tabela1[[#This Row],[CO_PAIS]],'[1]nome do paixs'!$A:$B,2,0)</f>
        <v>Brasil</v>
      </c>
      <c r="J2073" t="s">
        <v>12</v>
      </c>
    </row>
    <row r="2074" spans="1:10">
      <c r="A2074">
        <v>2023</v>
      </c>
      <c r="B2074">
        <v>10</v>
      </c>
      <c r="C2074">
        <v>8807</v>
      </c>
      <c r="D2074">
        <v>375</v>
      </c>
      <c r="E2074" t="s">
        <v>10</v>
      </c>
      <c r="F2074">
        <v>3449904</v>
      </c>
      <c r="G2074" s="1">
        <v>8</v>
      </c>
      <c r="H2074" s="2">
        <v>6150</v>
      </c>
      <c r="I2074" t="str">
        <f>VLOOKUP(Tabela1[[#This Row],[CO_PAIS]],'[1]nome do paixs'!$A:$B,2,0)</f>
        <v>Irlanda</v>
      </c>
      <c r="J2074" t="s">
        <v>12</v>
      </c>
    </row>
    <row r="2075" spans="1:10">
      <c r="A2075">
        <v>2023</v>
      </c>
      <c r="B2075">
        <v>10</v>
      </c>
      <c r="C2075">
        <v>8807</v>
      </c>
      <c r="D2075">
        <v>741</v>
      </c>
      <c r="E2075" t="s">
        <v>10</v>
      </c>
      <c r="F2075">
        <v>3449904</v>
      </c>
      <c r="G2075" s="1">
        <v>45</v>
      </c>
      <c r="H2075" s="2">
        <v>52252</v>
      </c>
      <c r="I2075" t="str">
        <f>VLOOKUP(Tabela1[[#This Row],[CO_PAIS]],'[1]nome do paixs'!$A:$B,2,0)</f>
        <v>Singapura</v>
      </c>
      <c r="J2075" t="s">
        <v>12</v>
      </c>
    </row>
    <row r="2076" spans="1:10">
      <c r="A2076">
        <v>2023</v>
      </c>
      <c r="B2076">
        <v>10</v>
      </c>
      <c r="C2076">
        <v>8807</v>
      </c>
      <c r="D2076">
        <v>275</v>
      </c>
      <c r="E2076" t="s">
        <v>10</v>
      </c>
      <c r="F2076">
        <v>3424402</v>
      </c>
      <c r="G2076" s="1">
        <v>372</v>
      </c>
      <c r="H2076" s="2">
        <v>532130</v>
      </c>
      <c r="I2076" t="str">
        <f>VLOOKUP(Tabela1[[#This Row],[CO_PAIS]],'[1]nome do paixs'!$A:$B,2,0)</f>
        <v>França</v>
      </c>
      <c r="J2076" t="s">
        <v>13</v>
      </c>
    </row>
    <row r="2077" spans="1:10">
      <c r="A2077">
        <v>2023</v>
      </c>
      <c r="B2077">
        <v>10</v>
      </c>
      <c r="C2077">
        <v>8807</v>
      </c>
      <c r="D2077">
        <v>455</v>
      </c>
      <c r="E2077" t="s">
        <v>10</v>
      </c>
      <c r="F2077">
        <v>3449904</v>
      </c>
      <c r="G2077" s="1">
        <v>0</v>
      </c>
      <c r="H2077" s="2">
        <v>7882</v>
      </c>
      <c r="I2077" t="str">
        <f>VLOOKUP(Tabela1[[#This Row],[CO_PAIS]],'[1]nome do paixs'!$A:$B,2,0)</f>
        <v>Malásia</v>
      </c>
      <c r="J2077" t="s">
        <v>12</v>
      </c>
    </row>
    <row r="2078" spans="1:10">
      <c r="A2078">
        <v>2023</v>
      </c>
      <c r="B2078">
        <v>10</v>
      </c>
      <c r="C2078">
        <v>8807</v>
      </c>
      <c r="D2078">
        <v>628</v>
      </c>
      <c r="E2078" t="s">
        <v>10</v>
      </c>
      <c r="F2078">
        <v>3454102</v>
      </c>
      <c r="G2078" s="1">
        <v>105</v>
      </c>
      <c r="H2078" s="2">
        <v>176111</v>
      </c>
      <c r="I2078" t="str">
        <f>VLOOKUP(Tabela1[[#This Row],[CO_PAIS]],'[1]nome do paixs'!$A:$B,2,0)</f>
        <v>Reino Unido</v>
      </c>
      <c r="J2078" t="s">
        <v>11</v>
      </c>
    </row>
    <row r="2079" spans="1:10">
      <c r="A2079">
        <v>2023</v>
      </c>
      <c r="B2079">
        <v>10</v>
      </c>
      <c r="C2079">
        <v>8807</v>
      </c>
      <c r="D2079">
        <v>23</v>
      </c>
      <c r="E2079" t="s">
        <v>10</v>
      </c>
      <c r="F2079">
        <v>3449904</v>
      </c>
      <c r="G2079" s="1">
        <v>194</v>
      </c>
      <c r="H2079" s="2">
        <v>200732</v>
      </c>
      <c r="I2079" t="str">
        <f>VLOOKUP(Tabela1[[#This Row],[CO_PAIS]],'[1]nome do paixs'!$A:$B,2,0)</f>
        <v>Alemanha</v>
      </c>
      <c r="J2079" t="s">
        <v>12</v>
      </c>
    </row>
    <row r="2080" spans="1:10">
      <c r="A2080">
        <v>2023</v>
      </c>
      <c r="B2080">
        <v>10</v>
      </c>
      <c r="C2080">
        <v>8807</v>
      </c>
      <c r="D2080">
        <v>386</v>
      </c>
      <c r="E2080" t="s">
        <v>10</v>
      </c>
      <c r="F2080">
        <v>3449904</v>
      </c>
      <c r="G2080" s="1">
        <v>2</v>
      </c>
      <c r="H2080" s="2">
        <v>932</v>
      </c>
      <c r="I2080" t="str">
        <f>VLOOKUP(Tabela1[[#This Row],[CO_PAIS]],'[1]nome do paixs'!$A:$B,2,0)</f>
        <v>Itália</v>
      </c>
      <c r="J2080" t="s">
        <v>12</v>
      </c>
    </row>
    <row r="2081" spans="1:10">
      <c r="A2081">
        <v>2023</v>
      </c>
      <c r="B2081">
        <v>10</v>
      </c>
      <c r="C2081">
        <v>8807</v>
      </c>
      <c r="D2081">
        <v>275</v>
      </c>
      <c r="E2081" t="s">
        <v>10</v>
      </c>
      <c r="F2081">
        <v>3449904</v>
      </c>
      <c r="G2081" s="1">
        <v>148</v>
      </c>
      <c r="H2081" s="2">
        <v>189134</v>
      </c>
      <c r="I2081" t="str">
        <f>VLOOKUP(Tabela1[[#This Row],[CO_PAIS]],'[1]nome do paixs'!$A:$B,2,0)</f>
        <v>França</v>
      </c>
      <c r="J2081" t="s">
        <v>12</v>
      </c>
    </row>
    <row r="2082" spans="1:10">
      <c r="A2082">
        <v>2023</v>
      </c>
      <c r="B2082">
        <v>10</v>
      </c>
      <c r="C2082">
        <v>8807</v>
      </c>
      <c r="D2082">
        <v>493</v>
      </c>
      <c r="E2082" t="s">
        <v>10</v>
      </c>
      <c r="F2082">
        <v>3454102</v>
      </c>
      <c r="G2082" s="1">
        <v>7549</v>
      </c>
      <c r="H2082" s="2">
        <v>4112069</v>
      </c>
      <c r="I2082" t="str">
        <f>VLOOKUP(Tabela1[[#This Row],[CO_PAIS]],'[1]nome do paixs'!$A:$B,2,0)</f>
        <v>México</v>
      </c>
      <c r="J2082" t="s">
        <v>11</v>
      </c>
    </row>
    <row r="2083" spans="1:10">
      <c r="A2083">
        <v>2023</v>
      </c>
      <c r="B2083">
        <v>10</v>
      </c>
      <c r="C2083">
        <v>8807</v>
      </c>
      <c r="D2083">
        <v>105</v>
      </c>
      <c r="E2083" t="s">
        <v>10</v>
      </c>
      <c r="F2083">
        <v>3454102</v>
      </c>
      <c r="G2083" s="1">
        <v>4687</v>
      </c>
      <c r="H2083" s="2">
        <v>5049737</v>
      </c>
      <c r="I2083" t="str">
        <f>VLOOKUP(Tabela1[[#This Row],[CO_PAIS]],'[1]nome do paixs'!$A:$B,2,0)</f>
        <v>Brasil</v>
      </c>
      <c r="J2083" t="s">
        <v>11</v>
      </c>
    </row>
    <row r="2084" spans="1:10">
      <c r="A2084">
        <v>2023</v>
      </c>
      <c r="B2084">
        <v>10</v>
      </c>
      <c r="C2084">
        <v>8807</v>
      </c>
      <c r="D2084">
        <v>245</v>
      </c>
      <c r="E2084" t="s">
        <v>10</v>
      </c>
      <c r="F2084">
        <v>3454102</v>
      </c>
      <c r="G2084" s="1">
        <v>623</v>
      </c>
      <c r="H2084" s="2">
        <v>317545</v>
      </c>
      <c r="I2084" t="str">
        <f>VLOOKUP(Tabela1[[#This Row],[CO_PAIS]],'[1]nome do paixs'!$A:$B,2,0)</f>
        <v>Espanha</v>
      </c>
      <c r="J2084" t="s">
        <v>11</v>
      </c>
    </row>
    <row r="2085" spans="1:10">
      <c r="A2085">
        <v>2023</v>
      </c>
      <c r="B2085">
        <v>10</v>
      </c>
      <c r="C2085">
        <v>8807</v>
      </c>
      <c r="D2085">
        <v>249</v>
      </c>
      <c r="E2085" t="s">
        <v>10</v>
      </c>
      <c r="F2085">
        <v>3424402</v>
      </c>
      <c r="G2085" s="1">
        <v>221</v>
      </c>
      <c r="H2085" s="2">
        <v>110289</v>
      </c>
      <c r="I2085" t="str">
        <f>VLOOKUP(Tabela1[[#This Row],[CO_PAIS]],'[1]nome do paixs'!$A:$B,2,0)</f>
        <v>Estados Unidos</v>
      </c>
      <c r="J2085" t="s">
        <v>13</v>
      </c>
    </row>
    <row r="2086" spans="1:10">
      <c r="A2086">
        <v>2023</v>
      </c>
      <c r="B2086">
        <v>10</v>
      </c>
      <c r="C2086">
        <v>8807</v>
      </c>
      <c r="D2086">
        <v>87</v>
      </c>
      <c r="E2086" t="s">
        <v>10</v>
      </c>
      <c r="F2086">
        <v>3449904</v>
      </c>
      <c r="G2086" s="1">
        <v>1153</v>
      </c>
      <c r="H2086" s="2">
        <v>1169589</v>
      </c>
      <c r="I2086" t="str">
        <f>VLOOKUP(Tabela1[[#This Row],[CO_PAIS]],'[1]nome do paixs'!$A:$B,2,0)</f>
        <v>Bélgica</v>
      </c>
      <c r="J2086" t="s">
        <v>12</v>
      </c>
    </row>
    <row r="2087" spans="1:10">
      <c r="A2087">
        <v>2023</v>
      </c>
      <c r="B2087">
        <v>10</v>
      </c>
      <c r="C2087">
        <v>8807</v>
      </c>
      <c r="D2087">
        <v>474</v>
      </c>
      <c r="E2087" t="s">
        <v>10</v>
      </c>
      <c r="F2087">
        <v>3449904</v>
      </c>
      <c r="G2087" s="1">
        <v>9</v>
      </c>
      <c r="H2087" s="2">
        <v>36923</v>
      </c>
      <c r="I2087" t="str">
        <f>VLOOKUP(Tabela1[[#This Row],[CO_PAIS]],'[1]nome do paixs'!$A:$B,2,0)</f>
        <v>Marrocos</v>
      </c>
      <c r="J2087" t="s">
        <v>12</v>
      </c>
    </row>
    <row r="2088" spans="1:10">
      <c r="A2088">
        <v>2023</v>
      </c>
      <c r="B2088">
        <v>10</v>
      </c>
      <c r="C2088">
        <v>8807</v>
      </c>
      <c r="D2088">
        <v>149</v>
      </c>
      <c r="E2088" t="s">
        <v>10</v>
      </c>
      <c r="F2088">
        <v>3454102</v>
      </c>
      <c r="G2088" s="1">
        <v>15</v>
      </c>
      <c r="H2088" s="2">
        <v>17843</v>
      </c>
      <c r="I2088" t="str">
        <f>VLOOKUP(Tabela1[[#This Row],[CO_PAIS]],'[1]nome do paixs'!$A:$B,2,0)</f>
        <v>Canadá</v>
      </c>
      <c r="J2088" t="s">
        <v>11</v>
      </c>
    </row>
    <row r="2089" spans="1:10">
      <c r="A2089">
        <v>2023</v>
      </c>
      <c r="B2089">
        <v>10</v>
      </c>
      <c r="C2089">
        <v>8807</v>
      </c>
      <c r="D2089">
        <v>767</v>
      </c>
      <c r="E2089" t="s">
        <v>10</v>
      </c>
      <c r="F2089">
        <v>3449904</v>
      </c>
      <c r="G2089" s="1">
        <v>3</v>
      </c>
      <c r="H2089" s="2">
        <v>3687</v>
      </c>
      <c r="I2089" t="str">
        <f>VLOOKUP(Tabela1[[#This Row],[CO_PAIS]],'[1]nome do paixs'!$A:$B,2,0)</f>
        <v>Suíça</v>
      </c>
      <c r="J2089" t="s">
        <v>12</v>
      </c>
    </row>
    <row r="2090" spans="1:10">
      <c r="A2090">
        <v>2023</v>
      </c>
      <c r="B2090">
        <v>10</v>
      </c>
      <c r="C2090">
        <v>8807</v>
      </c>
      <c r="D2090">
        <v>190</v>
      </c>
      <c r="E2090" t="s">
        <v>10</v>
      </c>
      <c r="F2090">
        <v>3454102</v>
      </c>
      <c r="G2090" s="1">
        <v>4568</v>
      </c>
      <c r="H2090" s="2">
        <v>4424057</v>
      </c>
      <c r="I2090" t="str">
        <f>VLOOKUP(Tabela1[[#This Row],[CO_PAIS]],'[1]nome do paixs'!$A:$B,2,0)</f>
        <v>Coreia do Sul</v>
      </c>
      <c r="J2090" t="s">
        <v>11</v>
      </c>
    </row>
    <row r="2091" spans="1:10">
      <c r="A2091">
        <v>2023</v>
      </c>
      <c r="B2091">
        <v>10</v>
      </c>
      <c r="C2091">
        <v>8807</v>
      </c>
      <c r="D2091">
        <v>249</v>
      </c>
      <c r="E2091" t="s">
        <v>10</v>
      </c>
      <c r="F2091">
        <v>3454102</v>
      </c>
      <c r="G2091" s="1">
        <v>22581</v>
      </c>
      <c r="H2091" s="2">
        <v>8441765</v>
      </c>
      <c r="I2091" t="str">
        <f>VLOOKUP(Tabela1[[#This Row],[CO_PAIS]],'[1]nome do paixs'!$A:$B,2,0)</f>
        <v>Estados Unidos</v>
      </c>
      <c r="J2091" t="s">
        <v>11</v>
      </c>
    </row>
    <row r="2092" spans="1:10">
      <c r="A2092">
        <v>2023</v>
      </c>
      <c r="B2092">
        <v>10</v>
      </c>
      <c r="C2092">
        <v>8807</v>
      </c>
      <c r="D2092">
        <v>72</v>
      </c>
      <c r="E2092" t="s">
        <v>10</v>
      </c>
      <c r="F2092">
        <v>3454102</v>
      </c>
      <c r="G2092" s="1">
        <v>1649</v>
      </c>
      <c r="H2092" s="2">
        <v>292310</v>
      </c>
      <c r="I2092" t="str">
        <f>VLOOKUP(Tabela1[[#This Row],[CO_PAIS]],'[1]nome do paixs'!$A:$B,2,0)</f>
        <v>Áustria</v>
      </c>
      <c r="J2092" t="s">
        <v>11</v>
      </c>
    </row>
    <row r="2093" spans="1:10">
      <c r="A2093">
        <v>2023</v>
      </c>
      <c r="B2093">
        <v>10</v>
      </c>
      <c r="C2093">
        <v>8807</v>
      </c>
      <c r="D2093">
        <v>190</v>
      </c>
      <c r="E2093" t="s">
        <v>10</v>
      </c>
      <c r="F2093">
        <v>3424402</v>
      </c>
      <c r="G2093" s="1">
        <v>82</v>
      </c>
      <c r="H2093" s="2">
        <v>33412</v>
      </c>
      <c r="I2093" t="str">
        <f>VLOOKUP(Tabela1[[#This Row],[CO_PAIS]],'[1]nome do paixs'!$A:$B,2,0)</f>
        <v>Coreia do Sul</v>
      </c>
      <c r="J2093" t="s">
        <v>13</v>
      </c>
    </row>
    <row r="2094" spans="1:10">
      <c r="A2094">
        <v>2023</v>
      </c>
      <c r="B2094">
        <v>10</v>
      </c>
      <c r="C2094">
        <v>8807</v>
      </c>
      <c r="D2094">
        <v>23</v>
      </c>
      <c r="E2094" t="s">
        <v>10</v>
      </c>
      <c r="F2094">
        <v>3424402</v>
      </c>
      <c r="G2094" s="1">
        <v>5</v>
      </c>
      <c r="H2094" s="2">
        <v>5089</v>
      </c>
      <c r="I2094" t="str">
        <f>VLOOKUP(Tabela1[[#This Row],[CO_PAIS]],'[1]nome do paixs'!$A:$B,2,0)</f>
        <v>Alemanha</v>
      </c>
      <c r="J2094" t="s">
        <v>13</v>
      </c>
    </row>
    <row r="2095" spans="1:10">
      <c r="A2095">
        <v>2023</v>
      </c>
      <c r="B2095">
        <v>10</v>
      </c>
      <c r="C2095">
        <v>8807</v>
      </c>
      <c r="D2095">
        <v>607</v>
      </c>
      <c r="E2095" t="s">
        <v>10</v>
      </c>
      <c r="F2095">
        <v>3449904</v>
      </c>
      <c r="G2095" s="1">
        <v>96</v>
      </c>
      <c r="H2095" s="2">
        <v>109658</v>
      </c>
      <c r="I2095" t="str">
        <f>VLOOKUP(Tabela1[[#This Row],[CO_PAIS]],'[1]nome do paixs'!$A:$B,2,0)</f>
        <v>Portugal</v>
      </c>
      <c r="J2095" t="s">
        <v>12</v>
      </c>
    </row>
    <row r="2096" spans="1:10">
      <c r="A2096">
        <v>2023</v>
      </c>
      <c r="B2096">
        <v>10</v>
      </c>
      <c r="C2096">
        <v>8807</v>
      </c>
      <c r="D2096">
        <v>676</v>
      </c>
      <c r="E2096" t="s">
        <v>10</v>
      </c>
      <c r="F2096">
        <v>3454102</v>
      </c>
      <c r="G2096" s="1">
        <v>901</v>
      </c>
      <c r="H2096" s="2">
        <v>87689</v>
      </c>
      <c r="I2096" t="str">
        <f>VLOOKUP(Tabela1[[#This Row],[CO_PAIS]],'[1]nome do paixs'!$A:$B,2,0)</f>
        <v>Rússia</v>
      </c>
      <c r="J2096" t="s">
        <v>11</v>
      </c>
    </row>
    <row r="2097" spans="1:10">
      <c r="A2097">
        <v>2023</v>
      </c>
      <c r="B2097">
        <v>10</v>
      </c>
      <c r="C2097">
        <v>8807</v>
      </c>
      <c r="D2097">
        <v>493</v>
      </c>
      <c r="E2097" t="s">
        <v>10</v>
      </c>
      <c r="F2097">
        <v>3449904</v>
      </c>
      <c r="G2097" s="1">
        <v>5278</v>
      </c>
      <c r="H2097" s="2">
        <v>2765708</v>
      </c>
      <c r="I2097" t="str">
        <f>VLOOKUP(Tabela1[[#This Row],[CO_PAIS]],'[1]nome do paixs'!$A:$B,2,0)</f>
        <v>México</v>
      </c>
      <c r="J2097" t="s">
        <v>12</v>
      </c>
    </row>
    <row r="2098" spans="1:10">
      <c r="A2098">
        <v>2023</v>
      </c>
      <c r="B2098">
        <v>10</v>
      </c>
      <c r="C2098">
        <v>8807</v>
      </c>
      <c r="D2098">
        <v>399</v>
      </c>
      <c r="E2098" t="s">
        <v>10</v>
      </c>
      <c r="F2098">
        <v>3454102</v>
      </c>
      <c r="G2098" s="1">
        <v>1405</v>
      </c>
      <c r="H2098" s="2">
        <v>697413</v>
      </c>
      <c r="I2098" t="str">
        <f>VLOOKUP(Tabela1[[#This Row],[CO_PAIS]],'[1]nome do paixs'!$A:$B,2,0)</f>
        <v>Japão</v>
      </c>
      <c r="J2098" t="s">
        <v>11</v>
      </c>
    </row>
    <row r="2099" spans="1:10">
      <c r="A2099">
        <v>2023</v>
      </c>
      <c r="B2099">
        <v>10</v>
      </c>
      <c r="C2099">
        <v>8807</v>
      </c>
      <c r="D2099">
        <v>87</v>
      </c>
      <c r="E2099" t="s">
        <v>10</v>
      </c>
      <c r="F2099">
        <v>3424402</v>
      </c>
      <c r="G2099" s="1">
        <v>1</v>
      </c>
      <c r="H2099" s="2">
        <v>7027</v>
      </c>
      <c r="I2099" t="str">
        <f>VLOOKUP(Tabela1[[#This Row],[CO_PAIS]],'[1]nome do paixs'!$A:$B,2,0)</f>
        <v>Bélgica</v>
      </c>
      <c r="J2099" t="s">
        <v>13</v>
      </c>
    </row>
    <row r="2100" spans="1:10">
      <c r="A2100">
        <v>2023</v>
      </c>
      <c r="B2100">
        <v>10</v>
      </c>
      <c r="C2100">
        <v>8807</v>
      </c>
      <c r="D2100">
        <v>625</v>
      </c>
      <c r="E2100" t="s">
        <v>10</v>
      </c>
      <c r="F2100">
        <v>3449904</v>
      </c>
      <c r="G2100" s="1">
        <v>121</v>
      </c>
      <c r="H2100" s="2">
        <v>525</v>
      </c>
      <c r="I2100" t="str">
        <f>VLOOKUP(Tabela1[[#This Row],[CO_PAIS]],'[1]nome do paixs'!$A:$B,2,0)</f>
        <v>Quirguistão</v>
      </c>
      <c r="J2100" t="s">
        <v>12</v>
      </c>
    </row>
    <row r="2101" spans="1:10">
      <c r="A2101">
        <v>2023</v>
      </c>
      <c r="B2101">
        <v>10</v>
      </c>
      <c r="C2101">
        <v>8807</v>
      </c>
      <c r="D2101">
        <v>249</v>
      </c>
      <c r="E2101" t="s">
        <v>10</v>
      </c>
      <c r="F2101">
        <v>3449904</v>
      </c>
      <c r="G2101" s="1">
        <v>6587</v>
      </c>
      <c r="H2101" s="2">
        <v>4521077</v>
      </c>
      <c r="I2101" t="str">
        <f>VLOOKUP(Tabela1[[#This Row],[CO_PAIS]],'[1]nome do paixs'!$A:$B,2,0)</f>
        <v>Estados Unidos</v>
      </c>
      <c r="J2101" t="s">
        <v>12</v>
      </c>
    </row>
    <row r="2102" spans="1:10">
      <c r="A2102">
        <v>2023</v>
      </c>
      <c r="B2102">
        <v>10</v>
      </c>
      <c r="C2102">
        <v>8807</v>
      </c>
      <c r="D2102">
        <v>160</v>
      </c>
      <c r="E2102" t="s">
        <v>10</v>
      </c>
      <c r="F2102">
        <v>3449904</v>
      </c>
      <c r="G2102" s="1">
        <v>15</v>
      </c>
      <c r="H2102" s="2">
        <v>957</v>
      </c>
      <c r="I2102" t="str">
        <f>VLOOKUP(Tabela1[[#This Row],[CO_PAIS]],'[1]nome do paixs'!$A:$B,2,0)</f>
        <v>China</v>
      </c>
      <c r="J2102" t="s">
        <v>12</v>
      </c>
    </row>
    <row r="2103" spans="1:10">
      <c r="A2103">
        <v>2023</v>
      </c>
      <c r="B2103">
        <v>10</v>
      </c>
      <c r="C2103">
        <v>8807</v>
      </c>
      <c r="D2103">
        <v>361</v>
      </c>
      <c r="E2103" t="s">
        <v>10</v>
      </c>
      <c r="F2103">
        <v>3449904</v>
      </c>
      <c r="G2103" s="1">
        <v>67</v>
      </c>
      <c r="H2103" s="2">
        <v>32076</v>
      </c>
      <c r="I2103" t="str">
        <f>VLOOKUP(Tabela1[[#This Row],[CO_PAIS]],'[1]nome do paixs'!$A:$B,2,0)</f>
        <v>Índia</v>
      </c>
      <c r="J2103" t="s">
        <v>12</v>
      </c>
    </row>
    <row r="2104" spans="1:10">
      <c r="A2104">
        <v>2023</v>
      </c>
      <c r="B2104">
        <v>10</v>
      </c>
      <c r="C2104">
        <v>8807</v>
      </c>
      <c r="D2104">
        <v>461</v>
      </c>
      <c r="E2104" t="s">
        <v>10</v>
      </c>
      <c r="F2104">
        <v>3449904</v>
      </c>
      <c r="G2104" s="1">
        <v>0</v>
      </c>
      <c r="H2104" s="2">
        <v>7882</v>
      </c>
      <c r="I2104" t="str">
        <f>VLOOKUP(Tabela1[[#This Row],[CO_PAIS]],'[1]nome do paixs'!$A:$B,2,0)</f>
        <v>Maldivas</v>
      </c>
      <c r="J2104" t="s">
        <v>12</v>
      </c>
    </row>
    <row r="2105" spans="1:10">
      <c r="A2105">
        <v>2023</v>
      </c>
      <c r="B2105">
        <v>10</v>
      </c>
      <c r="C2105">
        <v>8807</v>
      </c>
      <c r="D2105">
        <v>72</v>
      </c>
      <c r="E2105" t="s">
        <v>10</v>
      </c>
      <c r="F2105">
        <v>3449904</v>
      </c>
      <c r="G2105" s="1">
        <v>1</v>
      </c>
      <c r="H2105" s="2">
        <v>270</v>
      </c>
      <c r="I2105" t="str">
        <f>VLOOKUP(Tabela1[[#This Row],[CO_PAIS]],'[1]nome do paixs'!$A:$B,2,0)</f>
        <v>Áustria</v>
      </c>
      <c r="J2105" t="s">
        <v>12</v>
      </c>
    </row>
    <row r="2106" spans="1:10">
      <c r="A2106">
        <v>2023</v>
      </c>
      <c r="B2106">
        <v>10</v>
      </c>
      <c r="C2106">
        <v>8807</v>
      </c>
      <c r="D2106">
        <v>791</v>
      </c>
      <c r="E2106" t="s">
        <v>10</v>
      </c>
      <c r="F2106">
        <v>3454102</v>
      </c>
      <c r="G2106" s="1">
        <v>5</v>
      </c>
      <c r="H2106" s="2">
        <v>18383</v>
      </c>
      <c r="I2106" t="str">
        <f>VLOOKUP(Tabela1[[#This Row],[CO_PAIS]],'[1]nome do paixs'!$A:$B,2,0)</f>
        <v>Tcheca, República</v>
      </c>
      <c r="J2106" t="s">
        <v>11</v>
      </c>
    </row>
    <row r="2107" spans="1:10">
      <c r="A2107">
        <v>2023</v>
      </c>
      <c r="B2107">
        <v>10</v>
      </c>
      <c r="C2107">
        <v>8807</v>
      </c>
      <c r="D2107">
        <v>245</v>
      </c>
      <c r="E2107" t="s">
        <v>10</v>
      </c>
      <c r="F2107">
        <v>3449904</v>
      </c>
      <c r="G2107" s="1">
        <v>2953</v>
      </c>
      <c r="H2107" s="2">
        <v>1017503</v>
      </c>
      <c r="I2107" t="str">
        <f>VLOOKUP(Tabela1[[#This Row],[CO_PAIS]],'[1]nome do paixs'!$A:$B,2,0)</f>
        <v>Espanha</v>
      </c>
      <c r="J2107" t="s">
        <v>12</v>
      </c>
    </row>
    <row r="2108" spans="1:10">
      <c r="A2108">
        <v>2023</v>
      </c>
      <c r="B2108">
        <v>10</v>
      </c>
      <c r="C2108">
        <v>8807</v>
      </c>
      <c r="D2108">
        <v>607</v>
      </c>
      <c r="E2108" t="s">
        <v>10</v>
      </c>
      <c r="F2108">
        <v>3454102</v>
      </c>
      <c r="G2108" s="1">
        <v>14367</v>
      </c>
      <c r="H2108" s="2">
        <v>4735649</v>
      </c>
      <c r="I2108" t="str">
        <f>VLOOKUP(Tabela1[[#This Row],[CO_PAIS]],'[1]nome do paixs'!$A:$B,2,0)</f>
        <v>Portugal</v>
      </c>
      <c r="J2108" t="s">
        <v>11</v>
      </c>
    </row>
    <row r="2109" spans="1:10">
      <c r="A2109">
        <v>2023</v>
      </c>
      <c r="B2109">
        <v>10</v>
      </c>
      <c r="C2109">
        <v>8807</v>
      </c>
      <c r="D2109">
        <v>603</v>
      </c>
      <c r="E2109" t="s">
        <v>10</v>
      </c>
      <c r="F2109">
        <v>3449904</v>
      </c>
      <c r="G2109" s="1">
        <v>127</v>
      </c>
      <c r="H2109" s="2">
        <v>19512</v>
      </c>
      <c r="I2109" t="str">
        <f>VLOOKUP(Tabela1[[#This Row],[CO_PAIS]],'[1]nome do paixs'!$A:$B,2,0)</f>
        <v>Polônia</v>
      </c>
      <c r="J2109" t="s">
        <v>12</v>
      </c>
    </row>
    <row r="2110" spans="1:10">
      <c r="A2110">
        <v>2022</v>
      </c>
      <c r="B2110">
        <v>10</v>
      </c>
      <c r="C2110">
        <v>8807</v>
      </c>
      <c r="D2110">
        <v>190</v>
      </c>
      <c r="E2110" t="s">
        <v>10</v>
      </c>
      <c r="F2110">
        <v>3454102</v>
      </c>
      <c r="G2110" s="1">
        <v>3499</v>
      </c>
      <c r="H2110" s="2">
        <v>3446352</v>
      </c>
      <c r="I2110" t="str">
        <f>VLOOKUP(Tabela1[[#This Row],[CO_PAIS]],'[1]nome do paixs'!$A:$B,2,0)</f>
        <v>Coreia do Sul</v>
      </c>
      <c r="J2110" t="s">
        <v>11</v>
      </c>
    </row>
    <row r="2111" spans="1:10">
      <c r="A2111">
        <v>2022</v>
      </c>
      <c r="B2111">
        <v>10</v>
      </c>
      <c r="C2111">
        <v>8807</v>
      </c>
      <c r="D2111">
        <v>375</v>
      </c>
      <c r="E2111" t="s">
        <v>10</v>
      </c>
      <c r="F2111">
        <v>3449904</v>
      </c>
      <c r="G2111" s="1">
        <v>26</v>
      </c>
      <c r="H2111" s="2">
        <v>20117</v>
      </c>
      <c r="I2111" t="str">
        <f>VLOOKUP(Tabela1[[#This Row],[CO_PAIS]],'[1]nome do paixs'!$A:$B,2,0)</f>
        <v>Irlanda</v>
      </c>
      <c r="J2111" t="s">
        <v>12</v>
      </c>
    </row>
    <row r="2112" spans="1:10">
      <c r="A2112">
        <v>2022</v>
      </c>
      <c r="B2112">
        <v>10</v>
      </c>
      <c r="C2112">
        <v>8807</v>
      </c>
      <c r="D2112">
        <v>245</v>
      </c>
      <c r="E2112" t="s">
        <v>10</v>
      </c>
      <c r="F2112">
        <v>3424402</v>
      </c>
      <c r="G2112" s="1">
        <v>194</v>
      </c>
      <c r="H2112" s="2">
        <v>78609</v>
      </c>
      <c r="I2112" t="str">
        <f>VLOOKUP(Tabela1[[#This Row],[CO_PAIS]],'[1]nome do paixs'!$A:$B,2,0)</f>
        <v>Espanha</v>
      </c>
      <c r="J2112" t="s">
        <v>13</v>
      </c>
    </row>
    <row r="2113" spans="1:10">
      <c r="A2113">
        <v>2022</v>
      </c>
      <c r="B2113">
        <v>10</v>
      </c>
      <c r="C2113">
        <v>8807</v>
      </c>
      <c r="D2113">
        <v>493</v>
      </c>
      <c r="E2113" t="s">
        <v>10</v>
      </c>
      <c r="F2113">
        <v>3454102</v>
      </c>
      <c r="G2113" s="1">
        <v>11463</v>
      </c>
      <c r="H2113" s="2">
        <v>4103770</v>
      </c>
      <c r="I2113" t="str">
        <f>VLOOKUP(Tabela1[[#This Row],[CO_PAIS]],'[1]nome do paixs'!$A:$B,2,0)</f>
        <v>México</v>
      </c>
      <c r="J2113" t="s">
        <v>11</v>
      </c>
    </row>
    <row r="2114" spans="1:10">
      <c r="A2114">
        <v>2022</v>
      </c>
      <c r="B2114">
        <v>10</v>
      </c>
      <c r="C2114">
        <v>8807</v>
      </c>
      <c r="D2114">
        <v>249</v>
      </c>
      <c r="E2114" t="s">
        <v>10</v>
      </c>
      <c r="F2114">
        <v>3454102</v>
      </c>
      <c r="G2114" s="1">
        <v>32146</v>
      </c>
      <c r="H2114" s="2">
        <v>7394813</v>
      </c>
      <c r="I2114" t="str">
        <f>VLOOKUP(Tabela1[[#This Row],[CO_PAIS]],'[1]nome do paixs'!$A:$B,2,0)</f>
        <v>Estados Unidos</v>
      </c>
      <c r="J2114" t="s">
        <v>11</v>
      </c>
    </row>
    <row r="2115" spans="1:10">
      <c r="A2115">
        <v>2022</v>
      </c>
      <c r="B2115">
        <v>10</v>
      </c>
      <c r="C2115">
        <v>8807</v>
      </c>
      <c r="D2115">
        <v>190</v>
      </c>
      <c r="E2115" t="s">
        <v>10</v>
      </c>
      <c r="F2115">
        <v>3449904</v>
      </c>
      <c r="G2115" s="1">
        <v>6</v>
      </c>
      <c r="H2115" s="2">
        <v>21194</v>
      </c>
      <c r="I2115" t="str">
        <f>VLOOKUP(Tabela1[[#This Row],[CO_PAIS]],'[1]nome do paixs'!$A:$B,2,0)</f>
        <v>Coreia do Sul</v>
      </c>
      <c r="J2115" t="s">
        <v>12</v>
      </c>
    </row>
    <row r="2116" spans="1:10">
      <c r="A2116">
        <v>2022</v>
      </c>
      <c r="B2116">
        <v>10</v>
      </c>
      <c r="C2116">
        <v>8807</v>
      </c>
      <c r="D2116">
        <v>23</v>
      </c>
      <c r="E2116" t="s">
        <v>10</v>
      </c>
      <c r="F2116">
        <v>3454102</v>
      </c>
      <c r="G2116" s="1">
        <v>12577</v>
      </c>
      <c r="H2116" s="2">
        <v>946943</v>
      </c>
      <c r="I2116" t="str">
        <f>VLOOKUP(Tabela1[[#This Row],[CO_PAIS]],'[1]nome do paixs'!$A:$B,2,0)</f>
        <v>Alemanha</v>
      </c>
      <c r="J2116" t="s">
        <v>11</v>
      </c>
    </row>
    <row r="2117" spans="1:10">
      <c r="A2117">
        <v>2022</v>
      </c>
      <c r="B2117">
        <v>10</v>
      </c>
      <c r="C2117">
        <v>8807</v>
      </c>
      <c r="D2117">
        <v>105</v>
      </c>
      <c r="E2117" t="s">
        <v>10</v>
      </c>
      <c r="F2117">
        <v>3454102</v>
      </c>
      <c r="G2117" s="1">
        <v>3945</v>
      </c>
      <c r="H2117" s="2">
        <v>3139865</v>
      </c>
      <c r="I2117" t="str">
        <f>VLOOKUP(Tabela1[[#This Row],[CO_PAIS]],'[1]nome do paixs'!$A:$B,2,0)</f>
        <v>Brasil</v>
      </c>
      <c r="J2117" t="s">
        <v>11</v>
      </c>
    </row>
    <row r="2118" spans="1:10">
      <c r="A2118">
        <v>2022</v>
      </c>
      <c r="B2118">
        <v>10</v>
      </c>
      <c r="C2118">
        <v>8807</v>
      </c>
      <c r="D2118">
        <v>361</v>
      </c>
      <c r="E2118" t="s">
        <v>10</v>
      </c>
      <c r="F2118">
        <v>3449904</v>
      </c>
      <c r="G2118" s="1">
        <v>1822</v>
      </c>
      <c r="H2118" s="2">
        <v>831222</v>
      </c>
      <c r="I2118" t="str">
        <f>VLOOKUP(Tabela1[[#This Row],[CO_PAIS]],'[1]nome do paixs'!$A:$B,2,0)</f>
        <v>Índia</v>
      </c>
      <c r="J2118" t="s">
        <v>12</v>
      </c>
    </row>
    <row r="2119" spans="1:10">
      <c r="A2119">
        <v>2022</v>
      </c>
      <c r="B2119">
        <v>10</v>
      </c>
      <c r="C2119">
        <v>8807</v>
      </c>
      <c r="D2119">
        <v>190</v>
      </c>
      <c r="E2119" t="s">
        <v>10</v>
      </c>
      <c r="F2119">
        <v>3424402</v>
      </c>
      <c r="G2119" s="1">
        <v>180</v>
      </c>
      <c r="H2119" s="2">
        <v>69914</v>
      </c>
      <c r="I2119" t="str">
        <f>VLOOKUP(Tabela1[[#This Row],[CO_PAIS]],'[1]nome do paixs'!$A:$B,2,0)</f>
        <v>Coreia do Sul</v>
      </c>
      <c r="J2119" t="s">
        <v>13</v>
      </c>
    </row>
    <row r="2120" spans="1:10">
      <c r="A2120">
        <v>2022</v>
      </c>
      <c r="B2120">
        <v>10</v>
      </c>
      <c r="C2120">
        <v>8807</v>
      </c>
      <c r="D2120">
        <v>741</v>
      </c>
      <c r="E2120" t="s">
        <v>10</v>
      </c>
      <c r="F2120">
        <v>3449904</v>
      </c>
      <c r="G2120" s="1">
        <v>129</v>
      </c>
      <c r="H2120" s="2">
        <v>138558</v>
      </c>
      <c r="I2120" t="str">
        <f>VLOOKUP(Tabela1[[#This Row],[CO_PAIS]],'[1]nome do paixs'!$A:$B,2,0)</f>
        <v>Singapura</v>
      </c>
      <c r="J2120" t="s">
        <v>12</v>
      </c>
    </row>
    <row r="2121" spans="1:10">
      <c r="A2121">
        <v>2022</v>
      </c>
      <c r="B2121">
        <v>10</v>
      </c>
      <c r="C2121">
        <v>8807</v>
      </c>
      <c r="D2121">
        <v>249</v>
      </c>
      <c r="E2121" t="s">
        <v>10</v>
      </c>
      <c r="F2121">
        <v>3424402</v>
      </c>
      <c r="G2121" s="1">
        <v>6</v>
      </c>
      <c r="H2121" s="2">
        <v>11375</v>
      </c>
      <c r="I2121" t="str">
        <f>VLOOKUP(Tabela1[[#This Row],[CO_PAIS]],'[1]nome do paixs'!$A:$B,2,0)</f>
        <v>Estados Unidos</v>
      </c>
      <c r="J2121" t="s">
        <v>13</v>
      </c>
    </row>
    <row r="2122" spans="1:10">
      <c r="A2122">
        <v>2022</v>
      </c>
      <c r="B2122">
        <v>10</v>
      </c>
      <c r="C2122">
        <v>8807</v>
      </c>
      <c r="D2122">
        <v>386</v>
      </c>
      <c r="E2122" t="s">
        <v>10</v>
      </c>
      <c r="F2122">
        <v>3449904</v>
      </c>
      <c r="G2122" s="1">
        <v>4</v>
      </c>
      <c r="H2122" s="2">
        <v>3994</v>
      </c>
      <c r="I2122" t="str">
        <f>VLOOKUP(Tabela1[[#This Row],[CO_PAIS]],'[1]nome do paixs'!$A:$B,2,0)</f>
        <v>Itália</v>
      </c>
      <c r="J2122" t="s">
        <v>12</v>
      </c>
    </row>
    <row r="2123" spans="1:10">
      <c r="A2123">
        <v>2022</v>
      </c>
      <c r="B2123">
        <v>10</v>
      </c>
      <c r="C2123">
        <v>8807</v>
      </c>
      <c r="D2123">
        <v>63</v>
      </c>
      <c r="E2123" t="s">
        <v>10</v>
      </c>
      <c r="F2123">
        <v>3454102</v>
      </c>
      <c r="G2123" s="1">
        <v>6</v>
      </c>
      <c r="H2123" s="2">
        <v>3306</v>
      </c>
      <c r="I2123" t="str">
        <f>VLOOKUP(Tabela1[[#This Row],[CO_PAIS]],'[1]nome do paixs'!$A:$B,2,0)</f>
        <v>Argentina</v>
      </c>
      <c r="J2123" t="s">
        <v>11</v>
      </c>
    </row>
    <row r="2124" spans="1:10">
      <c r="A2124">
        <v>2022</v>
      </c>
      <c r="B2124">
        <v>10</v>
      </c>
      <c r="C2124">
        <v>8807</v>
      </c>
      <c r="D2124">
        <v>628</v>
      </c>
      <c r="E2124" t="s">
        <v>10</v>
      </c>
      <c r="F2124">
        <v>3449904</v>
      </c>
      <c r="G2124" s="1">
        <v>1022</v>
      </c>
      <c r="H2124" s="2">
        <v>612695</v>
      </c>
      <c r="I2124" t="str">
        <f>VLOOKUP(Tabela1[[#This Row],[CO_PAIS]],'[1]nome do paixs'!$A:$B,2,0)</f>
        <v>Reino Unido</v>
      </c>
      <c r="J2124" t="s">
        <v>12</v>
      </c>
    </row>
    <row r="2125" spans="1:10">
      <c r="A2125">
        <v>2022</v>
      </c>
      <c r="B2125">
        <v>10</v>
      </c>
      <c r="C2125">
        <v>8807</v>
      </c>
      <c r="D2125">
        <v>23</v>
      </c>
      <c r="E2125" t="s">
        <v>10</v>
      </c>
      <c r="F2125">
        <v>3424402</v>
      </c>
      <c r="G2125" s="1">
        <v>9</v>
      </c>
      <c r="H2125" s="2">
        <v>15504</v>
      </c>
      <c r="I2125" t="str">
        <f>VLOOKUP(Tabela1[[#This Row],[CO_PAIS]],'[1]nome do paixs'!$A:$B,2,0)</f>
        <v>Alemanha</v>
      </c>
      <c r="J2125" t="s">
        <v>13</v>
      </c>
    </row>
    <row r="2126" spans="1:10">
      <c r="A2126">
        <v>2022</v>
      </c>
      <c r="B2126">
        <v>10</v>
      </c>
      <c r="C2126">
        <v>8807</v>
      </c>
      <c r="D2126">
        <v>105</v>
      </c>
      <c r="E2126" t="s">
        <v>10</v>
      </c>
      <c r="F2126">
        <v>3449904</v>
      </c>
      <c r="G2126" s="1">
        <v>7807</v>
      </c>
      <c r="H2126" s="2">
        <v>5094373</v>
      </c>
      <c r="I2126" t="str">
        <f>VLOOKUP(Tabela1[[#This Row],[CO_PAIS]],'[1]nome do paixs'!$A:$B,2,0)</f>
        <v>Brasil</v>
      </c>
      <c r="J2126" t="s">
        <v>12</v>
      </c>
    </row>
    <row r="2127" spans="1:10">
      <c r="A2127">
        <v>2022</v>
      </c>
      <c r="B2127">
        <v>10</v>
      </c>
      <c r="C2127">
        <v>8807</v>
      </c>
      <c r="D2127">
        <v>72</v>
      </c>
      <c r="E2127" t="s">
        <v>10</v>
      </c>
      <c r="F2127">
        <v>3449904</v>
      </c>
      <c r="G2127" s="1">
        <v>15</v>
      </c>
      <c r="H2127" s="2">
        <v>4491</v>
      </c>
      <c r="I2127" t="str">
        <f>VLOOKUP(Tabela1[[#This Row],[CO_PAIS]],'[1]nome do paixs'!$A:$B,2,0)</f>
        <v>Áustria</v>
      </c>
      <c r="J2127" t="s">
        <v>12</v>
      </c>
    </row>
    <row r="2128" spans="1:10">
      <c r="A2128">
        <v>2022</v>
      </c>
      <c r="B2128">
        <v>10</v>
      </c>
      <c r="C2128">
        <v>8807</v>
      </c>
      <c r="D2128">
        <v>474</v>
      </c>
      <c r="E2128" t="s">
        <v>10</v>
      </c>
      <c r="F2128">
        <v>3449904</v>
      </c>
      <c r="G2128" s="1">
        <v>5</v>
      </c>
      <c r="H2128" s="2">
        <v>12066</v>
      </c>
      <c r="I2128" t="str">
        <f>VLOOKUP(Tabela1[[#This Row],[CO_PAIS]],'[1]nome do paixs'!$A:$B,2,0)</f>
        <v>Marrocos</v>
      </c>
      <c r="J2128" t="s">
        <v>12</v>
      </c>
    </row>
    <row r="2129" spans="1:10">
      <c r="A2129">
        <v>2022</v>
      </c>
      <c r="B2129">
        <v>10</v>
      </c>
      <c r="C2129">
        <v>8807</v>
      </c>
      <c r="D2129">
        <v>399</v>
      </c>
      <c r="E2129" t="s">
        <v>10</v>
      </c>
      <c r="F2129">
        <v>3454102</v>
      </c>
      <c r="G2129" s="1">
        <v>2501</v>
      </c>
      <c r="H2129" s="2">
        <v>1758571</v>
      </c>
      <c r="I2129" t="str">
        <f>VLOOKUP(Tabela1[[#This Row],[CO_PAIS]],'[1]nome do paixs'!$A:$B,2,0)</f>
        <v>Japão</v>
      </c>
      <c r="J2129" t="s">
        <v>11</v>
      </c>
    </row>
    <row r="2130" spans="1:10">
      <c r="A2130">
        <v>2022</v>
      </c>
      <c r="B2130">
        <v>10</v>
      </c>
      <c r="C2130">
        <v>8807</v>
      </c>
      <c r="D2130">
        <v>399</v>
      </c>
      <c r="E2130" t="s">
        <v>10</v>
      </c>
      <c r="F2130">
        <v>3449904</v>
      </c>
      <c r="G2130" s="1">
        <v>427</v>
      </c>
      <c r="H2130" s="2">
        <v>468559</v>
      </c>
      <c r="I2130" t="str">
        <f>VLOOKUP(Tabela1[[#This Row],[CO_PAIS]],'[1]nome do paixs'!$A:$B,2,0)</f>
        <v>Japão</v>
      </c>
      <c r="J2130" t="s">
        <v>12</v>
      </c>
    </row>
    <row r="2131" spans="1:10">
      <c r="A2131">
        <v>2022</v>
      </c>
      <c r="B2131">
        <v>10</v>
      </c>
      <c r="C2131">
        <v>8807</v>
      </c>
      <c r="D2131">
        <v>149</v>
      </c>
      <c r="E2131" t="s">
        <v>10</v>
      </c>
      <c r="F2131">
        <v>3449904</v>
      </c>
      <c r="G2131" s="1">
        <v>1</v>
      </c>
      <c r="H2131" s="2">
        <v>2785</v>
      </c>
      <c r="I2131" t="str">
        <f>VLOOKUP(Tabela1[[#This Row],[CO_PAIS]],'[1]nome do paixs'!$A:$B,2,0)</f>
        <v>Canadá</v>
      </c>
      <c r="J2131" t="s">
        <v>12</v>
      </c>
    </row>
    <row r="2132" spans="1:10">
      <c r="A2132">
        <v>2022</v>
      </c>
      <c r="B2132">
        <v>10</v>
      </c>
      <c r="C2132">
        <v>8807</v>
      </c>
      <c r="D2132">
        <v>607</v>
      </c>
      <c r="E2132" t="s">
        <v>10</v>
      </c>
      <c r="F2132">
        <v>3454102</v>
      </c>
      <c r="G2132" s="1">
        <v>18211</v>
      </c>
      <c r="H2132" s="2">
        <v>5559719</v>
      </c>
      <c r="I2132" t="str">
        <f>VLOOKUP(Tabela1[[#This Row],[CO_PAIS]],'[1]nome do paixs'!$A:$B,2,0)</f>
        <v>Portugal</v>
      </c>
      <c r="J2132" t="s">
        <v>11</v>
      </c>
    </row>
    <row r="2133" spans="1:10">
      <c r="A2133">
        <v>2022</v>
      </c>
      <c r="B2133">
        <v>10</v>
      </c>
      <c r="C2133">
        <v>8807</v>
      </c>
      <c r="D2133">
        <v>23</v>
      </c>
      <c r="E2133" t="s">
        <v>10</v>
      </c>
      <c r="F2133">
        <v>3449904</v>
      </c>
      <c r="G2133" s="1">
        <v>72</v>
      </c>
      <c r="H2133" s="2">
        <v>95620</v>
      </c>
      <c r="I2133" t="str">
        <f>VLOOKUP(Tabela1[[#This Row],[CO_PAIS]],'[1]nome do paixs'!$A:$B,2,0)</f>
        <v>Alemanha</v>
      </c>
      <c r="J2133" t="s">
        <v>12</v>
      </c>
    </row>
    <row r="2134" spans="1:10">
      <c r="A2134">
        <v>2022</v>
      </c>
      <c r="B2134">
        <v>10</v>
      </c>
      <c r="C2134">
        <v>8807</v>
      </c>
      <c r="D2134">
        <v>87</v>
      </c>
      <c r="E2134" t="s">
        <v>10</v>
      </c>
      <c r="F2134">
        <v>3454102</v>
      </c>
      <c r="G2134" s="1">
        <v>1414</v>
      </c>
      <c r="H2134" s="2">
        <v>1574624</v>
      </c>
      <c r="I2134" t="str">
        <f>VLOOKUP(Tabela1[[#This Row],[CO_PAIS]],'[1]nome do paixs'!$A:$B,2,0)</f>
        <v>Bélgica</v>
      </c>
      <c r="J2134" t="s">
        <v>11</v>
      </c>
    </row>
    <row r="2135" spans="1:10">
      <c r="A2135">
        <v>2022</v>
      </c>
      <c r="B2135">
        <v>10</v>
      </c>
      <c r="C2135">
        <v>8807</v>
      </c>
      <c r="D2135">
        <v>791</v>
      </c>
      <c r="E2135" t="s">
        <v>10</v>
      </c>
      <c r="F2135">
        <v>3454102</v>
      </c>
      <c r="G2135" s="1">
        <v>0</v>
      </c>
      <c r="H2135" s="2">
        <v>1877</v>
      </c>
      <c r="I2135" t="str">
        <f>VLOOKUP(Tabela1[[#This Row],[CO_PAIS]],'[1]nome do paixs'!$A:$B,2,0)</f>
        <v>Tcheca, República</v>
      </c>
      <c r="J2135" t="s">
        <v>11</v>
      </c>
    </row>
    <row r="2136" spans="1:10">
      <c r="A2136">
        <v>2022</v>
      </c>
      <c r="B2136">
        <v>10</v>
      </c>
      <c r="C2136">
        <v>8807</v>
      </c>
      <c r="D2136">
        <v>275</v>
      </c>
      <c r="E2136" t="s">
        <v>10</v>
      </c>
      <c r="F2136">
        <v>3424402</v>
      </c>
      <c r="G2136" s="1">
        <v>412</v>
      </c>
      <c r="H2136" s="2">
        <v>660375</v>
      </c>
      <c r="I2136" t="str">
        <f>VLOOKUP(Tabela1[[#This Row],[CO_PAIS]],'[1]nome do paixs'!$A:$B,2,0)</f>
        <v>França</v>
      </c>
      <c r="J2136" t="s">
        <v>13</v>
      </c>
    </row>
    <row r="2137" spans="1:10">
      <c r="A2137">
        <v>2022</v>
      </c>
      <c r="B2137">
        <v>10</v>
      </c>
      <c r="C2137">
        <v>8807</v>
      </c>
      <c r="D2137">
        <v>245</v>
      </c>
      <c r="E2137" t="s">
        <v>10</v>
      </c>
      <c r="F2137">
        <v>3454102</v>
      </c>
      <c r="G2137" s="1">
        <v>1744</v>
      </c>
      <c r="H2137" s="2">
        <v>1375928</v>
      </c>
      <c r="I2137" t="str">
        <f>VLOOKUP(Tabela1[[#This Row],[CO_PAIS]],'[1]nome do paixs'!$A:$B,2,0)</f>
        <v>Espanha</v>
      </c>
      <c r="J2137" t="s">
        <v>11</v>
      </c>
    </row>
    <row r="2138" spans="1:10">
      <c r="A2138">
        <v>2022</v>
      </c>
      <c r="B2138">
        <v>10</v>
      </c>
      <c r="C2138">
        <v>8807</v>
      </c>
      <c r="D2138">
        <v>676</v>
      </c>
      <c r="E2138" t="s">
        <v>10</v>
      </c>
      <c r="F2138">
        <v>3449904</v>
      </c>
      <c r="G2138" s="1">
        <v>220</v>
      </c>
      <c r="H2138" s="2">
        <v>11314</v>
      </c>
      <c r="I2138" t="str">
        <f>VLOOKUP(Tabela1[[#This Row],[CO_PAIS]],'[1]nome do paixs'!$A:$B,2,0)</f>
        <v>Rússia</v>
      </c>
      <c r="J2138" t="s">
        <v>12</v>
      </c>
    </row>
    <row r="2139" spans="1:10">
      <c r="A2139">
        <v>2022</v>
      </c>
      <c r="B2139">
        <v>10</v>
      </c>
      <c r="C2139">
        <v>8807</v>
      </c>
      <c r="D2139">
        <v>245</v>
      </c>
      <c r="E2139" t="s">
        <v>10</v>
      </c>
      <c r="F2139">
        <v>3449904</v>
      </c>
      <c r="G2139" s="1">
        <v>6307</v>
      </c>
      <c r="H2139" s="2">
        <v>1605133</v>
      </c>
      <c r="I2139" t="str">
        <f>VLOOKUP(Tabela1[[#This Row],[CO_PAIS]],'[1]nome do paixs'!$A:$B,2,0)</f>
        <v>Espanha</v>
      </c>
      <c r="J2139" t="s">
        <v>12</v>
      </c>
    </row>
    <row r="2140" spans="1:10">
      <c r="A2140">
        <v>2022</v>
      </c>
      <c r="B2140">
        <v>10</v>
      </c>
      <c r="C2140">
        <v>8807</v>
      </c>
      <c r="D2140">
        <v>87</v>
      </c>
      <c r="E2140" t="s">
        <v>10</v>
      </c>
      <c r="F2140">
        <v>3424402</v>
      </c>
      <c r="G2140" s="1">
        <v>15</v>
      </c>
      <c r="H2140" s="2">
        <v>37325</v>
      </c>
      <c r="I2140" t="str">
        <f>VLOOKUP(Tabela1[[#This Row],[CO_PAIS]],'[1]nome do paixs'!$A:$B,2,0)</f>
        <v>Bélgica</v>
      </c>
      <c r="J2140" t="s">
        <v>13</v>
      </c>
    </row>
    <row r="2141" spans="1:10">
      <c r="A2141">
        <v>2022</v>
      </c>
      <c r="B2141">
        <v>10</v>
      </c>
      <c r="C2141">
        <v>8807</v>
      </c>
      <c r="D2141">
        <v>628</v>
      </c>
      <c r="E2141" t="s">
        <v>10</v>
      </c>
      <c r="F2141">
        <v>3454102</v>
      </c>
      <c r="G2141" s="1">
        <v>112</v>
      </c>
      <c r="H2141" s="2">
        <v>122653</v>
      </c>
      <c r="I2141" t="str">
        <f>VLOOKUP(Tabela1[[#This Row],[CO_PAIS]],'[1]nome do paixs'!$A:$B,2,0)</f>
        <v>Reino Unido</v>
      </c>
      <c r="J2141" t="s">
        <v>11</v>
      </c>
    </row>
    <row r="2142" spans="1:10">
      <c r="A2142">
        <v>2022</v>
      </c>
      <c r="B2142">
        <v>10</v>
      </c>
      <c r="C2142">
        <v>8807</v>
      </c>
      <c r="D2142">
        <v>603</v>
      </c>
      <c r="E2142" t="s">
        <v>10</v>
      </c>
      <c r="F2142">
        <v>3449904</v>
      </c>
      <c r="G2142" s="1">
        <v>8</v>
      </c>
      <c r="H2142" s="2">
        <v>3352</v>
      </c>
      <c r="I2142" t="str">
        <f>VLOOKUP(Tabela1[[#This Row],[CO_PAIS]],'[1]nome do paixs'!$A:$B,2,0)</f>
        <v>Polônia</v>
      </c>
      <c r="J2142" t="s">
        <v>12</v>
      </c>
    </row>
    <row r="2143" spans="1:10">
      <c r="A2143">
        <v>2022</v>
      </c>
      <c r="B2143">
        <v>10</v>
      </c>
      <c r="C2143">
        <v>8807</v>
      </c>
      <c r="D2143">
        <v>87</v>
      </c>
      <c r="E2143" t="s">
        <v>10</v>
      </c>
      <c r="F2143">
        <v>3449904</v>
      </c>
      <c r="G2143" s="1">
        <v>2112</v>
      </c>
      <c r="H2143" s="2">
        <v>1611475</v>
      </c>
      <c r="I2143" t="str">
        <f>VLOOKUP(Tabela1[[#This Row],[CO_PAIS]],'[1]nome do paixs'!$A:$B,2,0)</f>
        <v>Bélgica</v>
      </c>
      <c r="J2143" t="s">
        <v>12</v>
      </c>
    </row>
    <row r="2144" spans="1:10">
      <c r="A2144">
        <v>2022</v>
      </c>
      <c r="B2144">
        <v>10</v>
      </c>
      <c r="C2144">
        <v>8807</v>
      </c>
      <c r="D2144">
        <v>493</v>
      </c>
      <c r="E2144" t="s">
        <v>10</v>
      </c>
      <c r="F2144">
        <v>3449904</v>
      </c>
      <c r="G2144" s="1">
        <v>2737</v>
      </c>
      <c r="H2144" s="2">
        <v>1681477</v>
      </c>
      <c r="I2144" t="str">
        <f>VLOOKUP(Tabela1[[#This Row],[CO_PAIS]],'[1]nome do paixs'!$A:$B,2,0)</f>
        <v>México</v>
      </c>
      <c r="J2144" t="s">
        <v>12</v>
      </c>
    </row>
    <row r="2145" spans="1:10">
      <c r="A2145">
        <v>2022</v>
      </c>
      <c r="B2145">
        <v>10</v>
      </c>
      <c r="C2145">
        <v>8807</v>
      </c>
      <c r="D2145">
        <v>72</v>
      </c>
      <c r="E2145" t="s">
        <v>10</v>
      </c>
      <c r="F2145">
        <v>3454102</v>
      </c>
      <c r="G2145" s="1">
        <v>18834</v>
      </c>
      <c r="H2145" s="2">
        <v>1774753</v>
      </c>
      <c r="I2145" t="str">
        <f>VLOOKUP(Tabela1[[#This Row],[CO_PAIS]],'[1]nome do paixs'!$A:$B,2,0)</f>
        <v>Áustria</v>
      </c>
      <c r="J2145" t="s">
        <v>11</v>
      </c>
    </row>
    <row r="2146" spans="1:10">
      <c r="A2146">
        <v>2022</v>
      </c>
      <c r="B2146">
        <v>10</v>
      </c>
      <c r="C2146">
        <v>8807</v>
      </c>
      <c r="D2146">
        <v>607</v>
      </c>
      <c r="E2146" t="s">
        <v>10</v>
      </c>
      <c r="F2146">
        <v>3449904</v>
      </c>
      <c r="G2146" s="1">
        <v>395</v>
      </c>
      <c r="H2146" s="2">
        <v>615749</v>
      </c>
      <c r="I2146" t="str">
        <f>VLOOKUP(Tabela1[[#This Row],[CO_PAIS]],'[1]nome do paixs'!$A:$B,2,0)</f>
        <v>Portugal</v>
      </c>
      <c r="J2146" t="s">
        <v>12</v>
      </c>
    </row>
    <row r="2147" spans="1:10">
      <c r="A2147">
        <v>2022</v>
      </c>
      <c r="B2147">
        <v>10</v>
      </c>
      <c r="C2147">
        <v>8807</v>
      </c>
      <c r="D2147">
        <v>375</v>
      </c>
      <c r="E2147" t="s">
        <v>10</v>
      </c>
      <c r="F2147">
        <v>3454102</v>
      </c>
      <c r="G2147" s="1">
        <v>264</v>
      </c>
      <c r="H2147" s="2">
        <v>67843</v>
      </c>
      <c r="I2147" t="str">
        <f>VLOOKUP(Tabela1[[#This Row],[CO_PAIS]],'[1]nome do paixs'!$A:$B,2,0)</f>
        <v>Irlanda</v>
      </c>
      <c r="J2147" t="s">
        <v>11</v>
      </c>
    </row>
    <row r="2148" spans="1:10">
      <c r="A2148">
        <v>2022</v>
      </c>
      <c r="B2148">
        <v>10</v>
      </c>
      <c r="C2148">
        <v>8807</v>
      </c>
      <c r="D2148">
        <v>249</v>
      </c>
      <c r="E2148" t="s">
        <v>10</v>
      </c>
      <c r="F2148">
        <v>3449904</v>
      </c>
      <c r="G2148" s="1">
        <v>6733</v>
      </c>
      <c r="H2148" s="2">
        <v>5136720</v>
      </c>
      <c r="I2148" t="str">
        <f>VLOOKUP(Tabela1[[#This Row],[CO_PAIS]],'[1]nome do paixs'!$A:$B,2,0)</f>
        <v>Estados Unidos</v>
      </c>
      <c r="J2148" t="s">
        <v>12</v>
      </c>
    </row>
    <row r="2149" spans="1:10">
      <c r="A2149">
        <v>2022</v>
      </c>
      <c r="B2149">
        <v>10</v>
      </c>
      <c r="C2149">
        <v>8807</v>
      </c>
      <c r="D2149">
        <v>386</v>
      </c>
      <c r="E2149" t="s">
        <v>10</v>
      </c>
      <c r="F2149">
        <v>3454102</v>
      </c>
      <c r="G2149" s="1">
        <v>883</v>
      </c>
      <c r="H2149" s="2">
        <v>2480894</v>
      </c>
      <c r="I2149" t="str">
        <f>VLOOKUP(Tabela1[[#This Row],[CO_PAIS]],'[1]nome do paixs'!$A:$B,2,0)</f>
        <v>Itália</v>
      </c>
      <c r="J2149" t="s">
        <v>11</v>
      </c>
    </row>
    <row r="2150" spans="1:10">
      <c r="A2150">
        <v>2022</v>
      </c>
      <c r="B2150">
        <v>10</v>
      </c>
      <c r="C2150">
        <v>8807</v>
      </c>
      <c r="D2150">
        <v>791</v>
      </c>
      <c r="E2150" t="s">
        <v>10</v>
      </c>
      <c r="F2150">
        <v>3424402</v>
      </c>
      <c r="G2150" s="1">
        <v>285</v>
      </c>
      <c r="H2150" s="2">
        <v>181579</v>
      </c>
      <c r="I2150" t="str">
        <f>VLOOKUP(Tabela1[[#This Row],[CO_PAIS]],'[1]nome do paixs'!$A:$B,2,0)</f>
        <v>Tcheca, República</v>
      </c>
      <c r="J2150" t="s">
        <v>13</v>
      </c>
    </row>
    <row r="2151" spans="1:10">
      <c r="A2151">
        <v>2022</v>
      </c>
      <c r="B2151">
        <v>10</v>
      </c>
      <c r="C2151">
        <v>8807</v>
      </c>
      <c r="D2151">
        <v>275</v>
      </c>
      <c r="E2151" t="s">
        <v>10</v>
      </c>
      <c r="F2151">
        <v>3454102</v>
      </c>
      <c r="G2151" s="1">
        <v>2323</v>
      </c>
      <c r="H2151" s="2">
        <v>3109526</v>
      </c>
      <c r="I2151" t="str">
        <f>VLOOKUP(Tabela1[[#This Row],[CO_PAIS]],'[1]nome do paixs'!$A:$B,2,0)</f>
        <v>França</v>
      </c>
      <c r="J2151" t="s">
        <v>11</v>
      </c>
    </row>
    <row r="2152" spans="1:10">
      <c r="A2152">
        <v>2022</v>
      </c>
      <c r="B2152">
        <v>10</v>
      </c>
      <c r="C2152">
        <v>8807</v>
      </c>
      <c r="D2152">
        <v>455</v>
      </c>
      <c r="E2152" t="s">
        <v>10</v>
      </c>
      <c r="F2152">
        <v>3454102</v>
      </c>
      <c r="G2152" s="1">
        <v>2253</v>
      </c>
      <c r="H2152" s="2">
        <v>370794</v>
      </c>
      <c r="I2152" t="str">
        <f>VLOOKUP(Tabela1[[#This Row],[CO_PAIS]],'[1]nome do paixs'!$A:$B,2,0)</f>
        <v>Malásia</v>
      </c>
      <c r="J2152" t="s">
        <v>11</v>
      </c>
    </row>
    <row r="2153" spans="1:10">
      <c r="A2153">
        <v>2022</v>
      </c>
      <c r="B2153">
        <v>10</v>
      </c>
      <c r="C2153">
        <v>8807</v>
      </c>
      <c r="D2153">
        <v>275</v>
      </c>
      <c r="E2153" t="s">
        <v>10</v>
      </c>
      <c r="F2153">
        <v>3449904</v>
      </c>
      <c r="G2153" s="1">
        <v>262</v>
      </c>
      <c r="H2153" s="2">
        <v>429169</v>
      </c>
      <c r="I2153" t="str">
        <f>VLOOKUP(Tabela1[[#This Row],[CO_PAIS]],'[1]nome do paixs'!$A:$B,2,0)</f>
        <v>França</v>
      </c>
      <c r="J2153" t="s">
        <v>12</v>
      </c>
    </row>
    <row r="2154" spans="1:10">
      <c r="A2154">
        <v>2022</v>
      </c>
      <c r="B2154">
        <v>10</v>
      </c>
      <c r="C2154">
        <v>8807</v>
      </c>
      <c r="D2154">
        <v>149</v>
      </c>
      <c r="E2154" t="s">
        <v>10</v>
      </c>
      <c r="F2154">
        <v>3454102</v>
      </c>
      <c r="G2154" s="1">
        <v>673</v>
      </c>
      <c r="H2154" s="2">
        <v>575639</v>
      </c>
      <c r="I2154" t="str">
        <f>VLOOKUP(Tabela1[[#This Row],[CO_PAIS]],'[1]nome do paixs'!$A:$B,2,0)</f>
        <v>Canadá</v>
      </c>
      <c r="J2154" t="s">
        <v>11</v>
      </c>
    </row>
    <row r="2155" spans="1:10">
      <c r="A2155">
        <v>2022</v>
      </c>
      <c r="B2155">
        <v>10</v>
      </c>
      <c r="C2155">
        <v>8807</v>
      </c>
      <c r="D2155">
        <v>474</v>
      </c>
      <c r="E2155" t="s">
        <v>10</v>
      </c>
      <c r="F2155">
        <v>3454102</v>
      </c>
      <c r="G2155" s="1">
        <v>138</v>
      </c>
      <c r="H2155" s="2">
        <v>267162</v>
      </c>
      <c r="I2155" t="str">
        <f>VLOOKUP(Tabela1[[#This Row],[CO_PAIS]],'[1]nome do paixs'!$A:$B,2,0)</f>
        <v>Marrocos</v>
      </c>
      <c r="J2155" t="s">
        <v>11</v>
      </c>
    </row>
    <row r="2156" spans="1:10">
      <c r="A2156">
        <v>2021</v>
      </c>
      <c r="B2156">
        <v>10</v>
      </c>
      <c r="C2156">
        <v>8803</v>
      </c>
      <c r="D2156">
        <v>275</v>
      </c>
      <c r="E2156" t="s">
        <v>10</v>
      </c>
      <c r="F2156">
        <v>3449904</v>
      </c>
      <c r="G2156" s="1">
        <v>703</v>
      </c>
      <c r="H2156" s="2">
        <v>307313</v>
      </c>
      <c r="I2156" t="str">
        <f>VLOOKUP(Tabela1[[#This Row],[CO_PAIS]],'[1]nome do paixs'!$A:$B,2,0)</f>
        <v>França</v>
      </c>
      <c r="J2156" t="s">
        <v>12</v>
      </c>
    </row>
    <row r="2157" spans="1:10">
      <c r="A2157">
        <v>2021</v>
      </c>
      <c r="B2157">
        <v>10</v>
      </c>
      <c r="C2157">
        <v>8803</v>
      </c>
      <c r="D2157">
        <v>245</v>
      </c>
      <c r="E2157" t="s">
        <v>10</v>
      </c>
      <c r="F2157">
        <v>3454102</v>
      </c>
      <c r="G2157" s="1">
        <v>1325</v>
      </c>
      <c r="H2157" s="2">
        <v>1207757</v>
      </c>
      <c r="I2157" t="str">
        <f>VLOOKUP(Tabela1[[#This Row],[CO_PAIS]],'[1]nome do paixs'!$A:$B,2,0)</f>
        <v>Espanha</v>
      </c>
      <c r="J2157" t="s">
        <v>11</v>
      </c>
    </row>
    <row r="2158" spans="1:10">
      <c r="A2158">
        <v>2021</v>
      </c>
      <c r="B2158">
        <v>10</v>
      </c>
      <c r="C2158">
        <v>8803</v>
      </c>
      <c r="D2158">
        <v>149</v>
      </c>
      <c r="E2158" t="s">
        <v>10</v>
      </c>
      <c r="F2158">
        <v>3454102</v>
      </c>
      <c r="G2158" s="1">
        <v>169</v>
      </c>
      <c r="H2158" s="2">
        <v>166407</v>
      </c>
      <c r="I2158" t="str">
        <f>VLOOKUP(Tabela1[[#This Row],[CO_PAIS]],'[1]nome do paixs'!$A:$B,2,0)</f>
        <v>Canadá</v>
      </c>
      <c r="J2158" t="s">
        <v>11</v>
      </c>
    </row>
    <row r="2159" spans="1:10">
      <c r="A2159">
        <v>2021</v>
      </c>
      <c r="B2159">
        <v>10</v>
      </c>
      <c r="C2159">
        <v>8803</v>
      </c>
      <c r="D2159">
        <v>493</v>
      </c>
      <c r="E2159" t="s">
        <v>10</v>
      </c>
      <c r="F2159">
        <v>3449904</v>
      </c>
      <c r="G2159" s="1">
        <v>880</v>
      </c>
      <c r="H2159" s="2">
        <v>517067</v>
      </c>
      <c r="I2159" t="str">
        <f>VLOOKUP(Tabela1[[#This Row],[CO_PAIS]],'[1]nome do paixs'!$A:$B,2,0)</f>
        <v>México</v>
      </c>
      <c r="J2159" t="s">
        <v>12</v>
      </c>
    </row>
    <row r="2160" spans="1:10">
      <c r="A2160">
        <v>2021</v>
      </c>
      <c r="B2160">
        <v>10</v>
      </c>
      <c r="C2160">
        <v>8803</v>
      </c>
      <c r="D2160">
        <v>386</v>
      </c>
      <c r="E2160" t="s">
        <v>10</v>
      </c>
      <c r="F2160">
        <v>3454102</v>
      </c>
      <c r="G2160" s="1">
        <v>576</v>
      </c>
      <c r="H2160" s="2">
        <v>1491075</v>
      </c>
      <c r="I2160" t="str">
        <f>VLOOKUP(Tabela1[[#This Row],[CO_PAIS]],'[1]nome do paixs'!$A:$B,2,0)</f>
        <v>Itália</v>
      </c>
      <c r="J2160" t="s">
        <v>11</v>
      </c>
    </row>
    <row r="2161" spans="1:10">
      <c r="A2161">
        <v>2021</v>
      </c>
      <c r="B2161">
        <v>10</v>
      </c>
      <c r="C2161">
        <v>8803</v>
      </c>
      <c r="D2161">
        <v>249</v>
      </c>
      <c r="E2161" t="s">
        <v>10</v>
      </c>
      <c r="F2161">
        <v>3424402</v>
      </c>
      <c r="G2161" s="1">
        <v>1615</v>
      </c>
      <c r="H2161" s="2">
        <v>265767</v>
      </c>
      <c r="I2161" t="str">
        <f>VLOOKUP(Tabela1[[#This Row],[CO_PAIS]],'[1]nome do paixs'!$A:$B,2,0)</f>
        <v>Estados Unidos</v>
      </c>
      <c r="J2161" t="s">
        <v>13</v>
      </c>
    </row>
    <row r="2162" spans="1:10">
      <c r="A2162">
        <v>2021</v>
      </c>
      <c r="B2162">
        <v>10</v>
      </c>
      <c r="C2162">
        <v>8803</v>
      </c>
      <c r="D2162">
        <v>791</v>
      </c>
      <c r="E2162" t="s">
        <v>10</v>
      </c>
      <c r="F2162">
        <v>3449904</v>
      </c>
      <c r="G2162" s="1">
        <v>2</v>
      </c>
      <c r="H2162" s="2">
        <v>12162</v>
      </c>
      <c r="I2162" t="str">
        <f>VLOOKUP(Tabela1[[#This Row],[CO_PAIS]],'[1]nome do paixs'!$A:$B,2,0)</f>
        <v>Tcheca, República</v>
      </c>
      <c r="J2162" t="s">
        <v>12</v>
      </c>
    </row>
    <row r="2163" spans="1:10">
      <c r="A2163">
        <v>2021</v>
      </c>
      <c r="B2163">
        <v>10</v>
      </c>
      <c r="C2163">
        <v>8803</v>
      </c>
      <c r="D2163">
        <v>105</v>
      </c>
      <c r="E2163" t="s">
        <v>10</v>
      </c>
      <c r="F2163">
        <v>3449904</v>
      </c>
      <c r="G2163" s="1">
        <v>7284</v>
      </c>
      <c r="H2163" s="2">
        <v>4473553</v>
      </c>
      <c r="I2163" t="str">
        <f>VLOOKUP(Tabela1[[#This Row],[CO_PAIS]],'[1]nome do paixs'!$A:$B,2,0)</f>
        <v>Brasil</v>
      </c>
      <c r="J2163" t="s">
        <v>12</v>
      </c>
    </row>
    <row r="2164" spans="1:10">
      <c r="A2164">
        <v>2021</v>
      </c>
      <c r="B2164">
        <v>10</v>
      </c>
      <c r="C2164">
        <v>8803</v>
      </c>
      <c r="D2164">
        <v>245</v>
      </c>
      <c r="E2164" t="s">
        <v>10</v>
      </c>
      <c r="F2164">
        <v>3449904</v>
      </c>
      <c r="G2164" s="1">
        <v>1431</v>
      </c>
      <c r="H2164" s="2">
        <v>623557</v>
      </c>
      <c r="I2164" t="str">
        <f>VLOOKUP(Tabela1[[#This Row],[CO_PAIS]],'[1]nome do paixs'!$A:$B,2,0)</f>
        <v>Espanha</v>
      </c>
      <c r="J2164" t="s">
        <v>12</v>
      </c>
    </row>
    <row r="2165" spans="1:10">
      <c r="A2165">
        <v>2021</v>
      </c>
      <c r="B2165">
        <v>10</v>
      </c>
      <c r="C2165">
        <v>8803</v>
      </c>
      <c r="D2165">
        <v>628</v>
      </c>
      <c r="E2165" t="s">
        <v>10</v>
      </c>
      <c r="F2165">
        <v>3454102</v>
      </c>
      <c r="G2165" s="1">
        <v>274</v>
      </c>
      <c r="H2165" s="2">
        <v>88189</v>
      </c>
      <c r="I2165" t="str">
        <f>VLOOKUP(Tabela1[[#This Row],[CO_PAIS]],'[1]nome do paixs'!$A:$B,2,0)</f>
        <v>Reino Unido</v>
      </c>
      <c r="J2165" t="s">
        <v>11</v>
      </c>
    </row>
    <row r="2166" spans="1:10">
      <c r="A2166">
        <v>2021</v>
      </c>
      <c r="B2166">
        <v>10</v>
      </c>
      <c r="C2166">
        <v>8803</v>
      </c>
      <c r="D2166">
        <v>87</v>
      </c>
      <c r="E2166" t="s">
        <v>10</v>
      </c>
      <c r="F2166">
        <v>3449904</v>
      </c>
      <c r="G2166" s="1">
        <v>474</v>
      </c>
      <c r="H2166" s="2">
        <v>394672</v>
      </c>
      <c r="I2166" t="str">
        <f>VLOOKUP(Tabela1[[#This Row],[CO_PAIS]],'[1]nome do paixs'!$A:$B,2,0)</f>
        <v>Bélgica</v>
      </c>
      <c r="J2166" t="s">
        <v>12</v>
      </c>
    </row>
    <row r="2167" spans="1:10">
      <c r="A2167">
        <v>2021</v>
      </c>
      <c r="B2167">
        <v>10</v>
      </c>
      <c r="C2167">
        <v>8803</v>
      </c>
      <c r="D2167">
        <v>23</v>
      </c>
      <c r="E2167" t="s">
        <v>10</v>
      </c>
      <c r="F2167">
        <v>3454102</v>
      </c>
      <c r="G2167" s="1">
        <v>2222</v>
      </c>
      <c r="H2167" s="2">
        <v>198504</v>
      </c>
      <c r="I2167" t="str">
        <f>VLOOKUP(Tabela1[[#This Row],[CO_PAIS]],'[1]nome do paixs'!$A:$B,2,0)</f>
        <v>Alemanha</v>
      </c>
      <c r="J2167" t="s">
        <v>11</v>
      </c>
    </row>
    <row r="2168" spans="1:10">
      <c r="A2168">
        <v>2021</v>
      </c>
      <c r="B2168">
        <v>10</v>
      </c>
      <c r="C2168">
        <v>8803</v>
      </c>
      <c r="D2168">
        <v>493</v>
      </c>
      <c r="E2168" t="s">
        <v>10</v>
      </c>
      <c r="F2168">
        <v>3454102</v>
      </c>
      <c r="G2168" s="1">
        <v>5005</v>
      </c>
      <c r="H2168" s="2">
        <v>2282598</v>
      </c>
      <c r="I2168" t="str">
        <f>VLOOKUP(Tabela1[[#This Row],[CO_PAIS]],'[1]nome do paixs'!$A:$B,2,0)</f>
        <v>México</v>
      </c>
      <c r="J2168" t="s">
        <v>11</v>
      </c>
    </row>
    <row r="2169" spans="1:10">
      <c r="A2169">
        <v>2021</v>
      </c>
      <c r="B2169">
        <v>10</v>
      </c>
      <c r="C2169">
        <v>8803</v>
      </c>
      <c r="D2169">
        <v>676</v>
      </c>
      <c r="E2169" t="s">
        <v>10</v>
      </c>
      <c r="F2169">
        <v>3449904</v>
      </c>
      <c r="G2169" s="1">
        <v>28</v>
      </c>
      <c r="H2169" s="2">
        <v>73462</v>
      </c>
      <c r="I2169" t="str">
        <f>VLOOKUP(Tabela1[[#This Row],[CO_PAIS]],'[1]nome do paixs'!$A:$B,2,0)</f>
        <v>Rússia</v>
      </c>
      <c r="J2169" t="s">
        <v>12</v>
      </c>
    </row>
    <row r="2170" spans="1:10">
      <c r="A2170">
        <v>2021</v>
      </c>
      <c r="B2170">
        <v>10</v>
      </c>
      <c r="C2170">
        <v>8803</v>
      </c>
      <c r="D2170">
        <v>275</v>
      </c>
      <c r="E2170" t="s">
        <v>10</v>
      </c>
      <c r="F2170">
        <v>3454102</v>
      </c>
      <c r="G2170" s="1">
        <v>1366</v>
      </c>
      <c r="H2170" s="2">
        <v>2380878</v>
      </c>
      <c r="I2170" t="str">
        <f>VLOOKUP(Tabela1[[#This Row],[CO_PAIS]],'[1]nome do paixs'!$A:$B,2,0)</f>
        <v>França</v>
      </c>
      <c r="J2170" t="s">
        <v>11</v>
      </c>
    </row>
    <row r="2171" spans="1:10">
      <c r="A2171">
        <v>2021</v>
      </c>
      <c r="B2171">
        <v>10</v>
      </c>
      <c r="C2171">
        <v>8803</v>
      </c>
      <c r="D2171">
        <v>399</v>
      </c>
      <c r="E2171" t="s">
        <v>10</v>
      </c>
      <c r="F2171">
        <v>3454102</v>
      </c>
      <c r="G2171" s="1">
        <v>2716</v>
      </c>
      <c r="H2171" s="2">
        <v>2001964</v>
      </c>
      <c r="I2171" t="str">
        <f>VLOOKUP(Tabela1[[#This Row],[CO_PAIS]],'[1]nome do paixs'!$A:$B,2,0)</f>
        <v>Japão</v>
      </c>
      <c r="J2171" t="s">
        <v>11</v>
      </c>
    </row>
    <row r="2172" spans="1:10">
      <c r="A2172">
        <v>2021</v>
      </c>
      <c r="B2172">
        <v>10</v>
      </c>
      <c r="C2172">
        <v>8803</v>
      </c>
      <c r="D2172">
        <v>190</v>
      </c>
      <c r="E2172" t="s">
        <v>10</v>
      </c>
      <c r="F2172">
        <v>3449904</v>
      </c>
      <c r="G2172" s="1">
        <v>1</v>
      </c>
      <c r="H2172" s="2">
        <v>885</v>
      </c>
      <c r="I2172" t="str">
        <f>VLOOKUP(Tabela1[[#This Row],[CO_PAIS]],'[1]nome do paixs'!$A:$B,2,0)</f>
        <v>Coreia do Sul</v>
      </c>
      <c r="J2172" t="s">
        <v>12</v>
      </c>
    </row>
    <row r="2173" spans="1:10">
      <c r="A2173">
        <v>2021</v>
      </c>
      <c r="B2173">
        <v>10</v>
      </c>
      <c r="C2173">
        <v>8803</v>
      </c>
      <c r="D2173">
        <v>628</v>
      </c>
      <c r="E2173" t="s">
        <v>10</v>
      </c>
      <c r="F2173">
        <v>3449904</v>
      </c>
      <c r="G2173" s="1">
        <v>272</v>
      </c>
      <c r="H2173" s="2">
        <v>193500</v>
      </c>
      <c r="I2173" t="str">
        <f>VLOOKUP(Tabela1[[#This Row],[CO_PAIS]],'[1]nome do paixs'!$A:$B,2,0)</f>
        <v>Reino Unido</v>
      </c>
      <c r="J2173" t="s">
        <v>12</v>
      </c>
    </row>
    <row r="2174" spans="1:10">
      <c r="A2174">
        <v>2021</v>
      </c>
      <c r="B2174">
        <v>10</v>
      </c>
      <c r="C2174">
        <v>8803</v>
      </c>
      <c r="D2174">
        <v>827</v>
      </c>
      <c r="E2174" t="s">
        <v>10</v>
      </c>
      <c r="F2174">
        <v>3449904</v>
      </c>
      <c r="G2174" s="1">
        <v>3</v>
      </c>
      <c r="H2174" s="2">
        <v>1874</v>
      </c>
      <c r="I2174" t="str">
        <f>VLOOKUP(Tabela1[[#This Row],[CO_PAIS]],'[1]nome do paixs'!$A:$B,2,0)</f>
        <v>Turquia</v>
      </c>
      <c r="J2174" t="s">
        <v>12</v>
      </c>
    </row>
    <row r="2175" spans="1:10">
      <c r="A2175">
        <v>2021</v>
      </c>
      <c r="B2175">
        <v>10</v>
      </c>
      <c r="C2175">
        <v>8803</v>
      </c>
      <c r="D2175">
        <v>741</v>
      </c>
      <c r="E2175" t="s">
        <v>10</v>
      </c>
      <c r="F2175">
        <v>3449904</v>
      </c>
      <c r="G2175" s="1">
        <v>97</v>
      </c>
      <c r="H2175" s="2">
        <v>89298</v>
      </c>
      <c r="I2175" t="str">
        <f>VLOOKUP(Tabela1[[#This Row],[CO_PAIS]],'[1]nome do paixs'!$A:$B,2,0)</f>
        <v>Singapura</v>
      </c>
      <c r="J2175" t="s">
        <v>12</v>
      </c>
    </row>
    <row r="2176" spans="1:10">
      <c r="A2176">
        <v>2021</v>
      </c>
      <c r="B2176">
        <v>10</v>
      </c>
      <c r="C2176">
        <v>8803</v>
      </c>
      <c r="D2176">
        <v>245</v>
      </c>
      <c r="E2176" t="s">
        <v>10</v>
      </c>
      <c r="F2176">
        <v>3424402</v>
      </c>
      <c r="G2176" s="1">
        <v>57</v>
      </c>
      <c r="H2176" s="2">
        <v>41526</v>
      </c>
      <c r="I2176" t="str">
        <f>VLOOKUP(Tabela1[[#This Row],[CO_PAIS]],'[1]nome do paixs'!$A:$B,2,0)</f>
        <v>Espanha</v>
      </c>
      <c r="J2176" t="s">
        <v>13</v>
      </c>
    </row>
    <row r="2177" spans="1:10">
      <c r="A2177">
        <v>2021</v>
      </c>
      <c r="B2177">
        <v>10</v>
      </c>
      <c r="C2177">
        <v>8803</v>
      </c>
      <c r="D2177">
        <v>190</v>
      </c>
      <c r="E2177" t="s">
        <v>10</v>
      </c>
      <c r="F2177">
        <v>3454102</v>
      </c>
      <c r="G2177" s="1">
        <v>151</v>
      </c>
      <c r="H2177" s="2">
        <v>187662</v>
      </c>
      <c r="I2177" t="str">
        <f>VLOOKUP(Tabela1[[#This Row],[CO_PAIS]],'[1]nome do paixs'!$A:$B,2,0)</f>
        <v>Coreia do Sul</v>
      </c>
      <c r="J2177" t="s">
        <v>11</v>
      </c>
    </row>
    <row r="2178" spans="1:10">
      <c r="A2178">
        <v>2021</v>
      </c>
      <c r="B2178">
        <v>10</v>
      </c>
      <c r="C2178">
        <v>8803</v>
      </c>
      <c r="D2178">
        <v>386</v>
      </c>
      <c r="E2178" t="s">
        <v>10</v>
      </c>
      <c r="F2178">
        <v>3449904</v>
      </c>
      <c r="G2178" s="1">
        <v>23</v>
      </c>
      <c r="H2178" s="2">
        <v>18683</v>
      </c>
      <c r="I2178" t="str">
        <f>VLOOKUP(Tabela1[[#This Row],[CO_PAIS]],'[1]nome do paixs'!$A:$B,2,0)</f>
        <v>Itália</v>
      </c>
      <c r="J2178" t="s">
        <v>12</v>
      </c>
    </row>
    <row r="2179" spans="1:10">
      <c r="A2179">
        <v>2021</v>
      </c>
      <c r="B2179">
        <v>10</v>
      </c>
      <c r="C2179">
        <v>8803</v>
      </c>
      <c r="D2179">
        <v>607</v>
      </c>
      <c r="E2179" t="s">
        <v>10</v>
      </c>
      <c r="F2179">
        <v>3449904</v>
      </c>
      <c r="G2179" s="1">
        <v>1</v>
      </c>
      <c r="H2179" s="2">
        <v>9402</v>
      </c>
      <c r="I2179" t="str">
        <f>VLOOKUP(Tabela1[[#This Row],[CO_PAIS]],'[1]nome do paixs'!$A:$B,2,0)</f>
        <v>Portugal</v>
      </c>
      <c r="J2179" t="s">
        <v>12</v>
      </c>
    </row>
    <row r="2180" spans="1:10">
      <c r="A2180">
        <v>2021</v>
      </c>
      <c r="B2180">
        <v>10</v>
      </c>
      <c r="C2180">
        <v>8803</v>
      </c>
      <c r="D2180">
        <v>275</v>
      </c>
      <c r="E2180" t="s">
        <v>10</v>
      </c>
      <c r="F2180">
        <v>3424402</v>
      </c>
      <c r="G2180" s="1">
        <v>176</v>
      </c>
      <c r="H2180" s="2">
        <v>374304</v>
      </c>
      <c r="I2180" t="str">
        <f>VLOOKUP(Tabela1[[#This Row],[CO_PAIS]],'[1]nome do paixs'!$A:$B,2,0)</f>
        <v>França</v>
      </c>
      <c r="J2180" t="s">
        <v>13</v>
      </c>
    </row>
    <row r="2181" spans="1:10">
      <c r="A2181">
        <v>2021</v>
      </c>
      <c r="B2181">
        <v>10</v>
      </c>
      <c r="C2181">
        <v>8803</v>
      </c>
      <c r="D2181">
        <v>72</v>
      </c>
      <c r="E2181" t="s">
        <v>10</v>
      </c>
      <c r="F2181">
        <v>3449904</v>
      </c>
      <c r="G2181" s="1">
        <v>2</v>
      </c>
      <c r="H2181" s="2">
        <v>1148</v>
      </c>
      <c r="I2181" t="str">
        <f>VLOOKUP(Tabela1[[#This Row],[CO_PAIS]],'[1]nome do paixs'!$A:$B,2,0)</f>
        <v>Áustria</v>
      </c>
      <c r="J2181" t="s">
        <v>12</v>
      </c>
    </row>
    <row r="2182" spans="1:10">
      <c r="A2182">
        <v>2021</v>
      </c>
      <c r="B2182">
        <v>10</v>
      </c>
      <c r="C2182">
        <v>8803</v>
      </c>
      <c r="D2182">
        <v>676</v>
      </c>
      <c r="E2182" t="s">
        <v>10</v>
      </c>
      <c r="F2182">
        <v>3454102</v>
      </c>
      <c r="G2182" s="1">
        <v>551</v>
      </c>
      <c r="H2182" s="2">
        <v>38312</v>
      </c>
      <c r="I2182" t="str">
        <f>VLOOKUP(Tabela1[[#This Row],[CO_PAIS]],'[1]nome do paixs'!$A:$B,2,0)</f>
        <v>Rússia</v>
      </c>
      <c r="J2182" t="s">
        <v>11</v>
      </c>
    </row>
    <row r="2183" spans="1:10">
      <c r="A2183">
        <v>2021</v>
      </c>
      <c r="B2183">
        <v>10</v>
      </c>
      <c r="C2183">
        <v>8803</v>
      </c>
      <c r="D2183">
        <v>375</v>
      </c>
      <c r="E2183" t="s">
        <v>10</v>
      </c>
      <c r="F2183">
        <v>3449904</v>
      </c>
      <c r="G2183" s="1">
        <v>0</v>
      </c>
      <c r="H2183" s="2">
        <v>24</v>
      </c>
      <c r="I2183" t="str">
        <f>VLOOKUP(Tabela1[[#This Row],[CO_PAIS]],'[1]nome do paixs'!$A:$B,2,0)</f>
        <v>Irlanda</v>
      </c>
      <c r="J2183" t="s">
        <v>12</v>
      </c>
    </row>
    <row r="2184" spans="1:10">
      <c r="A2184">
        <v>2021</v>
      </c>
      <c r="B2184">
        <v>10</v>
      </c>
      <c r="C2184">
        <v>8803</v>
      </c>
      <c r="D2184">
        <v>249</v>
      </c>
      <c r="E2184" t="s">
        <v>10</v>
      </c>
      <c r="F2184">
        <v>3454102</v>
      </c>
      <c r="G2184" s="1">
        <v>9811</v>
      </c>
      <c r="H2184" s="2">
        <v>4176997</v>
      </c>
      <c r="I2184" t="str">
        <f>VLOOKUP(Tabela1[[#This Row],[CO_PAIS]],'[1]nome do paixs'!$A:$B,2,0)</f>
        <v>Estados Unidos</v>
      </c>
      <c r="J2184" t="s">
        <v>11</v>
      </c>
    </row>
    <row r="2185" spans="1:10">
      <c r="A2185">
        <v>2021</v>
      </c>
      <c r="B2185">
        <v>10</v>
      </c>
      <c r="C2185">
        <v>8803</v>
      </c>
      <c r="D2185">
        <v>375</v>
      </c>
      <c r="E2185" t="s">
        <v>10</v>
      </c>
      <c r="F2185">
        <v>3454102</v>
      </c>
      <c r="G2185" s="1">
        <v>17</v>
      </c>
      <c r="H2185" s="2">
        <v>8300</v>
      </c>
      <c r="I2185" t="str">
        <f>VLOOKUP(Tabela1[[#This Row],[CO_PAIS]],'[1]nome do paixs'!$A:$B,2,0)</f>
        <v>Irlanda</v>
      </c>
      <c r="J2185" t="s">
        <v>11</v>
      </c>
    </row>
    <row r="2186" spans="1:10">
      <c r="A2186">
        <v>2021</v>
      </c>
      <c r="B2186">
        <v>10</v>
      </c>
      <c r="C2186">
        <v>8803</v>
      </c>
      <c r="D2186">
        <v>361</v>
      </c>
      <c r="E2186" t="s">
        <v>10</v>
      </c>
      <c r="F2186">
        <v>3449904</v>
      </c>
      <c r="G2186" s="1">
        <v>288</v>
      </c>
      <c r="H2186" s="2">
        <v>127652</v>
      </c>
      <c r="I2186" t="str">
        <f>VLOOKUP(Tabela1[[#This Row],[CO_PAIS]],'[1]nome do paixs'!$A:$B,2,0)</f>
        <v>Índia</v>
      </c>
      <c r="J2186" t="s">
        <v>12</v>
      </c>
    </row>
    <row r="2187" spans="1:10">
      <c r="A2187">
        <v>2021</v>
      </c>
      <c r="B2187">
        <v>10</v>
      </c>
      <c r="C2187">
        <v>8803</v>
      </c>
      <c r="D2187">
        <v>23</v>
      </c>
      <c r="E2187" t="s">
        <v>10</v>
      </c>
      <c r="F2187">
        <v>3449904</v>
      </c>
      <c r="G2187" s="1">
        <v>36</v>
      </c>
      <c r="H2187" s="2">
        <v>26999</v>
      </c>
      <c r="I2187" t="str">
        <f>VLOOKUP(Tabela1[[#This Row],[CO_PAIS]],'[1]nome do paixs'!$A:$B,2,0)</f>
        <v>Alemanha</v>
      </c>
      <c r="J2187" t="s">
        <v>12</v>
      </c>
    </row>
    <row r="2188" spans="1:10">
      <c r="A2188">
        <v>2021</v>
      </c>
      <c r="B2188">
        <v>10</v>
      </c>
      <c r="C2188">
        <v>8803</v>
      </c>
      <c r="D2188">
        <v>399</v>
      </c>
      <c r="E2188" t="s">
        <v>10</v>
      </c>
      <c r="F2188">
        <v>3449904</v>
      </c>
      <c r="G2188" s="1">
        <v>666</v>
      </c>
      <c r="H2188" s="2">
        <v>524838</v>
      </c>
      <c r="I2188" t="str">
        <f>VLOOKUP(Tabela1[[#This Row],[CO_PAIS]],'[1]nome do paixs'!$A:$B,2,0)</f>
        <v>Japão</v>
      </c>
      <c r="J2188" t="s">
        <v>12</v>
      </c>
    </row>
    <row r="2189" spans="1:10">
      <c r="A2189">
        <v>2021</v>
      </c>
      <c r="B2189">
        <v>10</v>
      </c>
      <c r="C2189">
        <v>8803</v>
      </c>
      <c r="D2189">
        <v>105</v>
      </c>
      <c r="E2189" t="s">
        <v>10</v>
      </c>
      <c r="F2189">
        <v>3454102</v>
      </c>
      <c r="G2189" s="1">
        <v>2079</v>
      </c>
      <c r="H2189" s="2">
        <v>1656056</v>
      </c>
      <c r="I2189" t="str">
        <f>VLOOKUP(Tabela1[[#This Row],[CO_PAIS]],'[1]nome do paixs'!$A:$B,2,0)</f>
        <v>Brasil</v>
      </c>
      <c r="J2189" t="s">
        <v>11</v>
      </c>
    </row>
    <row r="2190" spans="1:10">
      <c r="A2190">
        <v>2021</v>
      </c>
      <c r="B2190">
        <v>10</v>
      </c>
      <c r="C2190">
        <v>8803</v>
      </c>
      <c r="D2190">
        <v>249</v>
      </c>
      <c r="E2190" t="s">
        <v>10</v>
      </c>
      <c r="F2190">
        <v>3449904</v>
      </c>
      <c r="G2190" s="1">
        <v>2316</v>
      </c>
      <c r="H2190" s="2">
        <v>2475990</v>
      </c>
      <c r="I2190" t="str">
        <f>VLOOKUP(Tabela1[[#This Row],[CO_PAIS]],'[1]nome do paixs'!$A:$B,2,0)</f>
        <v>Estados Unidos</v>
      </c>
      <c r="J2190" t="s">
        <v>12</v>
      </c>
    </row>
    <row r="2191" spans="1:10">
      <c r="A2191">
        <v>2021</v>
      </c>
      <c r="B2191">
        <v>10</v>
      </c>
      <c r="C2191">
        <v>8803</v>
      </c>
      <c r="D2191">
        <v>607</v>
      </c>
      <c r="E2191" t="s">
        <v>10</v>
      </c>
      <c r="F2191">
        <v>3454102</v>
      </c>
      <c r="G2191" s="1">
        <v>6732</v>
      </c>
      <c r="H2191" s="2">
        <v>2329851</v>
      </c>
      <c r="I2191" t="str">
        <f>VLOOKUP(Tabela1[[#This Row],[CO_PAIS]],'[1]nome do paixs'!$A:$B,2,0)</f>
        <v>Portugal</v>
      </c>
      <c r="J2191" t="s">
        <v>11</v>
      </c>
    </row>
    <row r="2192" spans="1:10">
      <c r="A2192">
        <v>2021</v>
      </c>
      <c r="B2192">
        <v>10</v>
      </c>
      <c r="C2192">
        <v>8803</v>
      </c>
      <c r="D2192">
        <v>72</v>
      </c>
      <c r="E2192" t="s">
        <v>10</v>
      </c>
      <c r="F2192">
        <v>3454102</v>
      </c>
      <c r="G2192" s="1">
        <v>9060</v>
      </c>
      <c r="H2192" s="2">
        <v>1065897</v>
      </c>
      <c r="I2192" t="str">
        <f>VLOOKUP(Tabela1[[#This Row],[CO_PAIS]],'[1]nome do paixs'!$A:$B,2,0)</f>
        <v>Áustria</v>
      </c>
      <c r="J2192" t="s">
        <v>11</v>
      </c>
    </row>
    <row r="2193" spans="1:10">
      <c r="A2193">
        <v>2021</v>
      </c>
      <c r="B2193">
        <v>10</v>
      </c>
      <c r="C2193">
        <v>8803</v>
      </c>
      <c r="D2193">
        <v>603</v>
      </c>
      <c r="E2193" t="s">
        <v>10</v>
      </c>
      <c r="F2193">
        <v>3449904</v>
      </c>
      <c r="G2193" s="1">
        <v>3</v>
      </c>
      <c r="H2193" s="2">
        <v>3301</v>
      </c>
      <c r="I2193" t="str">
        <f>VLOOKUP(Tabela1[[#This Row],[CO_PAIS]],'[1]nome do paixs'!$A:$B,2,0)</f>
        <v>Polônia</v>
      </c>
      <c r="J2193" t="s">
        <v>12</v>
      </c>
    </row>
    <row r="2194" spans="1:10">
      <c r="A2194">
        <v>2021</v>
      </c>
      <c r="B2194">
        <v>10</v>
      </c>
      <c r="C2194">
        <v>8803</v>
      </c>
      <c r="D2194">
        <v>474</v>
      </c>
      <c r="E2194" t="s">
        <v>10</v>
      </c>
      <c r="F2194">
        <v>3454102</v>
      </c>
      <c r="G2194" s="1">
        <v>184</v>
      </c>
      <c r="H2194" s="2">
        <v>329837</v>
      </c>
      <c r="I2194" t="str">
        <f>VLOOKUP(Tabela1[[#This Row],[CO_PAIS]],'[1]nome do paixs'!$A:$B,2,0)</f>
        <v>Marrocos</v>
      </c>
      <c r="J2194" t="s">
        <v>11</v>
      </c>
    </row>
    <row r="2195" spans="1:10">
      <c r="A2195">
        <v>2021</v>
      </c>
      <c r="B2195">
        <v>10</v>
      </c>
      <c r="C2195">
        <v>8803</v>
      </c>
      <c r="D2195">
        <v>791</v>
      </c>
      <c r="E2195" t="s">
        <v>10</v>
      </c>
      <c r="F2195">
        <v>3424402</v>
      </c>
      <c r="G2195" s="1">
        <v>261</v>
      </c>
      <c r="H2195" s="2">
        <v>158174</v>
      </c>
      <c r="I2195" t="str">
        <f>VLOOKUP(Tabela1[[#This Row],[CO_PAIS]],'[1]nome do paixs'!$A:$B,2,0)</f>
        <v>Tcheca, República</v>
      </c>
      <c r="J2195" t="s">
        <v>13</v>
      </c>
    </row>
    <row r="2196" spans="1:10">
      <c r="A2196">
        <v>2021</v>
      </c>
      <c r="B2196">
        <v>10</v>
      </c>
      <c r="C2196">
        <v>8803</v>
      </c>
      <c r="D2196">
        <v>87</v>
      </c>
      <c r="E2196" t="s">
        <v>10</v>
      </c>
      <c r="F2196">
        <v>3454102</v>
      </c>
      <c r="G2196" s="1">
        <v>967</v>
      </c>
      <c r="H2196" s="2">
        <v>936966</v>
      </c>
      <c r="I2196" t="str">
        <f>VLOOKUP(Tabela1[[#This Row],[CO_PAIS]],'[1]nome do paixs'!$A:$B,2,0)</f>
        <v>Bélgica</v>
      </c>
      <c r="J2196" t="s">
        <v>11</v>
      </c>
    </row>
    <row r="2197" spans="1:10">
      <c r="A2197">
        <v>2024</v>
      </c>
      <c r="B2197">
        <v>11</v>
      </c>
      <c r="C2197">
        <v>8807</v>
      </c>
      <c r="D2197">
        <v>628</v>
      </c>
      <c r="E2197" t="s">
        <v>10</v>
      </c>
      <c r="F2197">
        <v>3449904</v>
      </c>
      <c r="G2197" s="1">
        <v>896</v>
      </c>
      <c r="H2197" s="2">
        <v>1099707</v>
      </c>
      <c r="I2197" t="str">
        <f>VLOOKUP(Tabela1[[#This Row],[CO_PAIS]],'[1]nome do paixs'!$A:$B,2,0)</f>
        <v>Reino Unido</v>
      </c>
      <c r="J2197" t="s">
        <v>12</v>
      </c>
    </row>
    <row r="2198" spans="1:10">
      <c r="A2198">
        <v>2024</v>
      </c>
      <c r="B2198">
        <v>11</v>
      </c>
      <c r="C2198">
        <v>8807</v>
      </c>
      <c r="D2198">
        <v>493</v>
      </c>
      <c r="E2198" t="s">
        <v>10</v>
      </c>
      <c r="F2198">
        <v>3424402</v>
      </c>
      <c r="G2198" s="1">
        <v>11</v>
      </c>
      <c r="H2198" s="2">
        <v>11346</v>
      </c>
      <c r="I2198" t="str">
        <f>VLOOKUP(Tabela1[[#This Row],[CO_PAIS]],'[1]nome do paixs'!$A:$B,2,0)</f>
        <v>México</v>
      </c>
      <c r="J2198" t="s">
        <v>13</v>
      </c>
    </row>
    <row r="2199" spans="1:10">
      <c r="A2199">
        <v>2024</v>
      </c>
      <c r="B2199">
        <v>11</v>
      </c>
      <c r="C2199">
        <v>8807</v>
      </c>
      <c r="D2199">
        <v>628</v>
      </c>
      <c r="E2199" t="s">
        <v>10</v>
      </c>
      <c r="F2199">
        <v>3454102</v>
      </c>
      <c r="G2199" s="1">
        <v>292</v>
      </c>
      <c r="H2199" s="2">
        <v>290359</v>
      </c>
      <c r="I2199" t="str">
        <f>VLOOKUP(Tabela1[[#This Row],[CO_PAIS]],'[1]nome do paixs'!$A:$B,2,0)</f>
        <v>Reino Unido</v>
      </c>
      <c r="J2199" t="s">
        <v>11</v>
      </c>
    </row>
    <row r="2200" spans="1:10">
      <c r="A2200">
        <v>2024</v>
      </c>
      <c r="B2200">
        <v>11</v>
      </c>
      <c r="C2200">
        <v>8807</v>
      </c>
      <c r="D2200">
        <v>375</v>
      </c>
      <c r="E2200" t="s">
        <v>10</v>
      </c>
      <c r="F2200">
        <v>3454102</v>
      </c>
      <c r="G2200" s="1">
        <v>9</v>
      </c>
      <c r="H2200" s="2">
        <v>3864</v>
      </c>
      <c r="I2200" t="str">
        <f>VLOOKUP(Tabela1[[#This Row],[CO_PAIS]],'[1]nome do paixs'!$A:$B,2,0)</f>
        <v>Irlanda</v>
      </c>
      <c r="J2200" t="s">
        <v>11</v>
      </c>
    </row>
    <row r="2201" spans="1:10">
      <c r="A2201">
        <v>2024</v>
      </c>
      <c r="B2201">
        <v>11</v>
      </c>
      <c r="C2201">
        <v>8807</v>
      </c>
      <c r="D2201">
        <v>249</v>
      </c>
      <c r="E2201" t="s">
        <v>10</v>
      </c>
      <c r="F2201">
        <v>3449904</v>
      </c>
      <c r="G2201" s="1">
        <v>5393</v>
      </c>
      <c r="H2201" s="2">
        <v>4641880</v>
      </c>
      <c r="I2201" t="str">
        <f>VLOOKUP(Tabela1[[#This Row],[CO_PAIS]],'[1]nome do paixs'!$A:$B,2,0)</f>
        <v>Estados Unidos</v>
      </c>
      <c r="J2201" t="s">
        <v>12</v>
      </c>
    </row>
    <row r="2202" spans="1:10">
      <c r="A2202">
        <v>2024</v>
      </c>
      <c r="B2202">
        <v>11</v>
      </c>
      <c r="C2202">
        <v>8807</v>
      </c>
      <c r="D2202">
        <v>493</v>
      </c>
      <c r="E2202" t="s">
        <v>10</v>
      </c>
      <c r="F2202">
        <v>3454102</v>
      </c>
      <c r="G2202" s="1">
        <v>9756</v>
      </c>
      <c r="H2202" s="2">
        <v>3832073</v>
      </c>
      <c r="I2202" t="str">
        <f>VLOOKUP(Tabela1[[#This Row],[CO_PAIS]],'[1]nome do paixs'!$A:$B,2,0)</f>
        <v>México</v>
      </c>
      <c r="J2202" t="s">
        <v>11</v>
      </c>
    </row>
    <row r="2203" spans="1:10">
      <c r="A2203">
        <v>2024</v>
      </c>
      <c r="B2203">
        <v>11</v>
      </c>
      <c r="C2203">
        <v>8807</v>
      </c>
      <c r="D2203">
        <v>190</v>
      </c>
      <c r="E2203" t="s">
        <v>10</v>
      </c>
      <c r="F2203">
        <v>3449904</v>
      </c>
      <c r="G2203" s="1">
        <v>159</v>
      </c>
      <c r="H2203" s="2">
        <v>134659</v>
      </c>
      <c r="I2203" t="str">
        <f>VLOOKUP(Tabela1[[#This Row],[CO_PAIS]],'[1]nome do paixs'!$A:$B,2,0)</f>
        <v>Coreia do Sul</v>
      </c>
      <c r="J2203" t="s">
        <v>12</v>
      </c>
    </row>
    <row r="2204" spans="1:10">
      <c r="A2204">
        <v>2024</v>
      </c>
      <c r="B2204">
        <v>11</v>
      </c>
      <c r="C2204">
        <v>8807</v>
      </c>
      <c r="D2204">
        <v>245</v>
      </c>
      <c r="E2204" t="s">
        <v>10</v>
      </c>
      <c r="F2204">
        <v>3449904</v>
      </c>
      <c r="G2204" s="1">
        <v>5585</v>
      </c>
      <c r="H2204" s="2">
        <v>2164785</v>
      </c>
      <c r="I2204" t="str">
        <f>VLOOKUP(Tabela1[[#This Row],[CO_PAIS]],'[1]nome do paixs'!$A:$B,2,0)</f>
        <v>Espanha</v>
      </c>
      <c r="J2204" t="s">
        <v>12</v>
      </c>
    </row>
    <row r="2205" spans="1:10">
      <c r="A2205">
        <v>2024</v>
      </c>
      <c r="B2205">
        <v>11</v>
      </c>
      <c r="C2205">
        <v>8807</v>
      </c>
      <c r="D2205">
        <v>190</v>
      </c>
      <c r="E2205" t="s">
        <v>10</v>
      </c>
      <c r="F2205">
        <v>3454102</v>
      </c>
      <c r="G2205" s="1">
        <v>5709</v>
      </c>
      <c r="H2205" s="2">
        <v>4096872</v>
      </c>
      <c r="I2205" t="str">
        <f>VLOOKUP(Tabela1[[#This Row],[CO_PAIS]],'[1]nome do paixs'!$A:$B,2,0)</f>
        <v>Coreia do Sul</v>
      </c>
      <c r="J2205" t="s">
        <v>11</v>
      </c>
    </row>
    <row r="2206" spans="1:10">
      <c r="A2206">
        <v>2024</v>
      </c>
      <c r="B2206">
        <v>11</v>
      </c>
      <c r="C2206">
        <v>8807</v>
      </c>
      <c r="D2206">
        <v>245</v>
      </c>
      <c r="E2206" t="s">
        <v>10</v>
      </c>
      <c r="F2206">
        <v>3424402</v>
      </c>
      <c r="G2206" s="1">
        <v>80</v>
      </c>
      <c r="H2206" s="2">
        <v>30368</v>
      </c>
      <c r="I2206" t="str">
        <f>VLOOKUP(Tabela1[[#This Row],[CO_PAIS]],'[1]nome do paixs'!$A:$B,2,0)</f>
        <v>Espanha</v>
      </c>
      <c r="J2206" t="s">
        <v>13</v>
      </c>
    </row>
    <row r="2207" spans="1:10">
      <c r="A2207">
        <v>2024</v>
      </c>
      <c r="B2207">
        <v>11</v>
      </c>
      <c r="C2207">
        <v>8807</v>
      </c>
      <c r="D2207">
        <v>361</v>
      </c>
      <c r="E2207" t="s">
        <v>10</v>
      </c>
      <c r="F2207">
        <v>3449904</v>
      </c>
      <c r="G2207" s="1">
        <v>444</v>
      </c>
      <c r="H2207" s="2">
        <v>210539</v>
      </c>
      <c r="I2207" t="str">
        <f>VLOOKUP(Tabela1[[#This Row],[CO_PAIS]],'[1]nome do paixs'!$A:$B,2,0)</f>
        <v>Índia</v>
      </c>
      <c r="J2207" t="s">
        <v>12</v>
      </c>
    </row>
    <row r="2208" spans="1:10">
      <c r="A2208">
        <v>2024</v>
      </c>
      <c r="B2208">
        <v>11</v>
      </c>
      <c r="C2208">
        <v>8807</v>
      </c>
      <c r="D2208">
        <v>149</v>
      </c>
      <c r="E2208" t="s">
        <v>10</v>
      </c>
      <c r="F2208">
        <v>3454102</v>
      </c>
      <c r="G2208" s="1">
        <v>56</v>
      </c>
      <c r="H2208" s="2">
        <v>58166</v>
      </c>
      <c r="I2208" t="str">
        <f>VLOOKUP(Tabela1[[#This Row],[CO_PAIS]],'[1]nome do paixs'!$A:$B,2,0)</f>
        <v>Canadá</v>
      </c>
      <c r="J2208" t="s">
        <v>11</v>
      </c>
    </row>
    <row r="2209" spans="1:10">
      <c r="A2209">
        <v>2024</v>
      </c>
      <c r="B2209">
        <v>11</v>
      </c>
      <c r="C2209">
        <v>8807</v>
      </c>
      <c r="D2209">
        <v>275</v>
      </c>
      <c r="E2209" t="s">
        <v>10</v>
      </c>
      <c r="F2209">
        <v>3454102</v>
      </c>
      <c r="G2209" s="1">
        <v>2167</v>
      </c>
      <c r="H2209" s="2">
        <v>2980466</v>
      </c>
      <c r="I2209" t="str">
        <f>VLOOKUP(Tabela1[[#This Row],[CO_PAIS]],'[1]nome do paixs'!$A:$B,2,0)</f>
        <v>França</v>
      </c>
      <c r="J2209" t="s">
        <v>11</v>
      </c>
    </row>
    <row r="2210" spans="1:10">
      <c r="A2210">
        <v>2024</v>
      </c>
      <c r="B2210">
        <v>11</v>
      </c>
      <c r="C2210">
        <v>8807</v>
      </c>
      <c r="D2210">
        <v>386</v>
      </c>
      <c r="E2210" t="s">
        <v>10</v>
      </c>
      <c r="F2210">
        <v>3449904</v>
      </c>
      <c r="G2210" s="1">
        <v>5</v>
      </c>
      <c r="H2210" s="2">
        <v>6278</v>
      </c>
      <c r="I2210" t="str">
        <f>VLOOKUP(Tabela1[[#This Row],[CO_PAIS]],'[1]nome do paixs'!$A:$B,2,0)</f>
        <v>Itália</v>
      </c>
      <c r="J2210" t="s">
        <v>12</v>
      </c>
    </row>
    <row r="2211" spans="1:10">
      <c r="A2211">
        <v>2024</v>
      </c>
      <c r="B2211">
        <v>11</v>
      </c>
      <c r="C2211">
        <v>8807</v>
      </c>
      <c r="D2211">
        <v>607</v>
      </c>
      <c r="E2211" t="s">
        <v>10</v>
      </c>
      <c r="F2211">
        <v>3449904</v>
      </c>
      <c r="G2211" s="1">
        <v>4</v>
      </c>
      <c r="H2211" s="2">
        <v>26356</v>
      </c>
      <c r="I2211" t="str">
        <f>VLOOKUP(Tabela1[[#This Row],[CO_PAIS]],'[1]nome do paixs'!$A:$B,2,0)</f>
        <v>Portugal</v>
      </c>
      <c r="J2211" t="s">
        <v>12</v>
      </c>
    </row>
    <row r="2212" spans="1:10">
      <c r="A2212">
        <v>2024</v>
      </c>
      <c r="B2212">
        <v>11</v>
      </c>
      <c r="C2212">
        <v>8807</v>
      </c>
      <c r="D2212">
        <v>791</v>
      </c>
      <c r="E2212" t="s">
        <v>10</v>
      </c>
      <c r="F2212">
        <v>3449904</v>
      </c>
      <c r="G2212" s="1">
        <v>21</v>
      </c>
      <c r="H2212" s="2">
        <v>26360</v>
      </c>
      <c r="I2212" t="str">
        <f>VLOOKUP(Tabela1[[#This Row],[CO_PAIS]],'[1]nome do paixs'!$A:$B,2,0)</f>
        <v>Tcheca, República</v>
      </c>
      <c r="J2212" t="s">
        <v>12</v>
      </c>
    </row>
    <row r="2213" spans="1:10">
      <c r="A2213">
        <v>2024</v>
      </c>
      <c r="B2213">
        <v>11</v>
      </c>
      <c r="C2213">
        <v>8807</v>
      </c>
      <c r="D2213">
        <v>275</v>
      </c>
      <c r="E2213" t="s">
        <v>10</v>
      </c>
      <c r="F2213">
        <v>3424402</v>
      </c>
      <c r="G2213" s="1">
        <v>485</v>
      </c>
      <c r="H2213" s="2">
        <v>397569</v>
      </c>
      <c r="I2213" t="str">
        <f>VLOOKUP(Tabela1[[#This Row],[CO_PAIS]],'[1]nome do paixs'!$A:$B,2,0)</f>
        <v>França</v>
      </c>
      <c r="J2213" t="s">
        <v>13</v>
      </c>
    </row>
    <row r="2214" spans="1:10">
      <c r="A2214">
        <v>2024</v>
      </c>
      <c r="B2214">
        <v>11</v>
      </c>
      <c r="C2214">
        <v>8807</v>
      </c>
      <c r="D2214">
        <v>275</v>
      </c>
      <c r="E2214" t="s">
        <v>10</v>
      </c>
      <c r="F2214">
        <v>3449904</v>
      </c>
      <c r="G2214" s="1">
        <v>539</v>
      </c>
      <c r="H2214" s="2">
        <v>414395</v>
      </c>
      <c r="I2214" t="str">
        <f>VLOOKUP(Tabela1[[#This Row],[CO_PAIS]],'[1]nome do paixs'!$A:$B,2,0)</f>
        <v>França</v>
      </c>
      <c r="J2214" t="s">
        <v>12</v>
      </c>
    </row>
    <row r="2215" spans="1:10">
      <c r="A2215">
        <v>2024</v>
      </c>
      <c r="B2215">
        <v>11</v>
      </c>
      <c r="C2215">
        <v>8807</v>
      </c>
      <c r="D2215">
        <v>375</v>
      </c>
      <c r="E2215" t="s">
        <v>10</v>
      </c>
      <c r="F2215">
        <v>3449904</v>
      </c>
      <c r="G2215" s="1">
        <v>5</v>
      </c>
      <c r="H2215" s="2">
        <v>1974</v>
      </c>
      <c r="I2215" t="str">
        <f>VLOOKUP(Tabela1[[#This Row],[CO_PAIS]],'[1]nome do paixs'!$A:$B,2,0)</f>
        <v>Irlanda</v>
      </c>
      <c r="J2215" t="s">
        <v>12</v>
      </c>
    </row>
    <row r="2216" spans="1:10">
      <c r="A2216">
        <v>2024</v>
      </c>
      <c r="B2216">
        <v>11</v>
      </c>
      <c r="C2216">
        <v>8807</v>
      </c>
      <c r="D2216">
        <v>493</v>
      </c>
      <c r="E2216" t="s">
        <v>10</v>
      </c>
      <c r="F2216">
        <v>3449904</v>
      </c>
      <c r="G2216" s="1">
        <v>1655</v>
      </c>
      <c r="H2216" s="2">
        <v>1110694</v>
      </c>
      <c r="I2216" t="str">
        <f>VLOOKUP(Tabela1[[#This Row],[CO_PAIS]],'[1]nome do paixs'!$A:$B,2,0)</f>
        <v>México</v>
      </c>
      <c r="J2216" t="s">
        <v>12</v>
      </c>
    </row>
    <row r="2217" spans="1:10">
      <c r="A2217">
        <v>2024</v>
      </c>
      <c r="B2217">
        <v>11</v>
      </c>
      <c r="C2217">
        <v>8807</v>
      </c>
      <c r="D2217">
        <v>827</v>
      </c>
      <c r="E2217" t="s">
        <v>10</v>
      </c>
      <c r="F2217">
        <v>3449904</v>
      </c>
      <c r="G2217" s="1">
        <v>12</v>
      </c>
      <c r="H2217" s="2">
        <v>3547</v>
      </c>
      <c r="I2217" t="str">
        <f>VLOOKUP(Tabela1[[#This Row],[CO_PAIS]],'[1]nome do paixs'!$A:$B,2,0)</f>
        <v>Turquia</v>
      </c>
      <c r="J2217" t="s">
        <v>12</v>
      </c>
    </row>
    <row r="2218" spans="1:10">
      <c r="A2218">
        <v>2024</v>
      </c>
      <c r="B2218">
        <v>11</v>
      </c>
      <c r="C2218">
        <v>8807</v>
      </c>
      <c r="D2218">
        <v>386</v>
      </c>
      <c r="E2218" t="s">
        <v>10</v>
      </c>
      <c r="F2218">
        <v>3454102</v>
      </c>
      <c r="G2218" s="1">
        <v>577</v>
      </c>
      <c r="H2218" s="2">
        <v>1599659</v>
      </c>
      <c r="I2218" t="str">
        <f>VLOOKUP(Tabela1[[#This Row],[CO_PAIS]],'[1]nome do paixs'!$A:$B,2,0)</f>
        <v>Itália</v>
      </c>
      <c r="J2218" t="s">
        <v>11</v>
      </c>
    </row>
    <row r="2219" spans="1:10">
      <c r="A2219">
        <v>2024</v>
      </c>
      <c r="B2219">
        <v>11</v>
      </c>
      <c r="C2219">
        <v>8807</v>
      </c>
      <c r="D2219">
        <v>245</v>
      </c>
      <c r="E2219" t="s">
        <v>10</v>
      </c>
      <c r="F2219">
        <v>3454102</v>
      </c>
      <c r="G2219" s="1">
        <v>622</v>
      </c>
      <c r="H2219" s="2">
        <v>739699</v>
      </c>
      <c r="I2219" t="str">
        <f>VLOOKUP(Tabela1[[#This Row],[CO_PAIS]],'[1]nome do paixs'!$A:$B,2,0)</f>
        <v>Espanha</v>
      </c>
      <c r="J2219" t="s">
        <v>11</v>
      </c>
    </row>
    <row r="2220" spans="1:10">
      <c r="A2220">
        <v>2024</v>
      </c>
      <c r="B2220">
        <v>11</v>
      </c>
      <c r="C2220">
        <v>8807</v>
      </c>
      <c r="D2220">
        <v>399</v>
      </c>
      <c r="E2220" t="s">
        <v>10</v>
      </c>
      <c r="F2220">
        <v>3449904</v>
      </c>
      <c r="G2220" s="1">
        <v>273</v>
      </c>
      <c r="H2220" s="2">
        <v>366863</v>
      </c>
      <c r="I2220" t="str">
        <f>VLOOKUP(Tabela1[[#This Row],[CO_PAIS]],'[1]nome do paixs'!$A:$B,2,0)</f>
        <v>Japão</v>
      </c>
      <c r="J2220" t="s">
        <v>12</v>
      </c>
    </row>
    <row r="2221" spans="1:10">
      <c r="A2221">
        <v>2024</v>
      </c>
      <c r="B2221">
        <v>11</v>
      </c>
      <c r="C2221">
        <v>8807</v>
      </c>
      <c r="D2221">
        <v>23</v>
      </c>
      <c r="E2221" t="s">
        <v>10</v>
      </c>
      <c r="F2221">
        <v>3449904</v>
      </c>
      <c r="G2221" s="1">
        <v>272</v>
      </c>
      <c r="H2221" s="2">
        <v>347330</v>
      </c>
      <c r="I2221" t="str">
        <f>VLOOKUP(Tabela1[[#This Row],[CO_PAIS]],'[1]nome do paixs'!$A:$B,2,0)</f>
        <v>Alemanha</v>
      </c>
      <c r="J2221" t="s">
        <v>12</v>
      </c>
    </row>
    <row r="2222" spans="1:10">
      <c r="A2222">
        <v>2024</v>
      </c>
      <c r="B2222">
        <v>11</v>
      </c>
      <c r="C2222">
        <v>8807</v>
      </c>
      <c r="D2222">
        <v>791</v>
      </c>
      <c r="E2222" t="s">
        <v>10</v>
      </c>
      <c r="F2222">
        <v>3424402</v>
      </c>
      <c r="G2222" s="1">
        <v>197</v>
      </c>
      <c r="H2222" s="2">
        <v>169374</v>
      </c>
      <c r="I2222" t="str">
        <f>VLOOKUP(Tabela1[[#This Row],[CO_PAIS]],'[1]nome do paixs'!$A:$B,2,0)</f>
        <v>Tcheca, República</v>
      </c>
      <c r="J2222" t="s">
        <v>13</v>
      </c>
    </row>
    <row r="2223" spans="1:10">
      <c r="A2223">
        <v>2024</v>
      </c>
      <c r="B2223">
        <v>11</v>
      </c>
      <c r="C2223">
        <v>8807</v>
      </c>
      <c r="D2223">
        <v>249</v>
      </c>
      <c r="E2223" t="s">
        <v>10</v>
      </c>
      <c r="F2223">
        <v>3424402</v>
      </c>
      <c r="G2223" s="1">
        <v>2452</v>
      </c>
      <c r="H2223" s="2">
        <v>475707</v>
      </c>
      <c r="I2223" t="str">
        <f>VLOOKUP(Tabela1[[#This Row],[CO_PAIS]],'[1]nome do paixs'!$A:$B,2,0)</f>
        <v>Estados Unidos</v>
      </c>
      <c r="J2223" t="s">
        <v>13</v>
      </c>
    </row>
    <row r="2224" spans="1:10">
      <c r="A2224">
        <v>2024</v>
      </c>
      <c r="B2224">
        <v>11</v>
      </c>
      <c r="C2224">
        <v>8807</v>
      </c>
      <c r="D2224">
        <v>791</v>
      </c>
      <c r="E2224" t="s">
        <v>10</v>
      </c>
      <c r="F2224">
        <v>3454102</v>
      </c>
      <c r="G2224" s="1">
        <v>5</v>
      </c>
      <c r="H2224" s="2">
        <v>17541</v>
      </c>
      <c r="I2224" t="str">
        <f>VLOOKUP(Tabela1[[#This Row],[CO_PAIS]],'[1]nome do paixs'!$A:$B,2,0)</f>
        <v>Tcheca, República</v>
      </c>
      <c r="J2224" t="s">
        <v>11</v>
      </c>
    </row>
    <row r="2225" spans="1:10">
      <c r="A2225">
        <v>2024</v>
      </c>
      <c r="B2225">
        <v>11</v>
      </c>
      <c r="C2225">
        <v>8807</v>
      </c>
      <c r="D2225">
        <v>23</v>
      </c>
      <c r="E2225" t="s">
        <v>10</v>
      </c>
      <c r="F2225">
        <v>3454102</v>
      </c>
      <c r="G2225" s="1">
        <v>7770</v>
      </c>
      <c r="H2225" s="2">
        <v>1037764</v>
      </c>
      <c r="I2225" t="str">
        <f>VLOOKUP(Tabela1[[#This Row],[CO_PAIS]],'[1]nome do paixs'!$A:$B,2,0)</f>
        <v>Alemanha</v>
      </c>
      <c r="J2225" t="s">
        <v>11</v>
      </c>
    </row>
    <row r="2226" spans="1:10">
      <c r="A2226">
        <v>2024</v>
      </c>
      <c r="B2226">
        <v>11</v>
      </c>
      <c r="C2226">
        <v>8807</v>
      </c>
      <c r="D2226">
        <v>105</v>
      </c>
      <c r="E2226" t="s">
        <v>10</v>
      </c>
      <c r="F2226">
        <v>3449904</v>
      </c>
      <c r="G2226" s="1">
        <v>8485</v>
      </c>
      <c r="H2226" s="2">
        <v>5665338</v>
      </c>
      <c r="I2226" t="str">
        <f>VLOOKUP(Tabela1[[#This Row],[CO_PAIS]],'[1]nome do paixs'!$A:$B,2,0)</f>
        <v>Brasil</v>
      </c>
      <c r="J2226" t="s">
        <v>12</v>
      </c>
    </row>
    <row r="2227" spans="1:10">
      <c r="A2227">
        <v>2024</v>
      </c>
      <c r="B2227">
        <v>11</v>
      </c>
      <c r="C2227">
        <v>8807</v>
      </c>
      <c r="D2227">
        <v>87</v>
      </c>
      <c r="E2227" t="s">
        <v>10</v>
      </c>
      <c r="F2227">
        <v>3449904</v>
      </c>
      <c r="G2227" s="1">
        <v>3254</v>
      </c>
      <c r="H2227" s="2">
        <v>3348449</v>
      </c>
      <c r="I2227" t="str">
        <f>VLOOKUP(Tabela1[[#This Row],[CO_PAIS]],'[1]nome do paixs'!$A:$B,2,0)</f>
        <v>Bélgica</v>
      </c>
      <c r="J2227" t="s">
        <v>12</v>
      </c>
    </row>
    <row r="2228" spans="1:10">
      <c r="A2228">
        <v>2024</v>
      </c>
      <c r="B2228">
        <v>11</v>
      </c>
      <c r="C2228">
        <v>8807</v>
      </c>
      <c r="D2228">
        <v>23</v>
      </c>
      <c r="E2228" t="s">
        <v>10</v>
      </c>
      <c r="F2228">
        <v>3424402</v>
      </c>
      <c r="G2228" s="1">
        <v>19</v>
      </c>
      <c r="H2228" s="2">
        <v>34926</v>
      </c>
      <c r="I2228" t="str">
        <f>VLOOKUP(Tabela1[[#This Row],[CO_PAIS]],'[1]nome do paixs'!$A:$B,2,0)</f>
        <v>Alemanha</v>
      </c>
      <c r="J2228" t="s">
        <v>13</v>
      </c>
    </row>
    <row r="2229" spans="1:10">
      <c r="A2229">
        <v>2024</v>
      </c>
      <c r="B2229">
        <v>11</v>
      </c>
      <c r="C2229">
        <v>8807</v>
      </c>
      <c r="D2229">
        <v>149</v>
      </c>
      <c r="E2229" t="s">
        <v>10</v>
      </c>
      <c r="F2229">
        <v>3449904</v>
      </c>
      <c r="G2229" s="1">
        <v>7</v>
      </c>
      <c r="H2229" s="2">
        <v>11846</v>
      </c>
      <c r="I2229" t="str">
        <f>VLOOKUP(Tabela1[[#This Row],[CO_PAIS]],'[1]nome do paixs'!$A:$B,2,0)</f>
        <v>Canadá</v>
      </c>
      <c r="J2229" t="s">
        <v>12</v>
      </c>
    </row>
    <row r="2230" spans="1:10">
      <c r="A2230">
        <v>2024</v>
      </c>
      <c r="B2230">
        <v>11</v>
      </c>
      <c r="C2230">
        <v>8807</v>
      </c>
      <c r="D2230">
        <v>87</v>
      </c>
      <c r="E2230" t="s">
        <v>10</v>
      </c>
      <c r="F2230">
        <v>3424402</v>
      </c>
      <c r="G2230" s="1">
        <v>14</v>
      </c>
      <c r="H2230" s="2">
        <v>30390</v>
      </c>
      <c r="I2230" t="str">
        <f>VLOOKUP(Tabela1[[#This Row],[CO_PAIS]],'[1]nome do paixs'!$A:$B,2,0)</f>
        <v>Bélgica</v>
      </c>
      <c r="J2230" t="s">
        <v>13</v>
      </c>
    </row>
    <row r="2231" spans="1:10">
      <c r="A2231">
        <v>2024</v>
      </c>
      <c r="B2231">
        <v>11</v>
      </c>
      <c r="C2231">
        <v>8807</v>
      </c>
      <c r="D2231">
        <v>474</v>
      </c>
      <c r="E2231" t="s">
        <v>10</v>
      </c>
      <c r="F2231">
        <v>3454102</v>
      </c>
      <c r="G2231" s="1">
        <v>137</v>
      </c>
      <c r="H2231" s="2">
        <v>362680</v>
      </c>
      <c r="I2231" t="str">
        <f>VLOOKUP(Tabela1[[#This Row],[CO_PAIS]],'[1]nome do paixs'!$A:$B,2,0)</f>
        <v>Marrocos</v>
      </c>
      <c r="J2231" t="s">
        <v>11</v>
      </c>
    </row>
    <row r="2232" spans="1:10">
      <c r="A2232">
        <v>2024</v>
      </c>
      <c r="B2232">
        <v>11</v>
      </c>
      <c r="C2232">
        <v>8807</v>
      </c>
      <c r="D2232">
        <v>676</v>
      </c>
      <c r="E2232" t="s">
        <v>10</v>
      </c>
      <c r="F2232">
        <v>3454102</v>
      </c>
      <c r="G2232" s="1">
        <v>1553</v>
      </c>
      <c r="H2232" s="2">
        <v>125082</v>
      </c>
      <c r="I2232" t="str">
        <f>VLOOKUP(Tabela1[[#This Row],[CO_PAIS]],'[1]nome do paixs'!$A:$B,2,0)</f>
        <v>Rússia</v>
      </c>
      <c r="J2232" t="s">
        <v>11</v>
      </c>
    </row>
    <row r="2233" spans="1:10">
      <c r="A2233">
        <v>2024</v>
      </c>
      <c r="B2233">
        <v>11</v>
      </c>
      <c r="C2233">
        <v>8807</v>
      </c>
      <c r="D2233">
        <v>72</v>
      </c>
      <c r="E2233" t="s">
        <v>10</v>
      </c>
      <c r="F2233">
        <v>3454102</v>
      </c>
      <c r="G2233" s="1">
        <v>9674</v>
      </c>
      <c r="H2233" s="2">
        <v>1627565</v>
      </c>
      <c r="I2233" t="str">
        <f>VLOOKUP(Tabela1[[#This Row],[CO_PAIS]],'[1]nome do paixs'!$A:$B,2,0)</f>
        <v>Áustria</v>
      </c>
      <c r="J2233" t="s">
        <v>11</v>
      </c>
    </row>
    <row r="2234" spans="1:10">
      <c r="A2234">
        <v>2024</v>
      </c>
      <c r="B2234">
        <v>11</v>
      </c>
      <c r="C2234">
        <v>8807</v>
      </c>
      <c r="D2234">
        <v>105</v>
      </c>
      <c r="E2234" t="s">
        <v>10</v>
      </c>
      <c r="F2234">
        <v>3454102</v>
      </c>
      <c r="G2234" s="1">
        <v>4104</v>
      </c>
      <c r="H2234" s="2">
        <v>3858919</v>
      </c>
      <c r="I2234" t="str">
        <f>VLOOKUP(Tabela1[[#This Row],[CO_PAIS]],'[1]nome do paixs'!$A:$B,2,0)</f>
        <v>Brasil</v>
      </c>
      <c r="J2234" t="s">
        <v>11</v>
      </c>
    </row>
    <row r="2235" spans="1:10">
      <c r="A2235">
        <v>2024</v>
      </c>
      <c r="B2235">
        <v>11</v>
      </c>
      <c r="C2235">
        <v>8807</v>
      </c>
      <c r="D2235">
        <v>399</v>
      </c>
      <c r="E2235" t="s">
        <v>10</v>
      </c>
      <c r="F2235">
        <v>3454102</v>
      </c>
      <c r="G2235" s="1">
        <v>2841</v>
      </c>
      <c r="H2235" s="2">
        <v>1635468</v>
      </c>
      <c r="I2235" t="str">
        <f>VLOOKUP(Tabela1[[#This Row],[CO_PAIS]],'[1]nome do paixs'!$A:$B,2,0)</f>
        <v>Japão</v>
      </c>
      <c r="J2235" t="s">
        <v>11</v>
      </c>
    </row>
    <row r="2236" spans="1:10">
      <c r="A2236">
        <v>2024</v>
      </c>
      <c r="B2236">
        <v>11</v>
      </c>
      <c r="C2236">
        <v>8807</v>
      </c>
      <c r="D2236">
        <v>72</v>
      </c>
      <c r="E2236" t="s">
        <v>10</v>
      </c>
      <c r="F2236">
        <v>3449904</v>
      </c>
      <c r="G2236" s="1">
        <v>311</v>
      </c>
      <c r="H2236" s="2">
        <v>90497</v>
      </c>
      <c r="I2236" t="str">
        <f>VLOOKUP(Tabela1[[#This Row],[CO_PAIS]],'[1]nome do paixs'!$A:$B,2,0)</f>
        <v>Áustria</v>
      </c>
      <c r="J2236" t="s">
        <v>12</v>
      </c>
    </row>
    <row r="2237" spans="1:10">
      <c r="A2237">
        <v>2024</v>
      </c>
      <c r="B2237">
        <v>11</v>
      </c>
      <c r="C2237">
        <v>8807</v>
      </c>
      <c r="D2237">
        <v>383</v>
      </c>
      <c r="E2237" t="s">
        <v>10</v>
      </c>
      <c r="F2237">
        <v>3449904</v>
      </c>
      <c r="G2237" s="1">
        <v>1</v>
      </c>
      <c r="H2237" s="2">
        <v>3388</v>
      </c>
      <c r="I2237" t="str">
        <f>VLOOKUP(Tabela1[[#This Row],[CO_PAIS]],'[1]nome do paixs'!$A:$B,2,0)</f>
        <v>Israel</v>
      </c>
      <c r="J2237" t="s">
        <v>12</v>
      </c>
    </row>
    <row r="2238" spans="1:10">
      <c r="A2238">
        <v>2024</v>
      </c>
      <c r="B2238">
        <v>11</v>
      </c>
      <c r="C2238">
        <v>8807</v>
      </c>
      <c r="D2238">
        <v>249</v>
      </c>
      <c r="E2238" t="s">
        <v>10</v>
      </c>
      <c r="F2238">
        <v>3454102</v>
      </c>
      <c r="G2238" s="1">
        <v>30437</v>
      </c>
      <c r="H2238" s="2">
        <v>10603166</v>
      </c>
      <c r="I2238" t="str">
        <f>VLOOKUP(Tabela1[[#This Row],[CO_PAIS]],'[1]nome do paixs'!$A:$B,2,0)</f>
        <v>Estados Unidos</v>
      </c>
      <c r="J2238" t="s">
        <v>11</v>
      </c>
    </row>
    <row r="2239" spans="1:10">
      <c r="A2239">
        <v>2024</v>
      </c>
      <c r="B2239">
        <v>11</v>
      </c>
      <c r="C2239">
        <v>8807</v>
      </c>
      <c r="D2239">
        <v>455</v>
      </c>
      <c r="E2239" t="s">
        <v>10</v>
      </c>
      <c r="F2239">
        <v>3454102</v>
      </c>
      <c r="G2239" s="1">
        <v>4681</v>
      </c>
      <c r="H2239" s="2">
        <v>611018</v>
      </c>
      <c r="I2239" t="str">
        <f>VLOOKUP(Tabela1[[#This Row],[CO_PAIS]],'[1]nome do paixs'!$A:$B,2,0)</f>
        <v>Malásia</v>
      </c>
      <c r="J2239" t="s">
        <v>11</v>
      </c>
    </row>
    <row r="2240" spans="1:10">
      <c r="A2240">
        <v>2024</v>
      </c>
      <c r="B2240">
        <v>11</v>
      </c>
      <c r="C2240">
        <v>8807</v>
      </c>
      <c r="D2240">
        <v>607</v>
      </c>
      <c r="E2240" t="s">
        <v>10</v>
      </c>
      <c r="F2240">
        <v>3454102</v>
      </c>
      <c r="G2240" s="1">
        <v>16309</v>
      </c>
      <c r="H2240" s="2">
        <v>5835785</v>
      </c>
      <c r="I2240" t="str">
        <f>VLOOKUP(Tabela1[[#This Row],[CO_PAIS]],'[1]nome do paixs'!$A:$B,2,0)</f>
        <v>Portugal</v>
      </c>
      <c r="J2240" t="s">
        <v>11</v>
      </c>
    </row>
    <row r="2241" spans="1:10">
      <c r="A2241">
        <v>2024</v>
      </c>
      <c r="B2241">
        <v>11</v>
      </c>
      <c r="C2241">
        <v>8807</v>
      </c>
      <c r="D2241">
        <v>741</v>
      </c>
      <c r="E2241" t="s">
        <v>10</v>
      </c>
      <c r="F2241">
        <v>3449904</v>
      </c>
      <c r="G2241" s="1">
        <v>168</v>
      </c>
      <c r="H2241" s="2">
        <v>184752</v>
      </c>
      <c r="I2241" t="str">
        <f>VLOOKUP(Tabela1[[#This Row],[CO_PAIS]],'[1]nome do paixs'!$A:$B,2,0)</f>
        <v>Singapura</v>
      </c>
      <c r="J2241" t="s">
        <v>12</v>
      </c>
    </row>
    <row r="2242" spans="1:10">
      <c r="A2242">
        <v>2024</v>
      </c>
      <c r="B2242">
        <v>11</v>
      </c>
      <c r="C2242">
        <v>8807</v>
      </c>
      <c r="D2242">
        <v>87</v>
      </c>
      <c r="E2242" t="s">
        <v>10</v>
      </c>
      <c r="F2242">
        <v>3454102</v>
      </c>
      <c r="G2242" s="1">
        <v>2108</v>
      </c>
      <c r="H2242" s="2">
        <v>1877218</v>
      </c>
      <c r="I2242" t="str">
        <f>VLOOKUP(Tabela1[[#This Row],[CO_PAIS]],'[1]nome do paixs'!$A:$B,2,0)</f>
        <v>Bélgica</v>
      </c>
      <c r="J2242" t="s">
        <v>11</v>
      </c>
    </row>
    <row r="2243" spans="1:10">
      <c r="A2243">
        <v>2023</v>
      </c>
      <c r="B2243">
        <v>11</v>
      </c>
      <c r="C2243">
        <v>8807</v>
      </c>
      <c r="D2243">
        <v>87</v>
      </c>
      <c r="E2243" t="s">
        <v>10</v>
      </c>
      <c r="F2243">
        <v>3449904</v>
      </c>
      <c r="G2243" s="1">
        <v>1455</v>
      </c>
      <c r="H2243" s="2">
        <v>1618330</v>
      </c>
      <c r="I2243" t="str">
        <f>VLOOKUP(Tabela1[[#This Row],[CO_PAIS]],'[1]nome do paixs'!$A:$B,2,0)</f>
        <v>Bélgica</v>
      </c>
      <c r="J2243" t="s">
        <v>12</v>
      </c>
    </row>
    <row r="2244" spans="1:10">
      <c r="A2244">
        <v>2023</v>
      </c>
      <c r="B2244">
        <v>11</v>
      </c>
      <c r="C2244">
        <v>8807</v>
      </c>
      <c r="D2244">
        <v>607</v>
      </c>
      <c r="E2244" t="s">
        <v>10</v>
      </c>
      <c r="F2244">
        <v>3449904</v>
      </c>
      <c r="G2244" s="1">
        <v>2</v>
      </c>
      <c r="H2244" s="2">
        <v>2051</v>
      </c>
      <c r="I2244" t="str">
        <f>VLOOKUP(Tabela1[[#This Row],[CO_PAIS]],'[1]nome do paixs'!$A:$B,2,0)</f>
        <v>Portugal</v>
      </c>
      <c r="J2244" t="s">
        <v>12</v>
      </c>
    </row>
    <row r="2245" spans="1:10">
      <c r="A2245">
        <v>2023</v>
      </c>
      <c r="B2245">
        <v>11</v>
      </c>
      <c r="C2245">
        <v>8807</v>
      </c>
      <c r="D2245">
        <v>275</v>
      </c>
      <c r="E2245" t="s">
        <v>10</v>
      </c>
      <c r="F2245">
        <v>3454102</v>
      </c>
      <c r="G2245" s="1">
        <v>1352</v>
      </c>
      <c r="H2245" s="2">
        <v>1246254</v>
      </c>
      <c r="I2245" t="str">
        <f>VLOOKUP(Tabela1[[#This Row],[CO_PAIS]],'[1]nome do paixs'!$A:$B,2,0)</f>
        <v>França</v>
      </c>
      <c r="J2245" t="s">
        <v>11</v>
      </c>
    </row>
    <row r="2246" spans="1:10">
      <c r="A2246">
        <v>2023</v>
      </c>
      <c r="B2246">
        <v>11</v>
      </c>
      <c r="C2246">
        <v>8807</v>
      </c>
      <c r="D2246">
        <v>628</v>
      </c>
      <c r="E2246" t="s">
        <v>10</v>
      </c>
      <c r="F2246">
        <v>3449904</v>
      </c>
      <c r="G2246" s="1">
        <v>264</v>
      </c>
      <c r="H2246" s="2">
        <v>446070</v>
      </c>
      <c r="I2246" t="str">
        <f>VLOOKUP(Tabela1[[#This Row],[CO_PAIS]],'[1]nome do paixs'!$A:$B,2,0)</f>
        <v>Reino Unido</v>
      </c>
      <c r="J2246" t="s">
        <v>12</v>
      </c>
    </row>
    <row r="2247" spans="1:10">
      <c r="A2247">
        <v>2023</v>
      </c>
      <c r="B2247">
        <v>11</v>
      </c>
      <c r="C2247">
        <v>8807</v>
      </c>
      <c r="D2247">
        <v>149</v>
      </c>
      <c r="E2247" t="s">
        <v>10</v>
      </c>
      <c r="F2247">
        <v>3454102</v>
      </c>
      <c r="G2247" s="1">
        <v>1</v>
      </c>
      <c r="H2247" s="2">
        <v>2440</v>
      </c>
      <c r="I2247" t="str">
        <f>VLOOKUP(Tabela1[[#This Row],[CO_PAIS]],'[1]nome do paixs'!$A:$B,2,0)</f>
        <v>Canadá</v>
      </c>
      <c r="J2247" t="s">
        <v>11</v>
      </c>
    </row>
    <row r="2248" spans="1:10">
      <c r="A2248">
        <v>2023</v>
      </c>
      <c r="B2248">
        <v>11</v>
      </c>
      <c r="C2248">
        <v>8807</v>
      </c>
      <c r="D2248">
        <v>361</v>
      </c>
      <c r="E2248" t="s">
        <v>10</v>
      </c>
      <c r="F2248">
        <v>3449904</v>
      </c>
      <c r="G2248" s="1">
        <v>755</v>
      </c>
      <c r="H2248" s="2">
        <v>334138</v>
      </c>
      <c r="I2248" t="str">
        <f>VLOOKUP(Tabela1[[#This Row],[CO_PAIS]],'[1]nome do paixs'!$A:$B,2,0)</f>
        <v>Índia</v>
      </c>
      <c r="J2248" t="s">
        <v>12</v>
      </c>
    </row>
    <row r="2249" spans="1:10">
      <c r="A2249">
        <v>2023</v>
      </c>
      <c r="B2249">
        <v>11</v>
      </c>
      <c r="C2249">
        <v>8807</v>
      </c>
      <c r="D2249">
        <v>474</v>
      </c>
      <c r="E2249" t="s">
        <v>10</v>
      </c>
      <c r="F2249">
        <v>3449904</v>
      </c>
      <c r="G2249" s="1">
        <v>14</v>
      </c>
      <c r="H2249" s="2">
        <v>49231</v>
      </c>
      <c r="I2249" t="str">
        <f>VLOOKUP(Tabela1[[#This Row],[CO_PAIS]],'[1]nome do paixs'!$A:$B,2,0)</f>
        <v>Marrocos</v>
      </c>
      <c r="J2249" t="s">
        <v>12</v>
      </c>
    </row>
    <row r="2250" spans="1:10">
      <c r="A2250">
        <v>2023</v>
      </c>
      <c r="B2250">
        <v>11</v>
      </c>
      <c r="C2250">
        <v>8807</v>
      </c>
      <c r="D2250">
        <v>245</v>
      </c>
      <c r="E2250" t="s">
        <v>10</v>
      </c>
      <c r="F2250">
        <v>3454102</v>
      </c>
      <c r="G2250" s="1">
        <v>1065</v>
      </c>
      <c r="H2250" s="2">
        <v>1073812</v>
      </c>
      <c r="I2250" t="str">
        <f>VLOOKUP(Tabela1[[#This Row],[CO_PAIS]],'[1]nome do paixs'!$A:$B,2,0)</f>
        <v>Espanha</v>
      </c>
      <c r="J2250" t="s">
        <v>11</v>
      </c>
    </row>
    <row r="2251" spans="1:10">
      <c r="A2251">
        <v>2023</v>
      </c>
      <c r="B2251">
        <v>11</v>
      </c>
      <c r="C2251">
        <v>8807</v>
      </c>
      <c r="D2251">
        <v>23</v>
      </c>
      <c r="E2251" t="s">
        <v>10</v>
      </c>
      <c r="F2251">
        <v>3454102</v>
      </c>
      <c r="G2251" s="1">
        <v>6076</v>
      </c>
      <c r="H2251" s="2">
        <v>642358</v>
      </c>
      <c r="I2251" t="str">
        <f>VLOOKUP(Tabela1[[#This Row],[CO_PAIS]],'[1]nome do paixs'!$A:$B,2,0)</f>
        <v>Alemanha</v>
      </c>
      <c r="J2251" t="s">
        <v>11</v>
      </c>
    </row>
    <row r="2252" spans="1:10">
      <c r="A2252">
        <v>2023</v>
      </c>
      <c r="B2252">
        <v>11</v>
      </c>
      <c r="C2252">
        <v>8807</v>
      </c>
      <c r="D2252">
        <v>105</v>
      </c>
      <c r="E2252" t="s">
        <v>10</v>
      </c>
      <c r="F2252">
        <v>3449904</v>
      </c>
      <c r="G2252" s="1">
        <v>3361</v>
      </c>
      <c r="H2252" s="2">
        <v>2487149</v>
      </c>
      <c r="I2252" t="str">
        <f>VLOOKUP(Tabela1[[#This Row],[CO_PAIS]],'[1]nome do paixs'!$A:$B,2,0)</f>
        <v>Brasil</v>
      </c>
      <c r="J2252" t="s">
        <v>12</v>
      </c>
    </row>
    <row r="2253" spans="1:10">
      <c r="A2253">
        <v>2023</v>
      </c>
      <c r="B2253">
        <v>11</v>
      </c>
      <c r="C2253">
        <v>8807</v>
      </c>
      <c r="D2253">
        <v>791</v>
      </c>
      <c r="E2253" t="s">
        <v>10</v>
      </c>
      <c r="F2253">
        <v>3454102</v>
      </c>
      <c r="G2253" s="1">
        <v>0</v>
      </c>
      <c r="H2253" s="2">
        <v>921</v>
      </c>
      <c r="I2253" t="str">
        <f>VLOOKUP(Tabela1[[#This Row],[CO_PAIS]],'[1]nome do paixs'!$A:$B,2,0)</f>
        <v>Tcheca, República</v>
      </c>
      <c r="J2253" t="s">
        <v>11</v>
      </c>
    </row>
    <row r="2254" spans="1:10">
      <c r="A2254">
        <v>2023</v>
      </c>
      <c r="B2254">
        <v>11</v>
      </c>
      <c r="C2254">
        <v>8807</v>
      </c>
      <c r="D2254">
        <v>245</v>
      </c>
      <c r="E2254" t="s">
        <v>10</v>
      </c>
      <c r="F2254">
        <v>3424402</v>
      </c>
      <c r="G2254" s="1">
        <v>140</v>
      </c>
      <c r="H2254" s="2">
        <v>45097</v>
      </c>
      <c r="I2254" t="str">
        <f>VLOOKUP(Tabela1[[#This Row],[CO_PAIS]],'[1]nome do paixs'!$A:$B,2,0)</f>
        <v>Espanha</v>
      </c>
      <c r="J2254" t="s">
        <v>13</v>
      </c>
    </row>
    <row r="2255" spans="1:10">
      <c r="A2255">
        <v>2023</v>
      </c>
      <c r="B2255">
        <v>11</v>
      </c>
      <c r="C2255">
        <v>8807</v>
      </c>
      <c r="D2255">
        <v>23</v>
      </c>
      <c r="E2255" t="s">
        <v>10</v>
      </c>
      <c r="F2255">
        <v>3424402</v>
      </c>
      <c r="G2255" s="1">
        <v>25</v>
      </c>
      <c r="H2255" s="2">
        <v>27520</v>
      </c>
      <c r="I2255" t="str">
        <f>VLOOKUP(Tabela1[[#This Row],[CO_PAIS]],'[1]nome do paixs'!$A:$B,2,0)</f>
        <v>Alemanha</v>
      </c>
      <c r="J2255" t="s">
        <v>13</v>
      </c>
    </row>
    <row r="2256" spans="1:10">
      <c r="A2256">
        <v>2023</v>
      </c>
      <c r="B2256">
        <v>11</v>
      </c>
      <c r="C2256">
        <v>8807</v>
      </c>
      <c r="D2256">
        <v>493</v>
      </c>
      <c r="E2256" t="s">
        <v>10</v>
      </c>
      <c r="F2256">
        <v>3449904</v>
      </c>
      <c r="G2256" s="1">
        <v>3511</v>
      </c>
      <c r="H2256" s="2">
        <v>1789253</v>
      </c>
      <c r="I2256" t="str">
        <f>VLOOKUP(Tabela1[[#This Row],[CO_PAIS]],'[1]nome do paixs'!$A:$B,2,0)</f>
        <v>México</v>
      </c>
      <c r="J2256" t="s">
        <v>12</v>
      </c>
    </row>
    <row r="2257" spans="1:10">
      <c r="A2257">
        <v>2023</v>
      </c>
      <c r="B2257">
        <v>11</v>
      </c>
      <c r="C2257">
        <v>8807</v>
      </c>
      <c r="D2257">
        <v>399</v>
      </c>
      <c r="E2257" t="s">
        <v>10</v>
      </c>
      <c r="F2257">
        <v>3454102</v>
      </c>
      <c r="G2257" s="1">
        <v>1734</v>
      </c>
      <c r="H2257" s="2">
        <v>1021675</v>
      </c>
      <c r="I2257" t="str">
        <f>VLOOKUP(Tabela1[[#This Row],[CO_PAIS]],'[1]nome do paixs'!$A:$B,2,0)</f>
        <v>Japão</v>
      </c>
      <c r="J2257" t="s">
        <v>11</v>
      </c>
    </row>
    <row r="2258" spans="1:10">
      <c r="A2258">
        <v>2023</v>
      </c>
      <c r="B2258">
        <v>11</v>
      </c>
      <c r="C2258">
        <v>8807</v>
      </c>
      <c r="D2258">
        <v>461</v>
      </c>
      <c r="E2258" t="s">
        <v>10</v>
      </c>
      <c r="F2258">
        <v>3449904</v>
      </c>
      <c r="G2258" s="1">
        <v>0</v>
      </c>
      <c r="H2258" s="2">
        <v>7882</v>
      </c>
      <c r="I2258" t="str">
        <f>VLOOKUP(Tabela1[[#This Row],[CO_PAIS]],'[1]nome do paixs'!$A:$B,2,0)</f>
        <v>Maldivas</v>
      </c>
      <c r="J2258" t="s">
        <v>12</v>
      </c>
    </row>
    <row r="2259" spans="1:10">
      <c r="A2259">
        <v>2023</v>
      </c>
      <c r="B2259">
        <v>11</v>
      </c>
      <c r="C2259">
        <v>8807</v>
      </c>
      <c r="D2259">
        <v>72</v>
      </c>
      <c r="E2259" t="s">
        <v>10</v>
      </c>
      <c r="F2259">
        <v>3454102</v>
      </c>
      <c r="G2259" s="1">
        <v>5449</v>
      </c>
      <c r="H2259" s="2">
        <v>1069283</v>
      </c>
      <c r="I2259" t="str">
        <f>VLOOKUP(Tabela1[[#This Row],[CO_PAIS]],'[1]nome do paixs'!$A:$B,2,0)</f>
        <v>Áustria</v>
      </c>
      <c r="J2259" t="s">
        <v>11</v>
      </c>
    </row>
    <row r="2260" spans="1:10">
      <c r="A2260">
        <v>2023</v>
      </c>
      <c r="B2260">
        <v>11</v>
      </c>
      <c r="C2260">
        <v>8807</v>
      </c>
      <c r="D2260">
        <v>190</v>
      </c>
      <c r="E2260" t="s">
        <v>10</v>
      </c>
      <c r="F2260">
        <v>3449904</v>
      </c>
      <c r="G2260" s="1">
        <v>37</v>
      </c>
      <c r="H2260" s="2">
        <v>59849</v>
      </c>
      <c r="I2260" t="str">
        <f>VLOOKUP(Tabela1[[#This Row],[CO_PAIS]],'[1]nome do paixs'!$A:$B,2,0)</f>
        <v>Coreia do Sul</v>
      </c>
      <c r="J2260" t="s">
        <v>12</v>
      </c>
    </row>
    <row r="2261" spans="1:10">
      <c r="A2261">
        <v>2023</v>
      </c>
      <c r="B2261">
        <v>11</v>
      </c>
      <c r="C2261">
        <v>8807</v>
      </c>
      <c r="D2261">
        <v>190</v>
      </c>
      <c r="E2261" t="s">
        <v>10</v>
      </c>
      <c r="F2261">
        <v>3454102</v>
      </c>
      <c r="G2261" s="1">
        <v>3426</v>
      </c>
      <c r="H2261" s="2">
        <v>3317384</v>
      </c>
      <c r="I2261" t="str">
        <f>VLOOKUP(Tabela1[[#This Row],[CO_PAIS]],'[1]nome do paixs'!$A:$B,2,0)</f>
        <v>Coreia do Sul</v>
      </c>
      <c r="J2261" t="s">
        <v>11</v>
      </c>
    </row>
    <row r="2262" spans="1:10">
      <c r="A2262">
        <v>2023</v>
      </c>
      <c r="B2262">
        <v>11</v>
      </c>
      <c r="C2262">
        <v>8807</v>
      </c>
      <c r="D2262">
        <v>249</v>
      </c>
      <c r="E2262" t="s">
        <v>10</v>
      </c>
      <c r="F2262">
        <v>3424402</v>
      </c>
      <c r="G2262" s="1">
        <v>240</v>
      </c>
      <c r="H2262" s="2">
        <v>36222</v>
      </c>
      <c r="I2262" t="str">
        <f>VLOOKUP(Tabela1[[#This Row],[CO_PAIS]],'[1]nome do paixs'!$A:$B,2,0)</f>
        <v>Estados Unidos</v>
      </c>
      <c r="J2262" t="s">
        <v>13</v>
      </c>
    </row>
    <row r="2263" spans="1:10">
      <c r="A2263">
        <v>2023</v>
      </c>
      <c r="B2263">
        <v>11</v>
      </c>
      <c r="C2263">
        <v>8807</v>
      </c>
      <c r="D2263">
        <v>386</v>
      </c>
      <c r="E2263" t="s">
        <v>10</v>
      </c>
      <c r="F2263">
        <v>3449904</v>
      </c>
      <c r="G2263" s="1">
        <v>1</v>
      </c>
      <c r="H2263" s="2">
        <v>521</v>
      </c>
      <c r="I2263" t="str">
        <f>VLOOKUP(Tabela1[[#This Row],[CO_PAIS]],'[1]nome do paixs'!$A:$B,2,0)</f>
        <v>Itália</v>
      </c>
      <c r="J2263" t="s">
        <v>12</v>
      </c>
    </row>
    <row r="2264" spans="1:10">
      <c r="A2264">
        <v>2023</v>
      </c>
      <c r="B2264">
        <v>11</v>
      </c>
      <c r="C2264">
        <v>8807</v>
      </c>
      <c r="D2264">
        <v>741</v>
      </c>
      <c r="E2264" t="s">
        <v>10</v>
      </c>
      <c r="F2264">
        <v>3449904</v>
      </c>
      <c r="G2264" s="1">
        <v>44</v>
      </c>
      <c r="H2264" s="2">
        <v>50622</v>
      </c>
      <c r="I2264" t="str">
        <f>VLOOKUP(Tabela1[[#This Row],[CO_PAIS]],'[1]nome do paixs'!$A:$B,2,0)</f>
        <v>Singapura</v>
      </c>
      <c r="J2264" t="s">
        <v>12</v>
      </c>
    </row>
    <row r="2265" spans="1:10">
      <c r="A2265">
        <v>2023</v>
      </c>
      <c r="B2265">
        <v>11</v>
      </c>
      <c r="C2265">
        <v>8807</v>
      </c>
      <c r="D2265">
        <v>160</v>
      </c>
      <c r="E2265" t="s">
        <v>10</v>
      </c>
      <c r="F2265">
        <v>3449904</v>
      </c>
      <c r="G2265" s="1">
        <v>1</v>
      </c>
      <c r="H2265" s="2">
        <v>3989</v>
      </c>
      <c r="I2265" t="str">
        <f>VLOOKUP(Tabela1[[#This Row],[CO_PAIS]],'[1]nome do paixs'!$A:$B,2,0)</f>
        <v>China</v>
      </c>
      <c r="J2265" t="s">
        <v>12</v>
      </c>
    </row>
    <row r="2266" spans="1:10">
      <c r="A2266">
        <v>2023</v>
      </c>
      <c r="B2266">
        <v>11</v>
      </c>
      <c r="C2266">
        <v>8807</v>
      </c>
      <c r="D2266">
        <v>149</v>
      </c>
      <c r="E2266" t="s">
        <v>10</v>
      </c>
      <c r="F2266">
        <v>3449904</v>
      </c>
      <c r="G2266" s="1">
        <v>2</v>
      </c>
      <c r="H2266" s="2">
        <v>2391</v>
      </c>
      <c r="I2266" t="str">
        <f>VLOOKUP(Tabela1[[#This Row],[CO_PAIS]],'[1]nome do paixs'!$A:$B,2,0)</f>
        <v>Canadá</v>
      </c>
      <c r="J2266" t="s">
        <v>12</v>
      </c>
    </row>
    <row r="2267" spans="1:10">
      <c r="A2267">
        <v>2023</v>
      </c>
      <c r="B2267">
        <v>11</v>
      </c>
      <c r="C2267">
        <v>8807</v>
      </c>
      <c r="D2267">
        <v>245</v>
      </c>
      <c r="E2267" t="s">
        <v>10</v>
      </c>
      <c r="F2267">
        <v>3449904</v>
      </c>
      <c r="G2267" s="1">
        <v>4021</v>
      </c>
      <c r="H2267" s="2">
        <v>984729</v>
      </c>
      <c r="I2267" t="str">
        <f>VLOOKUP(Tabela1[[#This Row],[CO_PAIS]],'[1]nome do paixs'!$A:$B,2,0)</f>
        <v>Espanha</v>
      </c>
      <c r="J2267" t="s">
        <v>12</v>
      </c>
    </row>
    <row r="2268" spans="1:10">
      <c r="A2268">
        <v>2023</v>
      </c>
      <c r="B2268">
        <v>11</v>
      </c>
      <c r="C2268">
        <v>8807</v>
      </c>
      <c r="D2268">
        <v>190</v>
      </c>
      <c r="E2268" t="s">
        <v>10</v>
      </c>
      <c r="F2268">
        <v>3424402</v>
      </c>
      <c r="G2268" s="1">
        <v>16</v>
      </c>
      <c r="H2268" s="2">
        <v>4626</v>
      </c>
      <c r="I2268" t="str">
        <f>VLOOKUP(Tabela1[[#This Row],[CO_PAIS]],'[1]nome do paixs'!$A:$B,2,0)</f>
        <v>Coreia do Sul</v>
      </c>
      <c r="J2268" t="s">
        <v>13</v>
      </c>
    </row>
    <row r="2269" spans="1:10">
      <c r="A2269">
        <v>2023</v>
      </c>
      <c r="B2269">
        <v>11</v>
      </c>
      <c r="C2269">
        <v>8807</v>
      </c>
      <c r="D2269">
        <v>603</v>
      </c>
      <c r="E2269" t="s">
        <v>10</v>
      </c>
      <c r="F2269">
        <v>3449904</v>
      </c>
      <c r="G2269" s="1">
        <v>109</v>
      </c>
      <c r="H2269" s="2">
        <v>13659</v>
      </c>
      <c r="I2269" t="str">
        <f>VLOOKUP(Tabela1[[#This Row],[CO_PAIS]],'[1]nome do paixs'!$A:$B,2,0)</f>
        <v>Polônia</v>
      </c>
      <c r="J2269" t="s">
        <v>12</v>
      </c>
    </row>
    <row r="2270" spans="1:10">
      <c r="A2270">
        <v>2023</v>
      </c>
      <c r="B2270">
        <v>11</v>
      </c>
      <c r="C2270">
        <v>8807</v>
      </c>
      <c r="D2270">
        <v>87</v>
      </c>
      <c r="E2270" t="s">
        <v>10</v>
      </c>
      <c r="F2270">
        <v>3454102</v>
      </c>
      <c r="G2270" s="1">
        <v>2874</v>
      </c>
      <c r="H2270" s="2">
        <v>2445291</v>
      </c>
      <c r="I2270" t="str">
        <f>VLOOKUP(Tabela1[[#This Row],[CO_PAIS]],'[1]nome do paixs'!$A:$B,2,0)</f>
        <v>Bélgica</v>
      </c>
      <c r="J2270" t="s">
        <v>11</v>
      </c>
    </row>
    <row r="2271" spans="1:10">
      <c r="A2271">
        <v>2023</v>
      </c>
      <c r="B2271">
        <v>11</v>
      </c>
      <c r="C2271">
        <v>8807</v>
      </c>
      <c r="D2271">
        <v>676</v>
      </c>
      <c r="E2271" t="s">
        <v>10</v>
      </c>
      <c r="F2271">
        <v>3454102</v>
      </c>
      <c r="G2271" s="1">
        <v>4043</v>
      </c>
      <c r="H2271" s="2">
        <v>291630</v>
      </c>
      <c r="I2271" t="str">
        <f>VLOOKUP(Tabela1[[#This Row],[CO_PAIS]],'[1]nome do paixs'!$A:$B,2,0)</f>
        <v>Rússia</v>
      </c>
      <c r="J2271" t="s">
        <v>11</v>
      </c>
    </row>
    <row r="2272" spans="1:10">
      <c r="A2272">
        <v>2023</v>
      </c>
      <c r="B2272">
        <v>11</v>
      </c>
      <c r="C2272">
        <v>8807</v>
      </c>
      <c r="D2272">
        <v>23</v>
      </c>
      <c r="E2272" t="s">
        <v>10</v>
      </c>
      <c r="F2272">
        <v>3449904</v>
      </c>
      <c r="G2272" s="1">
        <v>349</v>
      </c>
      <c r="H2272" s="2">
        <v>331250</v>
      </c>
      <c r="I2272" t="str">
        <f>VLOOKUP(Tabela1[[#This Row],[CO_PAIS]],'[1]nome do paixs'!$A:$B,2,0)</f>
        <v>Alemanha</v>
      </c>
      <c r="J2272" t="s">
        <v>12</v>
      </c>
    </row>
    <row r="2273" spans="1:10">
      <c r="A2273">
        <v>2023</v>
      </c>
      <c r="B2273">
        <v>11</v>
      </c>
      <c r="C2273">
        <v>8807</v>
      </c>
      <c r="D2273">
        <v>386</v>
      </c>
      <c r="E2273" t="s">
        <v>10</v>
      </c>
      <c r="F2273">
        <v>3454102</v>
      </c>
      <c r="G2273" s="1">
        <v>192</v>
      </c>
      <c r="H2273" s="2">
        <v>522724</v>
      </c>
      <c r="I2273" t="str">
        <f>VLOOKUP(Tabela1[[#This Row],[CO_PAIS]],'[1]nome do paixs'!$A:$B,2,0)</f>
        <v>Itália</v>
      </c>
      <c r="J2273" t="s">
        <v>11</v>
      </c>
    </row>
    <row r="2274" spans="1:10">
      <c r="A2274">
        <v>2023</v>
      </c>
      <c r="B2274">
        <v>11</v>
      </c>
      <c r="C2274">
        <v>8807</v>
      </c>
      <c r="D2274">
        <v>455</v>
      </c>
      <c r="E2274" t="s">
        <v>10</v>
      </c>
      <c r="F2274">
        <v>3454102</v>
      </c>
      <c r="G2274" s="1">
        <v>2560</v>
      </c>
      <c r="H2274" s="2">
        <v>277737</v>
      </c>
      <c r="I2274" t="str">
        <f>VLOOKUP(Tabela1[[#This Row],[CO_PAIS]],'[1]nome do paixs'!$A:$B,2,0)</f>
        <v>Malásia</v>
      </c>
      <c r="J2274" t="s">
        <v>11</v>
      </c>
    </row>
    <row r="2275" spans="1:10">
      <c r="A2275">
        <v>2023</v>
      </c>
      <c r="B2275">
        <v>11</v>
      </c>
      <c r="C2275">
        <v>8807</v>
      </c>
      <c r="D2275">
        <v>791</v>
      </c>
      <c r="E2275" t="s">
        <v>10</v>
      </c>
      <c r="F2275">
        <v>3424402</v>
      </c>
      <c r="G2275" s="1">
        <v>261</v>
      </c>
      <c r="H2275" s="2">
        <v>211504</v>
      </c>
      <c r="I2275" t="str">
        <f>VLOOKUP(Tabela1[[#This Row],[CO_PAIS]],'[1]nome do paixs'!$A:$B,2,0)</f>
        <v>Tcheca, República</v>
      </c>
      <c r="J2275" t="s">
        <v>13</v>
      </c>
    </row>
    <row r="2276" spans="1:10">
      <c r="A2276">
        <v>2023</v>
      </c>
      <c r="B2276">
        <v>11</v>
      </c>
      <c r="C2276">
        <v>8807</v>
      </c>
      <c r="D2276">
        <v>275</v>
      </c>
      <c r="E2276" t="s">
        <v>10</v>
      </c>
      <c r="F2276">
        <v>3424402</v>
      </c>
      <c r="G2276" s="1">
        <v>245</v>
      </c>
      <c r="H2276" s="2">
        <v>393981</v>
      </c>
      <c r="I2276" t="str">
        <f>VLOOKUP(Tabela1[[#This Row],[CO_PAIS]],'[1]nome do paixs'!$A:$B,2,0)</f>
        <v>França</v>
      </c>
      <c r="J2276" t="s">
        <v>13</v>
      </c>
    </row>
    <row r="2277" spans="1:10">
      <c r="A2277">
        <v>2023</v>
      </c>
      <c r="B2277">
        <v>11</v>
      </c>
      <c r="C2277">
        <v>8807</v>
      </c>
      <c r="D2277">
        <v>375</v>
      </c>
      <c r="E2277" t="s">
        <v>10</v>
      </c>
      <c r="F2277">
        <v>3449904</v>
      </c>
      <c r="G2277" s="1">
        <v>52</v>
      </c>
      <c r="H2277" s="2">
        <v>15072</v>
      </c>
      <c r="I2277" t="str">
        <f>VLOOKUP(Tabela1[[#This Row],[CO_PAIS]],'[1]nome do paixs'!$A:$B,2,0)</f>
        <v>Irlanda</v>
      </c>
      <c r="J2277" t="s">
        <v>12</v>
      </c>
    </row>
    <row r="2278" spans="1:10">
      <c r="A2278">
        <v>2023</v>
      </c>
      <c r="B2278">
        <v>11</v>
      </c>
      <c r="C2278">
        <v>8807</v>
      </c>
      <c r="D2278">
        <v>399</v>
      </c>
      <c r="E2278" t="s">
        <v>10</v>
      </c>
      <c r="F2278">
        <v>3449904</v>
      </c>
      <c r="G2278" s="1">
        <v>256</v>
      </c>
      <c r="H2278" s="2">
        <v>281884</v>
      </c>
      <c r="I2278" t="str">
        <f>VLOOKUP(Tabela1[[#This Row],[CO_PAIS]],'[1]nome do paixs'!$A:$B,2,0)</f>
        <v>Japão</v>
      </c>
      <c r="J2278" t="s">
        <v>12</v>
      </c>
    </row>
    <row r="2279" spans="1:10">
      <c r="A2279">
        <v>2023</v>
      </c>
      <c r="B2279">
        <v>11</v>
      </c>
      <c r="C2279">
        <v>8807</v>
      </c>
      <c r="D2279">
        <v>105</v>
      </c>
      <c r="E2279" t="s">
        <v>10</v>
      </c>
      <c r="F2279">
        <v>3454102</v>
      </c>
      <c r="G2279" s="1">
        <v>4121</v>
      </c>
      <c r="H2279" s="2">
        <v>4505250</v>
      </c>
      <c r="I2279" t="str">
        <f>VLOOKUP(Tabela1[[#This Row],[CO_PAIS]],'[1]nome do paixs'!$A:$B,2,0)</f>
        <v>Brasil</v>
      </c>
      <c r="J2279" t="s">
        <v>11</v>
      </c>
    </row>
    <row r="2280" spans="1:10">
      <c r="A2280">
        <v>2023</v>
      </c>
      <c r="B2280">
        <v>11</v>
      </c>
      <c r="C2280">
        <v>8807</v>
      </c>
      <c r="D2280">
        <v>383</v>
      </c>
      <c r="E2280" t="s">
        <v>10</v>
      </c>
      <c r="F2280">
        <v>3454102</v>
      </c>
      <c r="G2280" s="1">
        <v>2</v>
      </c>
      <c r="H2280" s="2">
        <v>1295</v>
      </c>
      <c r="I2280" t="str">
        <f>VLOOKUP(Tabela1[[#This Row],[CO_PAIS]],'[1]nome do paixs'!$A:$B,2,0)</f>
        <v>Israel</v>
      </c>
      <c r="J2280" t="s">
        <v>11</v>
      </c>
    </row>
    <row r="2281" spans="1:10">
      <c r="A2281">
        <v>2023</v>
      </c>
      <c r="B2281">
        <v>11</v>
      </c>
      <c r="C2281">
        <v>8807</v>
      </c>
      <c r="D2281">
        <v>474</v>
      </c>
      <c r="E2281" t="s">
        <v>10</v>
      </c>
      <c r="F2281">
        <v>3454102</v>
      </c>
      <c r="G2281" s="1">
        <v>46</v>
      </c>
      <c r="H2281" s="2">
        <v>117538</v>
      </c>
      <c r="I2281" t="str">
        <f>VLOOKUP(Tabela1[[#This Row],[CO_PAIS]],'[1]nome do paixs'!$A:$B,2,0)</f>
        <v>Marrocos</v>
      </c>
      <c r="J2281" t="s">
        <v>11</v>
      </c>
    </row>
    <row r="2282" spans="1:10">
      <c r="A2282">
        <v>2023</v>
      </c>
      <c r="B2282">
        <v>11</v>
      </c>
      <c r="C2282">
        <v>8807</v>
      </c>
      <c r="D2282">
        <v>628</v>
      </c>
      <c r="E2282" t="s">
        <v>10</v>
      </c>
      <c r="F2282">
        <v>3454102</v>
      </c>
      <c r="G2282" s="1">
        <v>53</v>
      </c>
      <c r="H2282" s="2">
        <v>86566</v>
      </c>
      <c r="I2282" t="str">
        <f>VLOOKUP(Tabela1[[#This Row],[CO_PAIS]],'[1]nome do paixs'!$A:$B,2,0)</f>
        <v>Reino Unido</v>
      </c>
      <c r="J2282" t="s">
        <v>11</v>
      </c>
    </row>
    <row r="2283" spans="1:10">
      <c r="A2283">
        <v>2023</v>
      </c>
      <c r="B2283">
        <v>11</v>
      </c>
      <c r="C2283">
        <v>8807</v>
      </c>
      <c r="D2283">
        <v>249</v>
      </c>
      <c r="E2283" t="s">
        <v>10</v>
      </c>
      <c r="F2283">
        <v>3449904</v>
      </c>
      <c r="G2283" s="1">
        <v>3196</v>
      </c>
      <c r="H2283" s="2">
        <v>3244967</v>
      </c>
      <c r="I2283" t="str">
        <f>VLOOKUP(Tabela1[[#This Row],[CO_PAIS]],'[1]nome do paixs'!$A:$B,2,0)</f>
        <v>Estados Unidos</v>
      </c>
      <c r="J2283" t="s">
        <v>12</v>
      </c>
    </row>
    <row r="2284" spans="1:10">
      <c r="A2284">
        <v>2023</v>
      </c>
      <c r="B2284">
        <v>11</v>
      </c>
      <c r="C2284">
        <v>8807</v>
      </c>
      <c r="D2284">
        <v>275</v>
      </c>
      <c r="E2284" t="s">
        <v>10</v>
      </c>
      <c r="F2284">
        <v>3449904</v>
      </c>
      <c r="G2284" s="1">
        <v>152</v>
      </c>
      <c r="H2284" s="2">
        <v>216494</v>
      </c>
      <c r="I2284" t="str">
        <f>VLOOKUP(Tabela1[[#This Row],[CO_PAIS]],'[1]nome do paixs'!$A:$B,2,0)</f>
        <v>França</v>
      </c>
      <c r="J2284" t="s">
        <v>12</v>
      </c>
    </row>
    <row r="2285" spans="1:10">
      <c r="A2285">
        <v>2023</v>
      </c>
      <c r="B2285">
        <v>11</v>
      </c>
      <c r="C2285">
        <v>8807</v>
      </c>
      <c r="D2285">
        <v>249</v>
      </c>
      <c r="E2285" t="s">
        <v>10</v>
      </c>
      <c r="F2285">
        <v>3454102</v>
      </c>
      <c r="G2285" s="1">
        <v>18663</v>
      </c>
      <c r="H2285" s="2">
        <v>4974235</v>
      </c>
      <c r="I2285" t="str">
        <f>VLOOKUP(Tabela1[[#This Row],[CO_PAIS]],'[1]nome do paixs'!$A:$B,2,0)</f>
        <v>Estados Unidos</v>
      </c>
      <c r="J2285" t="s">
        <v>11</v>
      </c>
    </row>
    <row r="2286" spans="1:10">
      <c r="A2286">
        <v>2023</v>
      </c>
      <c r="B2286">
        <v>11</v>
      </c>
      <c r="C2286">
        <v>8807</v>
      </c>
      <c r="D2286">
        <v>607</v>
      </c>
      <c r="E2286" t="s">
        <v>10</v>
      </c>
      <c r="F2286">
        <v>3454102</v>
      </c>
      <c r="G2286" s="1">
        <v>19346</v>
      </c>
      <c r="H2286" s="2">
        <v>6369559</v>
      </c>
      <c r="I2286" t="str">
        <f>VLOOKUP(Tabela1[[#This Row],[CO_PAIS]],'[1]nome do paixs'!$A:$B,2,0)</f>
        <v>Portugal</v>
      </c>
      <c r="J2286" t="s">
        <v>11</v>
      </c>
    </row>
    <row r="2287" spans="1:10">
      <c r="A2287">
        <v>2023</v>
      </c>
      <c r="B2287">
        <v>11</v>
      </c>
      <c r="C2287">
        <v>8807</v>
      </c>
      <c r="D2287">
        <v>493</v>
      </c>
      <c r="E2287" t="s">
        <v>10</v>
      </c>
      <c r="F2287">
        <v>3454102</v>
      </c>
      <c r="G2287" s="1">
        <v>7373</v>
      </c>
      <c r="H2287" s="2">
        <v>3025521</v>
      </c>
      <c r="I2287" t="str">
        <f>VLOOKUP(Tabela1[[#This Row],[CO_PAIS]],'[1]nome do paixs'!$A:$B,2,0)</f>
        <v>México</v>
      </c>
      <c r="J2287" t="s">
        <v>11</v>
      </c>
    </row>
    <row r="2288" spans="1:10">
      <c r="A2288">
        <v>2023</v>
      </c>
      <c r="B2288">
        <v>11</v>
      </c>
      <c r="C2288">
        <v>8807</v>
      </c>
      <c r="D2288">
        <v>791</v>
      </c>
      <c r="E2288" t="s">
        <v>10</v>
      </c>
      <c r="F2288">
        <v>3449904</v>
      </c>
      <c r="G2288" s="1">
        <v>6</v>
      </c>
      <c r="H2288" s="2">
        <v>14822</v>
      </c>
      <c r="I2288" t="str">
        <f>VLOOKUP(Tabela1[[#This Row],[CO_PAIS]],'[1]nome do paixs'!$A:$B,2,0)</f>
        <v>Tcheca, República</v>
      </c>
      <c r="J2288" t="s">
        <v>12</v>
      </c>
    </row>
    <row r="2289" spans="1:10">
      <c r="A2289">
        <v>2023</v>
      </c>
      <c r="B2289">
        <v>11</v>
      </c>
      <c r="C2289">
        <v>8807</v>
      </c>
      <c r="D2289">
        <v>375</v>
      </c>
      <c r="E2289" t="s">
        <v>10</v>
      </c>
      <c r="F2289">
        <v>3454102</v>
      </c>
      <c r="G2289" s="1">
        <v>3</v>
      </c>
      <c r="H2289" s="2">
        <v>1130</v>
      </c>
      <c r="I2289" t="str">
        <f>VLOOKUP(Tabela1[[#This Row],[CO_PAIS]],'[1]nome do paixs'!$A:$B,2,0)</f>
        <v>Irlanda</v>
      </c>
      <c r="J2289" t="s">
        <v>11</v>
      </c>
    </row>
    <row r="2290" spans="1:10">
      <c r="A2290">
        <v>2023</v>
      </c>
      <c r="B2290">
        <v>11</v>
      </c>
      <c r="C2290">
        <v>8807</v>
      </c>
      <c r="D2290">
        <v>87</v>
      </c>
      <c r="E2290" t="s">
        <v>10</v>
      </c>
      <c r="F2290">
        <v>3424402</v>
      </c>
      <c r="G2290" s="1">
        <v>0</v>
      </c>
      <c r="H2290" s="2">
        <v>835</v>
      </c>
      <c r="I2290" t="str">
        <f>VLOOKUP(Tabela1[[#This Row],[CO_PAIS]],'[1]nome do paixs'!$A:$B,2,0)</f>
        <v>Bélgica</v>
      </c>
      <c r="J2290" t="s">
        <v>13</v>
      </c>
    </row>
    <row r="2291" spans="1:10">
      <c r="A2291">
        <v>2022</v>
      </c>
      <c r="B2291">
        <v>11</v>
      </c>
      <c r="C2291">
        <v>8807</v>
      </c>
      <c r="D2291">
        <v>474</v>
      </c>
      <c r="E2291" t="s">
        <v>10</v>
      </c>
      <c r="F2291">
        <v>3454102</v>
      </c>
      <c r="G2291" s="1">
        <v>276</v>
      </c>
      <c r="H2291" s="2">
        <v>532552</v>
      </c>
      <c r="I2291" t="str">
        <f>VLOOKUP(Tabela1[[#This Row],[CO_PAIS]],'[1]nome do paixs'!$A:$B,2,0)</f>
        <v>Marrocos</v>
      </c>
      <c r="J2291" t="s">
        <v>11</v>
      </c>
    </row>
    <row r="2292" spans="1:10">
      <c r="A2292">
        <v>2022</v>
      </c>
      <c r="B2292">
        <v>11</v>
      </c>
      <c r="C2292">
        <v>8807</v>
      </c>
      <c r="D2292">
        <v>87</v>
      </c>
      <c r="E2292" t="s">
        <v>10</v>
      </c>
      <c r="F2292">
        <v>3424402</v>
      </c>
      <c r="G2292" s="1">
        <v>25</v>
      </c>
      <c r="H2292" s="2">
        <v>41212</v>
      </c>
      <c r="I2292" t="str">
        <f>VLOOKUP(Tabela1[[#This Row],[CO_PAIS]],'[1]nome do paixs'!$A:$B,2,0)</f>
        <v>Bélgica</v>
      </c>
      <c r="J2292" t="s">
        <v>13</v>
      </c>
    </row>
    <row r="2293" spans="1:10">
      <c r="A2293">
        <v>2022</v>
      </c>
      <c r="B2293">
        <v>11</v>
      </c>
      <c r="C2293">
        <v>8807</v>
      </c>
      <c r="D2293">
        <v>275</v>
      </c>
      <c r="E2293" t="s">
        <v>10</v>
      </c>
      <c r="F2293">
        <v>3449904</v>
      </c>
      <c r="G2293" s="1">
        <v>299</v>
      </c>
      <c r="H2293" s="2">
        <v>352960</v>
      </c>
      <c r="I2293" t="str">
        <f>VLOOKUP(Tabela1[[#This Row],[CO_PAIS]],'[1]nome do paixs'!$A:$B,2,0)</f>
        <v>França</v>
      </c>
      <c r="J2293" t="s">
        <v>12</v>
      </c>
    </row>
    <row r="2294" spans="1:10">
      <c r="A2294">
        <v>2022</v>
      </c>
      <c r="B2294">
        <v>11</v>
      </c>
      <c r="C2294">
        <v>8807</v>
      </c>
      <c r="D2294">
        <v>190</v>
      </c>
      <c r="E2294" t="s">
        <v>10</v>
      </c>
      <c r="F2294">
        <v>3449904</v>
      </c>
      <c r="G2294" s="1">
        <v>30</v>
      </c>
      <c r="H2294" s="2">
        <v>30434</v>
      </c>
      <c r="I2294" t="str">
        <f>VLOOKUP(Tabela1[[#This Row],[CO_PAIS]],'[1]nome do paixs'!$A:$B,2,0)</f>
        <v>Coreia do Sul</v>
      </c>
      <c r="J2294" t="s">
        <v>12</v>
      </c>
    </row>
    <row r="2295" spans="1:10">
      <c r="A2295">
        <v>2022</v>
      </c>
      <c r="B2295">
        <v>11</v>
      </c>
      <c r="C2295">
        <v>8807</v>
      </c>
      <c r="D2295">
        <v>249</v>
      </c>
      <c r="E2295" t="s">
        <v>10</v>
      </c>
      <c r="F2295">
        <v>3424402</v>
      </c>
      <c r="G2295" s="1">
        <v>2653</v>
      </c>
      <c r="H2295" s="2">
        <v>553338</v>
      </c>
      <c r="I2295" t="str">
        <f>VLOOKUP(Tabela1[[#This Row],[CO_PAIS]],'[1]nome do paixs'!$A:$B,2,0)</f>
        <v>Estados Unidos</v>
      </c>
      <c r="J2295" t="s">
        <v>13</v>
      </c>
    </row>
    <row r="2296" spans="1:10">
      <c r="A2296">
        <v>2022</v>
      </c>
      <c r="B2296">
        <v>11</v>
      </c>
      <c r="C2296">
        <v>8807</v>
      </c>
      <c r="D2296">
        <v>399</v>
      </c>
      <c r="E2296" t="s">
        <v>10</v>
      </c>
      <c r="F2296">
        <v>3454102</v>
      </c>
      <c r="G2296" s="1">
        <v>2396</v>
      </c>
      <c r="H2296" s="2">
        <v>1724194</v>
      </c>
      <c r="I2296" t="str">
        <f>VLOOKUP(Tabela1[[#This Row],[CO_PAIS]],'[1]nome do paixs'!$A:$B,2,0)</f>
        <v>Japão</v>
      </c>
      <c r="J2296" t="s">
        <v>11</v>
      </c>
    </row>
    <row r="2297" spans="1:10">
      <c r="A2297">
        <v>2022</v>
      </c>
      <c r="B2297">
        <v>11</v>
      </c>
      <c r="C2297">
        <v>8807</v>
      </c>
      <c r="D2297">
        <v>741</v>
      </c>
      <c r="E2297" t="s">
        <v>10</v>
      </c>
      <c r="F2297">
        <v>3449904</v>
      </c>
      <c r="G2297" s="1">
        <v>210</v>
      </c>
      <c r="H2297" s="2">
        <v>209304</v>
      </c>
      <c r="I2297" t="str">
        <f>VLOOKUP(Tabela1[[#This Row],[CO_PAIS]],'[1]nome do paixs'!$A:$B,2,0)</f>
        <v>Singapura</v>
      </c>
      <c r="J2297" t="s">
        <v>12</v>
      </c>
    </row>
    <row r="2298" spans="1:10">
      <c r="A2298">
        <v>2022</v>
      </c>
      <c r="B2298">
        <v>11</v>
      </c>
      <c r="C2298">
        <v>8807</v>
      </c>
      <c r="D2298">
        <v>72</v>
      </c>
      <c r="E2298" t="s">
        <v>10</v>
      </c>
      <c r="F2298">
        <v>3454102</v>
      </c>
      <c r="G2298" s="1">
        <v>3009</v>
      </c>
      <c r="H2298" s="2">
        <v>743808</v>
      </c>
      <c r="I2298" t="str">
        <f>VLOOKUP(Tabela1[[#This Row],[CO_PAIS]],'[1]nome do paixs'!$A:$B,2,0)</f>
        <v>Áustria</v>
      </c>
      <c r="J2298" t="s">
        <v>11</v>
      </c>
    </row>
    <row r="2299" spans="1:10">
      <c r="A2299">
        <v>2022</v>
      </c>
      <c r="B2299">
        <v>11</v>
      </c>
      <c r="C2299">
        <v>8807</v>
      </c>
      <c r="D2299">
        <v>149</v>
      </c>
      <c r="E2299" t="s">
        <v>10</v>
      </c>
      <c r="F2299">
        <v>3449904</v>
      </c>
      <c r="G2299" s="1">
        <v>307</v>
      </c>
      <c r="H2299" s="2">
        <v>392514</v>
      </c>
      <c r="I2299" t="str">
        <f>VLOOKUP(Tabela1[[#This Row],[CO_PAIS]],'[1]nome do paixs'!$A:$B,2,0)</f>
        <v>Canadá</v>
      </c>
      <c r="J2299" t="s">
        <v>12</v>
      </c>
    </row>
    <row r="2300" spans="1:10">
      <c r="A2300">
        <v>2022</v>
      </c>
      <c r="B2300">
        <v>11</v>
      </c>
      <c r="C2300">
        <v>8807</v>
      </c>
      <c r="D2300">
        <v>399</v>
      </c>
      <c r="E2300" t="s">
        <v>10</v>
      </c>
      <c r="F2300">
        <v>3449904</v>
      </c>
      <c r="G2300" s="1">
        <v>592</v>
      </c>
      <c r="H2300" s="2">
        <v>531952</v>
      </c>
      <c r="I2300" t="str">
        <f>VLOOKUP(Tabela1[[#This Row],[CO_PAIS]],'[1]nome do paixs'!$A:$B,2,0)</f>
        <v>Japão</v>
      </c>
      <c r="J2300" t="s">
        <v>12</v>
      </c>
    </row>
    <row r="2301" spans="1:10">
      <c r="A2301">
        <v>2022</v>
      </c>
      <c r="B2301">
        <v>11</v>
      </c>
      <c r="C2301">
        <v>8807</v>
      </c>
      <c r="D2301">
        <v>493</v>
      </c>
      <c r="E2301" t="s">
        <v>10</v>
      </c>
      <c r="F2301">
        <v>3454102</v>
      </c>
      <c r="G2301" s="1">
        <v>13934</v>
      </c>
      <c r="H2301" s="2">
        <v>5073950</v>
      </c>
      <c r="I2301" t="str">
        <f>VLOOKUP(Tabela1[[#This Row],[CO_PAIS]],'[1]nome do paixs'!$A:$B,2,0)</f>
        <v>México</v>
      </c>
      <c r="J2301" t="s">
        <v>11</v>
      </c>
    </row>
    <row r="2302" spans="1:10">
      <c r="A2302">
        <v>2022</v>
      </c>
      <c r="B2302">
        <v>11</v>
      </c>
      <c r="C2302">
        <v>8807</v>
      </c>
      <c r="D2302">
        <v>190</v>
      </c>
      <c r="E2302" t="s">
        <v>10</v>
      </c>
      <c r="F2302">
        <v>3424402</v>
      </c>
      <c r="G2302" s="1">
        <v>82</v>
      </c>
      <c r="H2302" s="2">
        <v>32425</v>
      </c>
      <c r="I2302" t="str">
        <f>VLOOKUP(Tabela1[[#This Row],[CO_PAIS]],'[1]nome do paixs'!$A:$B,2,0)</f>
        <v>Coreia do Sul</v>
      </c>
      <c r="J2302" t="s">
        <v>13</v>
      </c>
    </row>
    <row r="2303" spans="1:10">
      <c r="A2303">
        <v>2022</v>
      </c>
      <c r="B2303">
        <v>11</v>
      </c>
      <c r="C2303">
        <v>8807</v>
      </c>
      <c r="D2303">
        <v>791</v>
      </c>
      <c r="E2303" t="s">
        <v>10</v>
      </c>
      <c r="F2303">
        <v>3449904</v>
      </c>
      <c r="G2303" s="1">
        <v>35</v>
      </c>
      <c r="H2303" s="2">
        <v>54159</v>
      </c>
      <c r="I2303" t="str">
        <f>VLOOKUP(Tabela1[[#This Row],[CO_PAIS]],'[1]nome do paixs'!$A:$B,2,0)</f>
        <v>Tcheca, República</v>
      </c>
      <c r="J2303" t="s">
        <v>12</v>
      </c>
    </row>
    <row r="2304" spans="1:10">
      <c r="A2304">
        <v>2022</v>
      </c>
      <c r="B2304">
        <v>11</v>
      </c>
      <c r="C2304">
        <v>8807</v>
      </c>
      <c r="D2304">
        <v>386</v>
      </c>
      <c r="E2304" t="s">
        <v>10</v>
      </c>
      <c r="F2304">
        <v>3454102</v>
      </c>
      <c r="G2304" s="1">
        <v>576</v>
      </c>
      <c r="H2304" s="2">
        <v>1478910</v>
      </c>
      <c r="I2304" t="str">
        <f>VLOOKUP(Tabela1[[#This Row],[CO_PAIS]],'[1]nome do paixs'!$A:$B,2,0)</f>
        <v>Itália</v>
      </c>
      <c r="J2304" t="s">
        <v>11</v>
      </c>
    </row>
    <row r="2305" spans="1:10">
      <c r="A2305">
        <v>2022</v>
      </c>
      <c r="B2305">
        <v>11</v>
      </c>
      <c r="C2305">
        <v>8807</v>
      </c>
      <c r="D2305">
        <v>361</v>
      </c>
      <c r="E2305" t="s">
        <v>10</v>
      </c>
      <c r="F2305">
        <v>3449904</v>
      </c>
      <c r="G2305" s="1">
        <v>708</v>
      </c>
      <c r="H2305" s="2">
        <v>313358</v>
      </c>
      <c r="I2305" t="str">
        <f>VLOOKUP(Tabela1[[#This Row],[CO_PAIS]],'[1]nome do paixs'!$A:$B,2,0)</f>
        <v>Índia</v>
      </c>
      <c r="J2305" t="s">
        <v>12</v>
      </c>
    </row>
    <row r="2306" spans="1:10">
      <c r="A2306">
        <v>2022</v>
      </c>
      <c r="B2306">
        <v>11</v>
      </c>
      <c r="C2306">
        <v>8807</v>
      </c>
      <c r="D2306">
        <v>791</v>
      </c>
      <c r="E2306" t="s">
        <v>10</v>
      </c>
      <c r="F2306">
        <v>3424402</v>
      </c>
      <c r="G2306" s="1">
        <v>254</v>
      </c>
      <c r="H2306" s="2">
        <v>243505</v>
      </c>
      <c r="I2306" t="str">
        <f>VLOOKUP(Tabela1[[#This Row],[CO_PAIS]],'[1]nome do paixs'!$A:$B,2,0)</f>
        <v>Tcheca, República</v>
      </c>
      <c r="J2306" t="s">
        <v>13</v>
      </c>
    </row>
    <row r="2307" spans="1:10">
      <c r="A2307">
        <v>2022</v>
      </c>
      <c r="B2307">
        <v>11</v>
      </c>
      <c r="C2307">
        <v>8807</v>
      </c>
      <c r="D2307">
        <v>607</v>
      </c>
      <c r="E2307" t="s">
        <v>10</v>
      </c>
      <c r="F2307">
        <v>3449904</v>
      </c>
      <c r="G2307" s="1">
        <v>25</v>
      </c>
      <c r="H2307" s="2">
        <v>49812</v>
      </c>
      <c r="I2307" t="str">
        <f>VLOOKUP(Tabela1[[#This Row],[CO_PAIS]],'[1]nome do paixs'!$A:$B,2,0)</f>
        <v>Portugal</v>
      </c>
      <c r="J2307" t="s">
        <v>12</v>
      </c>
    </row>
    <row r="2308" spans="1:10">
      <c r="A2308">
        <v>2022</v>
      </c>
      <c r="B2308">
        <v>11</v>
      </c>
      <c r="C2308">
        <v>8807</v>
      </c>
      <c r="D2308">
        <v>607</v>
      </c>
      <c r="E2308" t="s">
        <v>10</v>
      </c>
      <c r="F2308">
        <v>3454102</v>
      </c>
      <c r="G2308" s="1">
        <v>19040</v>
      </c>
      <c r="H2308" s="2">
        <v>5914752</v>
      </c>
      <c r="I2308" t="str">
        <f>VLOOKUP(Tabela1[[#This Row],[CO_PAIS]],'[1]nome do paixs'!$A:$B,2,0)</f>
        <v>Portugal</v>
      </c>
      <c r="J2308" t="s">
        <v>11</v>
      </c>
    </row>
    <row r="2309" spans="1:10">
      <c r="A2309">
        <v>2022</v>
      </c>
      <c r="B2309">
        <v>11</v>
      </c>
      <c r="C2309">
        <v>8807</v>
      </c>
      <c r="D2309">
        <v>87</v>
      </c>
      <c r="E2309" t="s">
        <v>10</v>
      </c>
      <c r="F2309">
        <v>3449904</v>
      </c>
      <c r="G2309" s="1">
        <v>1889</v>
      </c>
      <c r="H2309" s="2">
        <v>1636207</v>
      </c>
      <c r="I2309" t="str">
        <f>VLOOKUP(Tabela1[[#This Row],[CO_PAIS]],'[1]nome do paixs'!$A:$B,2,0)</f>
        <v>Bélgica</v>
      </c>
      <c r="J2309" t="s">
        <v>12</v>
      </c>
    </row>
    <row r="2310" spans="1:10">
      <c r="A2310">
        <v>2022</v>
      </c>
      <c r="B2310">
        <v>11</v>
      </c>
      <c r="C2310">
        <v>8807</v>
      </c>
      <c r="D2310">
        <v>375</v>
      </c>
      <c r="E2310" t="s">
        <v>10</v>
      </c>
      <c r="F2310">
        <v>3449904</v>
      </c>
      <c r="G2310" s="1">
        <v>14</v>
      </c>
      <c r="H2310" s="2">
        <v>7518</v>
      </c>
      <c r="I2310" t="str">
        <f>VLOOKUP(Tabela1[[#This Row],[CO_PAIS]],'[1]nome do paixs'!$A:$B,2,0)</f>
        <v>Irlanda</v>
      </c>
      <c r="J2310" t="s">
        <v>12</v>
      </c>
    </row>
    <row r="2311" spans="1:10">
      <c r="A2311">
        <v>2022</v>
      </c>
      <c r="B2311">
        <v>11</v>
      </c>
      <c r="C2311">
        <v>8807</v>
      </c>
      <c r="D2311">
        <v>375</v>
      </c>
      <c r="E2311" t="s">
        <v>10</v>
      </c>
      <c r="F2311">
        <v>3454102</v>
      </c>
      <c r="G2311" s="1">
        <v>70</v>
      </c>
      <c r="H2311" s="2">
        <v>38043</v>
      </c>
      <c r="I2311" t="str">
        <f>VLOOKUP(Tabela1[[#This Row],[CO_PAIS]],'[1]nome do paixs'!$A:$B,2,0)</f>
        <v>Irlanda</v>
      </c>
      <c r="J2311" t="s">
        <v>11</v>
      </c>
    </row>
    <row r="2312" spans="1:10">
      <c r="A2312">
        <v>2022</v>
      </c>
      <c r="B2312">
        <v>11</v>
      </c>
      <c r="C2312">
        <v>8807</v>
      </c>
      <c r="D2312">
        <v>249</v>
      </c>
      <c r="E2312" t="s">
        <v>10</v>
      </c>
      <c r="F2312">
        <v>3449904</v>
      </c>
      <c r="G2312" s="1">
        <v>6976</v>
      </c>
      <c r="H2312" s="2">
        <v>5296580</v>
      </c>
      <c r="I2312" t="str">
        <f>VLOOKUP(Tabela1[[#This Row],[CO_PAIS]],'[1]nome do paixs'!$A:$B,2,0)</f>
        <v>Estados Unidos</v>
      </c>
      <c r="J2312" t="s">
        <v>12</v>
      </c>
    </row>
    <row r="2313" spans="1:10">
      <c r="A2313">
        <v>2022</v>
      </c>
      <c r="B2313">
        <v>11</v>
      </c>
      <c r="C2313">
        <v>8807</v>
      </c>
      <c r="D2313">
        <v>72</v>
      </c>
      <c r="E2313" t="s">
        <v>10</v>
      </c>
      <c r="F2313">
        <v>3449904</v>
      </c>
      <c r="G2313" s="1">
        <v>39</v>
      </c>
      <c r="H2313" s="2">
        <v>5214</v>
      </c>
      <c r="I2313" t="str">
        <f>VLOOKUP(Tabela1[[#This Row],[CO_PAIS]],'[1]nome do paixs'!$A:$B,2,0)</f>
        <v>Áustria</v>
      </c>
      <c r="J2313" t="s">
        <v>12</v>
      </c>
    </row>
    <row r="2314" spans="1:10">
      <c r="A2314">
        <v>2022</v>
      </c>
      <c r="B2314">
        <v>11</v>
      </c>
      <c r="C2314">
        <v>8807</v>
      </c>
      <c r="D2314">
        <v>275</v>
      </c>
      <c r="E2314" t="s">
        <v>10</v>
      </c>
      <c r="F2314">
        <v>3454102</v>
      </c>
      <c r="G2314" s="1">
        <v>1850</v>
      </c>
      <c r="H2314" s="2">
        <v>2744765</v>
      </c>
      <c r="I2314" t="str">
        <f>VLOOKUP(Tabela1[[#This Row],[CO_PAIS]],'[1]nome do paixs'!$A:$B,2,0)</f>
        <v>França</v>
      </c>
      <c r="J2314" t="s">
        <v>11</v>
      </c>
    </row>
    <row r="2315" spans="1:10">
      <c r="A2315">
        <v>2022</v>
      </c>
      <c r="B2315">
        <v>11</v>
      </c>
      <c r="C2315">
        <v>8807</v>
      </c>
      <c r="D2315">
        <v>767</v>
      </c>
      <c r="E2315" t="s">
        <v>10</v>
      </c>
      <c r="F2315">
        <v>3449904</v>
      </c>
      <c r="G2315" s="1">
        <v>4</v>
      </c>
      <c r="H2315" s="2">
        <v>3832</v>
      </c>
      <c r="I2315" t="str">
        <f>VLOOKUP(Tabela1[[#This Row],[CO_PAIS]],'[1]nome do paixs'!$A:$B,2,0)</f>
        <v>Suíça</v>
      </c>
      <c r="J2315" t="s">
        <v>12</v>
      </c>
    </row>
    <row r="2316" spans="1:10">
      <c r="A2316">
        <v>2022</v>
      </c>
      <c r="B2316">
        <v>11</v>
      </c>
      <c r="C2316">
        <v>8807</v>
      </c>
      <c r="D2316">
        <v>105</v>
      </c>
      <c r="E2316" t="s">
        <v>10</v>
      </c>
      <c r="F2316">
        <v>3449904</v>
      </c>
      <c r="G2316" s="1">
        <v>4538</v>
      </c>
      <c r="H2316" s="2">
        <v>2889923</v>
      </c>
      <c r="I2316" t="str">
        <f>VLOOKUP(Tabela1[[#This Row],[CO_PAIS]],'[1]nome do paixs'!$A:$B,2,0)</f>
        <v>Brasil</v>
      </c>
      <c r="J2316" t="s">
        <v>12</v>
      </c>
    </row>
    <row r="2317" spans="1:10">
      <c r="A2317">
        <v>2022</v>
      </c>
      <c r="B2317">
        <v>11</v>
      </c>
      <c r="C2317">
        <v>8807</v>
      </c>
      <c r="D2317">
        <v>105</v>
      </c>
      <c r="E2317" t="s">
        <v>10</v>
      </c>
      <c r="F2317">
        <v>3454102</v>
      </c>
      <c r="G2317" s="1">
        <v>5483</v>
      </c>
      <c r="H2317" s="2">
        <v>5080227</v>
      </c>
      <c r="I2317" t="str">
        <f>VLOOKUP(Tabela1[[#This Row],[CO_PAIS]],'[1]nome do paixs'!$A:$B,2,0)</f>
        <v>Brasil</v>
      </c>
      <c r="J2317" t="s">
        <v>11</v>
      </c>
    </row>
    <row r="2318" spans="1:10">
      <c r="A2318">
        <v>2022</v>
      </c>
      <c r="B2318">
        <v>11</v>
      </c>
      <c r="C2318">
        <v>8807</v>
      </c>
      <c r="D2318">
        <v>455</v>
      </c>
      <c r="E2318" t="s">
        <v>10</v>
      </c>
      <c r="F2318">
        <v>3454102</v>
      </c>
      <c r="G2318" s="1">
        <v>4242</v>
      </c>
      <c r="H2318" s="2">
        <v>562474</v>
      </c>
      <c r="I2318" t="str">
        <f>VLOOKUP(Tabela1[[#This Row],[CO_PAIS]],'[1]nome do paixs'!$A:$B,2,0)</f>
        <v>Malásia</v>
      </c>
      <c r="J2318" t="s">
        <v>11</v>
      </c>
    </row>
    <row r="2319" spans="1:10">
      <c r="A2319">
        <v>2022</v>
      </c>
      <c r="B2319">
        <v>11</v>
      </c>
      <c r="C2319">
        <v>8807</v>
      </c>
      <c r="D2319">
        <v>386</v>
      </c>
      <c r="E2319" t="s">
        <v>10</v>
      </c>
      <c r="F2319">
        <v>3449904</v>
      </c>
      <c r="G2319" s="1">
        <v>32</v>
      </c>
      <c r="H2319" s="2">
        <v>34278</v>
      </c>
      <c r="I2319" t="str">
        <f>VLOOKUP(Tabela1[[#This Row],[CO_PAIS]],'[1]nome do paixs'!$A:$B,2,0)</f>
        <v>Itália</v>
      </c>
      <c r="J2319" t="s">
        <v>12</v>
      </c>
    </row>
    <row r="2320" spans="1:10">
      <c r="A2320">
        <v>2022</v>
      </c>
      <c r="B2320">
        <v>11</v>
      </c>
      <c r="C2320">
        <v>8807</v>
      </c>
      <c r="D2320">
        <v>275</v>
      </c>
      <c r="E2320" t="s">
        <v>10</v>
      </c>
      <c r="F2320">
        <v>3424402</v>
      </c>
      <c r="G2320" s="1">
        <v>493</v>
      </c>
      <c r="H2320" s="2">
        <v>621008</v>
      </c>
      <c r="I2320" t="str">
        <f>VLOOKUP(Tabela1[[#This Row],[CO_PAIS]],'[1]nome do paixs'!$A:$B,2,0)</f>
        <v>França</v>
      </c>
      <c r="J2320" t="s">
        <v>13</v>
      </c>
    </row>
    <row r="2321" spans="1:10">
      <c r="A2321">
        <v>2022</v>
      </c>
      <c r="B2321">
        <v>11</v>
      </c>
      <c r="C2321">
        <v>8807</v>
      </c>
      <c r="D2321">
        <v>767</v>
      </c>
      <c r="E2321" t="s">
        <v>10</v>
      </c>
      <c r="F2321">
        <v>3454102</v>
      </c>
      <c r="G2321" s="1">
        <v>2</v>
      </c>
      <c r="H2321" s="2">
        <v>1285</v>
      </c>
      <c r="I2321" t="str">
        <f>VLOOKUP(Tabela1[[#This Row],[CO_PAIS]],'[1]nome do paixs'!$A:$B,2,0)</f>
        <v>Suíça</v>
      </c>
      <c r="J2321" t="s">
        <v>11</v>
      </c>
    </row>
    <row r="2322" spans="1:10">
      <c r="A2322">
        <v>2022</v>
      </c>
      <c r="B2322">
        <v>11</v>
      </c>
      <c r="C2322">
        <v>8807</v>
      </c>
      <c r="D2322">
        <v>628</v>
      </c>
      <c r="E2322" t="s">
        <v>10</v>
      </c>
      <c r="F2322">
        <v>3454102</v>
      </c>
      <c r="G2322" s="1">
        <v>89</v>
      </c>
      <c r="H2322" s="2">
        <v>177804</v>
      </c>
      <c r="I2322" t="str">
        <f>VLOOKUP(Tabela1[[#This Row],[CO_PAIS]],'[1]nome do paixs'!$A:$B,2,0)</f>
        <v>Reino Unido</v>
      </c>
      <c r="J2322" t="s">
        <v>11</v>
      </c>
    </row>
    <row r="2323" spans="1:10">
      <c r="A2323">
        <v>2022</v>
      </c>
      <c r="B2323">
        <v>11</v>
      </c>
      <c r="C2323">
        <v>8807</v>
      </c>
      <c r="D2323">
        <v>474</v>
      </c>
      <c r="E2323" t="s">
        <v>10</v>
      </c>
      <c r="F2323">
        <v>3449904</v>
      </c>
      <c r="G2323" s="1">
        <v>4</v>
      </c>
      <c r="H2323" s="2">
        <v>20110</v>
      </c>
      <c r="I2323" t="str">
        <f>VLOOKUP(Tabela1[[#This Row],[CO_PAIS]],'[1]nome do paixs'!$A:$B,2,0)</f>
        <v>Marrocos</v>
      </c>
      <c r="J2323" t="s">
        <v>12</v>
      </c>
    </row>
    <row r="2324" spans="1:10">
      <c r="A2324">
        <v>2022</v>
      </c>
      <c r="B2324">
        <v>11</v>
      </c>
      <c r="C2324">
        <v>8807</v>
      </c>
      <c r="D2324">
        <v>87</v>
      </c>
      <c r="E2324" t="s">
        <v>10</v>
      </c>
      <c r="F2324">
        <v>3454102</v>
      </c>
      <c r="G2324" s="1">
        <v>1195</v>
      </c>
      <c r="H2324" s="2">
        <v>1192340</v>
      </c>
      <c r="I2324" t="str">
        <f>VLOOKUP(Tabela1[[#This Row],[CO_PAIS]],'[1]nome do paixs'!$A:$B,2,0)</f>
        <v>Bélgica</v>
      </c>
      <c r="J2324" t="s">
        <v>11</v>
      </c>
    </row>
    <row r="2325" spans="1:10">
      <c r="A2325">
        <v>2022</v>
      </c>
      <c r="B2325">
        <v>11</v>
      </c>
      <c r="C2325">
        <v>8807</v>
      </c>
      <c r="D2325">
        <v>149</v>
      </c>
      <c r="E2325" t="s">
        <v>10</v>
      </c>
      <c r="F2325">
        <v>3454102</v>
      </c>
      <c r="G2325" s="1">
        <v>160</v>
      </c>
      <c r="H2325" s="2">
        <v>105846</v>
      </c>
      <c r="I2325" t="str">
        <f>VLOOKUP(Tabela1[[#This Row],[CO_PAIS]],'[1]nome do paixs'!$A:$B,2,0)</f>
        <v>Canadá</v>
      </c>
      <c r="J2325" t="s">
        <v>11</v>
      </c>
    </row>
    <row r="2326" spans="1:10">
      <c r="A2326">
        <v>2022</v>
      </c>
      <c r="B2326">
        <v>11</v>
      </c>
      <c r="C2326">
        <v>8807</v>
      </c>
      <c r="D2326">
        <v>249</v>
      </c>
      <c r="E2326" t="s">
        <v>10</v>
      </c>
      <c r="F2326">
        <v>3454102</v>
      </c>
      <c r="G2326" s="1">
        <v>24328</v>
      </c>
      <c r="H2326" s="2">
        <v>6067029</v>
      </c>
      <c r="I2326" t="str">
        <f>VLOOKUP(Tabela1[[#This Row],[CO_PAIS]],'[1]nome do paixs'!$A:$B,2,0)</f>
        <v>Estados Unidos</v>
      </c>
      <c r="J2326" t="s">
        <v>11</v>
      </c>
    </row>
    <row r="2327" spans="1:10">
      <c r="A2327">
        <v>2022</v>
      </c>
      <c r="B2327">
        <v>11</v>
      </c>
      <c r="C2327">
        <v>8807</v>
      </c>
      <c r="D2327">
        <v>676</v>
      </c>
      <c r="E2327" t="s">
        <v>10</v>
      </c>
      <c r="F2327">
        <v>3449904</v>
      </c>
      <c r="G2327" s="1">
        <v>40</v>
      </c>
      <c r="H2327" s="2">
        <v>32166</v>
      </c>
      <c r="I2327" t="str">
        <f>VLOOKUP(Tabela1[[#This Row],[CO_PAIS]],'[1]nome do paixs'!$A:$B,2,0)</f>
        <v>Rússia</v>
      </c>
      <c r="J2327" t="s">
        <v>12</v>
      </c>
    </row>
    <row r="2328" spans="1:10">
      <c r="A2328">
        <v>2022</v>
      </c>
      <c r="B2328">
        <v>11</v>
      </c>
      <c r="C2328">
        <v>8807</v>
      </c>
      <c r="D2328">
        <v>245</v>
      </c>
      <c r="E2328" t="s">
        <v>10</v>
      </c>
      <c r="F2328">
        <v>3424402</v>
      </c>
      <c r="G2328" s="1">
        <v>284</v>
      </c>
      <c r="H2328" s="2">
        <v>93194</v>
      </c>
      <c r="I2328" t="str">
        <f>VLOOKUP(Tabela1[[#This Row],[CO_PAIS]],'[1]nome do paixs'!$A:$B,2,0)</f>
        <v>Espanha</v>
      </c>
      <c r="J2328" t="s">
        <v>13</v>
      </c>
    </row>
    <row r="2329" spans="1:10">
      <c r="A2329">
        <v>2022</v>
      </c>
      <c r="B2329">
        <v>11</v>
      </c>
      <c r="C2329">
        <v>8807</v>
      </c>
      <c r="D2329">
        <v>603</v>
      </c>
      <c r="E2329" t="s">
        <v>10</v>
      </c>
      <c r="F2329">
        <v>3449904</v>
      </c>
      <c r="G2329" s="1">
        <v>16</v>
      </c>
      <c r="H2329" s="2">
        <v>6704</v>
      </c>
      <c r="I2329" t="str">
        <f>VLOOKUP(Tabela1[[#This Row],[CO_PAIS]],'[1]nome do paixs'!$A:$B,2,0)</f>
        <v>Polônia</v>
      </c>
      <c r="J2329" t="s">
        <v>12</v>
      </c>
    </row>
    <row r="2330" spans="1:10">
      <c r="A2330">
        <v>2022</v>
      </c>
      <c r="B2330">
        <v>11</v>
      </c>
      <c r="C2330">
        <v>8807</v>
      </c>
      <c r="D2330">
        <v>23</v>
      </c>
      <c r="E2330" t="s">
        <v>10</v>
      </c>
      <c r="F2330">
        <v>3449904</v>
      </c>
      <c r="G2330" s="1">
        <v>141</v>
      </c>
      <c r="H2330" s="2">
        <v>188742</v>
      </c>
      <c r="I2330" t="str">
        <f>VLOOKUP(Tabela1[[#This Row],[CO_PAIS]],'[1]nome do paixs'!$A:$B,2,0)</f>
        <v>Alemanha</v>
      </c>
      <c r="J2330" t="s">
        <v>12</v>
      </c>
    </row>
    <row r="2331" spans="1:10">
      <c r="A2331">
        <v>2022</v>
      </c>
      <c r="B2331">
        <v>11</v>
      </c>
      <c r="C2331">
        <v>8807</v>
      </c>
      <c r="D2331">
        <v>245</v>
      </c>
      <c r="E2331" t="s">
        <v>10</v>
      </c>
      <c r="F2331">
        <v>3449904</v>
      </c>
      <c r="G2331" s="1">
        <v>3561</v>
      </c>
      <c r="H2331" s="2">
        <v>1370883</v>
      </c>
      <c r="I2331" t="str">
        <f>VLOOKUP(Tabela1[[#This Row],[CO_PAIS]],'[1]nome do paixs'!$A:$B,2,0)</f>
        <v>Espanha</v>
      </c>
      <c r="J2331" t="s">
        <v>12</v>
      </c>
    </row>
    <row r="2332" spans="1:10">
      <c r="A2332">
        <v>2022</v>
      </c>
      <c r="B2332">
        <v>11</v>
      </c>
      <c r="C2332">
        <v>8807</v>
      </c>
      <c r="D2332">
        <v>493</v>
      </c>
      <c r="E2332" t="s">
        <v>10</v>
      </c>
      <c r="F2332">
        <v>3449904</v>
      </c>
      <c r="G2332" s="1">
        <v>1995</v>
      </c>
      <c r="H2332" s="2">
        <v>1166854</v>
      </c>
      <c r="I2332" t="str">
        <f>VLOOKUP(Tabela1[[#This Row],[CO_PAIS]],'[1]nome do paixs'!$A:$B,2,0)</f>
        <v>México</v>
      </c>
      <c r="J2332" t="s">
        <v>12</v>
      </c>
    </row>
    <row r="2333" spans="1:10">
      <c r="A2333">
        <v>2022</v>
      </c>
      <c r="B2333">
        <v>11</v>
      </c>
      <c r="C2333">
        <v>8807</v>
      </c>
      <c r="D2333">
        <v>23</v>
      </c>
      <c r="E2333" t="s">
        <v>10</v>
      </c>
      <c r="F2333">
        <v>3454102</v>
      </c>
      <c r="G2333" s="1">
        <v>3377</v>
      </c>
      <c r="H2333" s="2">
        <v>1004626</v>
      </c>
      <c r="I2333" t="str">
        <f>VLOOKUP(Tabela1[[#This Row],[CO_PAIS]],'[1]nome do paixs'!$A:$B,2,0)</f>
        <v>Alemanha</v>
      </c>
      <c r="J2333" t="s">
        <v>11</v>
      </c>
    </row>
    <row r="2334" spans="1:10">
      <c r="A2334">
        <v>2022</v>
      </c>
      <c r="B2334">
        <v>11</v>
      </c>
      <c r="C2334">
        <v>8807</v>
      </c>
      <c r="D2334">
        <v>628</v>
      </c>
      <c r="E2334" t="s">
        <v>10</v>
      </c>
      <c r="F2334">
        <v>3449904</v>
      </c>
      <c r="G2334" s="1">
        <v>836</v>
      </c>
      <c r="H2334" s="2">
        <v>599469</v>
      </c>
      <c r="I2334" t="str">
        <f>VLOOKUP(Tabela1[[#This Row],[CO_PAIS]],'[1]nome do paixs'!$A:$B,2,0)</f>
        <v>Reino Unido</v>
      </c>
      <c r="J2334" t="s">
        <v>12</v>
      </c>
    </row>
    <row r="2335" spans="1:10">
      <c r="A2335">
        <v>2022</v>
      </c>
      <c r="B2335">
        <v>11</v>
      </c>
      <c r="C2335">
        <v>8807</v>
      </c>
      <c r="D2335">
        <v>190</v>
      </c>
      <c r="E2335" t="s">
        <v>10</v>
      </c>
      <c r="F2335">
        <v>3454102</v>
      </c>
      <c r="G2335" s="1">
        <v>3423</v>
      </c>
      <c r="H2335" s="2">
        <v>3367134</v>
      </c>
      <c r="I2335" t="str">
        <f>VLOOKUP(Tabela1[[#This Row],[CO_PAIS]],'[1]nome do paixs'!$A:$B,2,0)</f>
        <v>Coreia do Sul</v>
      </c>
      <c r="J2335" t="s">
        <v>11</v>
      </c>
    </row>
    <row r="2336" spans="1:10">
      <c r="A2336">
        <v>2022</v>
      </c>
      <c r="B2336">
        <v>11</v>
      </c>
      <c r="C2336">
        <v>8807</v>
      </c>
      <c r="D2336">
        <v>23</v>
      </c>
      <c r="E2336" t="s">
        <v>10</v>
      </c>
      <c r="F2336">
        <v>3424402</v>
      </c>
      <c r="G2336" s="1">
        <v>1</v>
      </c>
      <c r="H2336" s="2">
        <v>1113</v>
      </c>
      <c r="I2336" t="str">
        <f>VLOOKUP(Tabela1[[#This Row],[CO_PAIS]],'[1]nome do paixs'!$A:$B,2,0)</f>
        <v>Alemanha</v>
      </c>
      <c r="J2336" t="s">
        <v>13</v>
      </c>
    </row>
    <row r="2337" spans="1:10">
      <c r="A2337">
        <v>2022</v>
      </c>
      <c r="B2337">
        <v>11</v>
      </c>
      <c r="C2337">
        <v>8807</v>
      </c>
      <c r="D2337">
        <v>245</v>
      </c>
      <c r="E2337" t="s">
        <v>10</v>
      </c>
      <c r="F2337">
        <v>3454102</v>
      </c>
      <c r="G2337" s="1">
        <v>1045</v>
      </c>
      <c r="H2337" s="2">
        <v>1100802</v>
      </c>
      <c r="I2337" t="str">
        <f>VLOOKUP(Tabela1[[#This Row],[CO_PAIS]],'[1]nome do paixs'!$A:$B,2,0)</f>
        <v>Espanha</v>
      </c>
      <c r="J2337" t="s">
        <v>11</v>
      </c>
    </row>
    <row r="2338" spans="1:10">
      <c r="A2338">
        <v>2021</v>
      </c>
      <c r="B2338">
        <v>11</v>
      </c>
      <c r="C2338">
        <v>8803</v>
      </c>
      <c r="D2338">
        <v>607</v>
      </c>
      <c r="E2338" t="s">
        <v>10</v>
      </c>
      <c r="F2338">
        <v>3454102</v>
      </c>
      <c r="G2338" s="1">
        <v>10477</v>
      </c>
      <c r="H2338" s="2">
        <v>3448340</v>
      </c>
      <c r="I2338" t="str">
        <f>VLOOKUP(Tabela1[[#This Row],[CO_PAIS]],'[1]nome do paixs'!$A:$B,2,0)</f>
        <v>Portugal</v>
      </c>
      <c r="J2338" t="s">
        <v>11</v>
      </c>
    </row>
    <row r="2339" spans="1:10">
      <c r="A2339">
        <v>2021</v>
      </c>
      <c r="B2339">
        <v>11</v>
      </c>
      <c r="C2339">
        <v>8803</v>
      </c>
      <c r="D2339">
        <v>493</v>
      </c>
      <c r="E2339" t="s">
        <v>10</v>
      </c>
      <c r="F2339">
        <v>3449904</v>
      </c>
      <c r="G2339" s="1">
        <v>1775</v>
      </c>
      <c r="H2339" s="2">
        <v>1109510</v>
      </c>
      <c r="I2339" t="str">
        <f>VLOOKUP(Tabela1[[#This Row],[CO_PAIS]],'[1]nome do paixs'!$A:$B,2,0)</f>
        <v>México</v>
      </c>
      <c r="J2339" t="s">
        <v>12</v>
      </c>
    </row>
    <row r="2340" spans="1:10">
      <c r="A2340">
        <v>2021</v>
      </c>
      <c r="B2340">
        <v>11</v>
      </c>
      <c r="C2340">
        <v>8803</v>
      </c>
      <c r="D2340">
        <v>628</v>
      </c>
      <c r="E2340" t="s">
        <v>10</v>
      </c>
      <c r="F2340">
        <v>3454102</v>
      </c>
      <c r="G2340" s="1">
        <v>92</v>
      </c>
      <c r="H2340" s="2">
        <v>49861</v>
      </c>
      <c r="I2340" t="str">
        <f>VLOOKUP(Tabela1[[#This Row],[CO_PAIS]],'[1]nome do paixs'!$A:$B,2,0)</f>
        <v>Reino Unido</v>
      </c>
      <c r="J2340" t="s">
        <v>11</v>
      </c>
    </row>
    <row r="2341" spans="1:10">
      <c r="A2341">
        <v>2021</v>
      </c>
      <c r="B2341">
        <v>11</v>
      </c>
      <c r="C2341">
        <v>8803</v>
      </c>
      <c r="D2341">
        <v>105</v>
      </c>
      <c r="E2341" t="s">
        <v>10</v>
      </c>
      <c r="F2341">
        <v>3454102</v>
      </c>
      <c r="G2341" s="1">
        <v>4443</v>
      </c>
      <c r="H2341" s="2">
        <v>3015746</v>
      </c>
      <c r="I2341" t="str">
        <f>VLOOKUP(Tabela1[[#This Row],[CO_PAIS]],'[1]nome do paixs'!$A:$B,2,0)</f>
        <v>Brasil</v>
      </c>
      <c r="J2341" t="s">
        <v>11</v>
      </c>
    </row>
    <row r="2342" spans="1:10">
      <c r="A2342">
        <v>2021</v>
      </c>
      <c r="B2342">
        <v>11</v>
      </c>
      <c r="C2342">
        <v>8803</v>
      </c>
      <c r="D2342">
        <v>190</v>
      </c>
      <c r="E2342" t="s">
        <v>10</v>
      </c>
      <c r="F2342">
        <v>3424402</v>
      </c>
      <c r="G2342" s="1">
        <v>108</v>
      </c>
      <c r="H2342" s="2">
        <v>55543</v>
      </c>
      <c r="I2342" t="str">
        <f>VLOOKUP(Tabela1[[#This Row],[CO_PAIS]],'[1]nome do paixs'!$A:$B,2,0)</f>
        <v>Coreia do Sul</v>
      </c>
      <c r="J2342" t="s">
        <v>13</v>
      </c>
    </row>
    <row r="2343" spans="1:10">
      <c r="A2343">
        <v>2021</v>
      </c>
      <c r="B2343">
        <v>11</v>
      </c>
      <c r="C2343">
        <v>8803</v>
      </c>
      <c r="D2343">
        <v>72</v>
      </c>
      <c r="E2343" t="s">
        <v>10</v>
      </c>
      <c r="F2343">
        <v>3454102</v>
      </c>
      <c r="G2343" s="1">
        <v>18792</v>
      </c>
      <c r="H2343" s="2">
        <v>752076</v>
      </c>
      <c r="I2343" t="str">
        <f>VLOOKUP(Tabela1[[#This Row],[CO_PAIS]],'[1]nome do paixs'!$A:$B,2,0)</f>
        <v>Áustria</v>
      </c>
      <c r="J2343" t="s">
        <v>11</v>
      </c>
    </row>
    <row r="2344" spans="1:10">
      <c r="A2344">
        <v>2021</v>
      </c>
      <c r="B2344">
        <v>11</v>
      </c>
      <c r="C2344">
        <v>8803</v>
      </c>
      <c r="D2344">
        <v>361</v>
      </c>
      <c r="E2344" t="s">
        <v>10</v>
      </c>
      <c r="F2344">
        <v>3449904</v>
      </c>
      <c r="G2344" s="1">
        <v>440</v>
      </c>
      <c r="H2344" s="2">
        <v>194784</v>
      </c>
      <c r="I2344" t="str">
        <f>VLOOKUP(Tabela1[[#This Row],[CO_PAIS]],'[1]nome do paixs'!$A:$B,2,0)</f>
        <v>Índia</v>
      </c>
      <c r="J2344" t="s">
        <v>12</v>
      </c>
    </row>
    <row r="2345" spans="1:10">
      <c r="A2345">
        <v>2021</v>
      </c>
      <c r="B2345">
        <v>11</v>
      </c>
      <c r="C2345">
        <v>8803</v>
      </c>
      <c r="D2345">
        <v>23</v>
      </c>
      <c r="E2345" t="s">
        <v>10</v>
      </c>
      <c r="F2345">
        <v>3454102</v>
      </c>
      <c r="G2345" s="1">
        <v>1693</v>
      </c>
      <c r="H2345" s="2">
        <v>476013</v>
      </c>
      <c r="I2345" t="str">
        <f>VLOOKUP(Tabela1[[#This Row],[CO_PAIS]],'[1]nome do paixs'!$A:$B,2,0)</f>
        <v>Alemanha</v>
      </c>
      <c r="J2345" t="s">
        <v>11</v>
      </c>
    </row>
    <row r="2346" spans="1:10">
      <c r="A2346">
        <v>2021</v>
      </c>
      <c r="B2346">
        <v>11</v>
      </c>
      <c r="C2346">
        <v>8803</v>
      </c>
      <c r="D2346">
        <v>87</v>
      </c>
      <c r="E2346" t="s">
        <v>10</v>
      </c>
      <c r="F2346">
        <v>3449904</v>
      </c>
      <c r="G2346" s="1">
        <v>616</v>
      </c>
      <c r="H2346" s="2">
        <v>570027</v>
      </c>
      <c r="I2346" t="str">
        <f>VLOOKUP(Tabela1[[#This Row],[CO_PAIS]],'[1]nome do paixs'!$A:$B,2,0)</f>
        <v>Bélgica</v>
      </c>
      <c r="J2346" t="s">
        <v>12</v>
      </c>
    </row>
    <row r="2347" spans="1:10">
      <c r="A2347">
        <v>2021</v>
      </c>
      <c r="B2347">
        <v>11</v>
      </c>
      <c r="C2347">
        <v>8803</v>
      </c>
      <c r="D2347">
        <v>87</v>
      </c>
      <c r="E2347" t="s">
        <v>10</v>
      </c>
      <c r="F2347">
        <v>3454102</v>
      </c>
      <c r="G2347" s="1">
        <v>1533</v>
      </c>
      <c r="H2347" s="2">
        <v>1368038</v>
      </c>
      <c r="I2347" t="str">
        <f>VLOOKUP(Tabela1[[#This Row],[CO_PAIS]],'[1]nome do paixs'!$A:$B,2,0)</f>
        <v>Bélgica</v>
      </c>
      <c r="J2347" t="s">
        <v>11</v>
      </c>
    </row>
    <row r="2348" spans="1:10">
      <c r="A2348">
        <v>2021</v>
      </c>
      <c r="B2348">
        <v>11</v>
      </c>
      <c r="C2348">
        <v>8803</v>
      </c>
      <c r="D2348">
        <v>245</v>
      </c>
      <c r="E2348" t="s">
        <v>10</v>
      </c>
      <c r="F2348">
        <v>3449904</v>
      </c>
      <c r="G2348" s="1">
        <v>1112</v>
      </c>
      <c r="H2348" s="2">
        <v>321705</v>
      </c>
      <c r="I2348" t="str">
        <f>VLOOKUP(Tabela1[[#This Row],[CO_PAIS]],'[1]nome do paixs'!$A:$B,2,0)</f>
        <v>Espanha</v>
      </c>
      <c r="J2348" t="s">
        <v>12</v>
      </c>
    </row>
    <row r="2349" spans="1:10">
      <c r="A2349">
        <v>2021</v>
      </c>
      <c r="B2349">
        <v>11</v>
      </c>
      <c r="C2349">
        <v>8803</v>
      </c>
      <c r="D2349">
        <v>399</v>
      </c>
      <c r="E2349" t="s">
        <v>10</v>
      </c>
      <c r="F2349">
        <v>3449904</v>
      </c>
      <c r="G2349" s="1">
        <v>874</v>
      </c>
      <c r="H2349" s="2">
        <v>895662</v>
      </c>
      <c r="I2349" t="str">
        <f>VLOOKUP(Tabela1[[#This Row],[CO_PAIS]],'[1]nome do paixs'!$A:$B,2,0)</f>
        <v>Japão</v>
      </c>
      <c r="J2349" t="s">
        <v>12</v>
      </c>
    </row>
    <row r="2350" spans="1:10">
      <c r="A2350">
        <v>2021</v>
      </c>
      <c r="B2350">
        <v>11</v>
      </c>
      <c r="C2350">
        <v>8803</v>
      </c>
      <c r="D2350">
        <v>23</v>
      </c>
      <c r="E2350" t="s">
        <v>10</v>
      </c>
      <c r="F2350">
        <v>3449904</v>
      </c>
      <c r="G2350" s="1">
        <v>248</v>
      </c>
      <c r="H2350" s="2">
        <v>309115</v>
      </c>
      <c r="I2350" t="str">
        <f>VLOOKUP(Tabela1[[#This Row],[CO_PAIS]],'[1]nome do paixs'!$A:$B,2,0)</f>
        <v>Alemanha</v>
      </c>
      <c r="J2350" t="s">
        <v>12</v>
      </c>
    </row>
    <row r="2351" spans="1:10">
      <c r="A2351">
        <v>2021</v>
      </c>
      <c r="B2351">
        <v>11</v>
      </c>
      <c r="C2351">
        <v>8803</v>
      </c>
      <c r="D2351">
        <v>245</v>
      </c>
      <c r="E2351" t="s">
        <v>10</v>
      </c>
      <c r="F2351">
        <v>3424402</v>
      </c>
      <c r="G2351" s="1">
        <v>45</v>
      </c>
      <c r="H2351" s="2">
        <v>19288</v>
      </c>
      <c r="I2351" t="str">
        <f>VLOOKUP(Tabela1[[#This Row],[CO_PAIS]],'[1]nome do paixs'!$A:$B,2,0)</f>
        <v>Espanha</v>
      </c>
      <c r="J2351" t="s">
        <v>13</v>
      </c>
    </row>
    <row r="2352" spans="1:10">
      <c r="A2352">
        <v>2021</v>
      </c>
      <c r="B2352">
        <v>11</v>
      </c>
      <c r="C2352">
        <v>8803</v>
      </c>
      <c r="D2352">
        <v>603</v>
      </c>
      <c r="E2352" t="s">
        <v>10</v>
      </c>
      <c r="F2352">
        <v>3449904</v>
      </c>
      <c r="G2352" s="1">
        <v>86</v>
      </c>
      <c r="H2352" s="2">
        <v>9903</v>
      </c>
      <c r="I2352" t="str">
        <f>VLOOKUP(Tabela1[[#This Row],[CO_PAIS]],'[1]nome do paixs'!$A:$B,2,0)</f>
        <v>Polônia</v>
      </c>
      <c r="J2352" t="s">
        <v>12</v>
      </c>
    </row>
    <row r="2353" spans="1:10">
      <c r="A2353">
        <v>2021</v>
      </c>
      <c r="B2353">
        <v>11</v>
      </c>
      <c r="C2353">
        <v>8803</v>
      </c>
      <c r="D2353">
        <v>493</v>
      </c>
      <c r="E2353" t="s">
        <v>10</v>
      </c>
      <c r="F2353">
        <v>3454102</v>
      </c>
      <c r="G2353" s="1">
        <v>5464</v>
      </c>
      <c r="H2353" s="2">
        <v>2704724</v>
      </c>
      <c r="I2353" t="str">
        <f>VLOOKUP(Tabela1[[#This Row],[CO_PAIS]],'[1]nome do paixs'!$A:$B,2,0)</f>
        <v>México</v>
      </c>
      <c r="J2353" t="s">
        <v>11</v>
      </c>
    </row>
    <row r="2354" spans="1:10">
      <c r="A2354">
        <v>2021</v>
      </c>
      <c r="B2354">
        <v>11</v>
      </c>
      <c r="C2354">
        <v>8803</v>
      </c>
      <c r="D2354">
        <v>791</v>
      </c>
      <c r="E2354" t="s">
        <v>10</v>
      </c>
      <c r="F2354">
        <v>3424402</v>
      </c>
      <c r="G2354" s="1">
        <v>162</v>
      </c>
      <c r="H2354" s="2">
        <v>113217</v>
      </c>
      <c r="I2354" t="str">
        <f>VLOOKUP(Tabela1[[#This Row],[CO_PAIS]],'[1]nome do paixs'!$A:$B,2,0)</f>
        <v>Tcheca, República</v>
      </c>
      <c r="J2354" t="s">
        <v>13</v>
      </c>
    </row>
    <row r="2355" spans="1:10">
      <c r="A2355">
        <v>2021</v>
      </c>
      <c r="B2355">
        <v>11</v>
      </c>
      <c r="C2355">
        <v>8803</v>
      </c>
      <c r="D2355">
        <v>275</v>
      </c>
      <c r="E2355" t="s">
        <v>10</v>
      </c>
      <c r="F2355">
        <v>3424402</v>
      </c>
      <c r="G2355" s="1">
        <v>57</v>
      </c>
      <c r="H2355" s="2">
        <v>158872</v>
      </c>
      <c r="I2355" t="str">
        <f>VLOOKUP(Tabela1[[#This Row],[CO_PAIS]],'[1]nome do paixs'!$A:$B,2,0)</f>
        <v>França</v>
      </c>
      <c r="J2355" t="s">
        <v>13</v>
      </c>
    </row>
    <row r="2356" spans="1:10">
      <c r="A2356">
        <v>2021</v>
      </c>
      <c r="B2356">
        <v>11</v>
      </c>
      <c r="C2356">
        <v>8803</v>
      </c>
      <c r="D2356">
        <v>386</v>
      </c>
      <c r="E2356" t="s">
        <v>10</v>
      </c>
      <c r="F2356">
        <v>3454102</v>
      </c>
      <c r="G2356" s="1">
        <v>576</v>
      </c>
      <c r="H2356" s="2">
        <v>1490696</v>
      </c>
      <c r="I2356" t="str">
        <f>VLOOKUP(Tabela1[[#This Row],[CO_PAIS]],'[1]nome do paixs'!$A:$B,2,0)</f>
        <v>Itália</v>
      </c>
      <c r="J2356" t="s">
        <v>11</v>
      </c>
    </row>
    <row r="2357" spans="1:10">
      <c r="A2357">
        <v>2021</v>
      </c>
      <c r="B2357">
        <v>11</v>
      </c>
      <c r="C2357">
        <v>8803</v>
      </c>
      <c r="D2357">
        <v>399</v>
      </c>
      <c r="E2357" t="s">
        <v>10</v>
      </c>
      <c r="F2357">
        <v>3454102</v>
      </c>
      <c r="G2357" s="1">
        <v>5631</v>
      </c>
      <c r="H2357" s="2">
        <v>3622448</v>
      </c>
      <c r="I2357" t="str">
        <f>VLOOKUP(Tabela1[[#This Row],[CO_PAIS]],'[1]nome do paixs'!$A:$B,2,0)</f>
        <v>Japão</v>
      </c>
      <c r="J2357" t="s">
        <v>11</v>
      </c>
    </row>
    <row r="2358" spans="1:10">
      <c r="A2358">
        <v>2021</v>
      </c>
      <c r="B2358">
        <v>11</v>
      </c>
      <c r="C2358">
        <v>8803</v>
      </c>
      <c r="D2358">
        <v>607</v>
      </c>
      <c r="E2358" t="s">
        <v>10</v>
      </c>
      <c r="F2358">
        <v>3449904</v>
      </c>
      <c r="G2358" s="1">
        <v>1</v>
      </c>
      <c r="H2358" s="2">
        <v>2658</v>
      </c>
      <c r="I2358" t="str">
        <f>VLOOKUP(Tabela1[[#This Row],[CO_PAIS]],'[1]nome do paixs'!$A:$B,2,0)</f>
        <v>Portugal</v>
      </c>
      <c r="J2358" t="s">
        <v>12</v>
      </c>
    </row>
    <row r="2359" spans="1:10">
      <c r="A2359">
        <v>2021</v>
      </c>
      <c r="B2359">
        <v>11</v>
      </c>
      <c r="C2359">
        <v>8803</v>
      </c>
      <c r="D2359">
        <v>249</v>
      </c>
      <c r="E2359" t="s">
        <v>10</v>
      </c>
      <c r="F2359">
        <v>3454102</v>
      </c>
      <c r="G2359" s="1">
        <v>9435</v>
      </c>
      <c r="H2359" s="2">
        <v>3150324</v>
      </c>
      <c r="I2359" t="str">
        <f>VLOOKUP(Tabela1[[#This Row],[CO_PAIS]],'[1]nome do paixs'!$A:$B,2,0)</f>
        <v>Estados Unidos</v>
      </c>
      <c r="J2359" t="s">
        <v>11</v>
      </c>
    </row>
    <row r="2360" spans="1:10">
      <c r="A2360">
        <v>2021</v>
      </c>
      <c r="B2360">
        <v>11</v>
      </c>
      <c r="C2360">
        <v>8803</v>
      </c>
      <c r="D2360">
        <v>249</v>
      </c>
      <c r="E2360" t="s">
        <v>10</v>
      </c>
      <c r="F2360">
        <v>3424402</v>
      </c>
      <c r="G2360" s="1">
        <v>2</v>
      </c>
      <c r="H2360" s="2">
        <v>267</v>
      </c>
      <c r="I2360" t="str">
        <f>VLOOKUP(Tabela1[[#This Row],[CO_PAIS]],'[1]nome do paixs'!$A:$B,2,0)</f>
        <v>Estados Unidos</v>
      </c>
      <c r="J2360" t="s">
        <v>13</v>
      </c>
    </row>
    <row r="2361" spans="1:10">
      <c r="A2361">
        <v>2021</v>
      </c>
      <c r="B2361">
        <v>11</v>
      </c>
      <c r="C2361">
        <v>8803</v>
      </c>
      <c r="D2361">
        <v>249</v>
      </c>
      <c r="E2361" t="s">
        <v>10</v>
      </c>
      <c r="F2361">
        <v>3449904</v>
      </c>
      <c r="G2361" s="1">
        <v>4256</v>
      </c>
      <c r="H2361" s="2">
        <v>2878064</v>
      </c>
      <c r="I2361" t="str">
        <f>VLOOKUP(Tabela1[[#This Row],[CO_PAIS]],'[1]nome do paixs'!$A:$B,2,0)</f>
        <v>Estados Unidos</v>
      </c>
      <c r="J2361" t="s">
        <v>12</v>
      </c>
    </row>
    <row r="2362" spans="1:10">
      <c r="A2362">
        <v>2021</v>
      </c>
      <c r="B2362">
        <v>11</v>
      </c>
      <c r="C2362">
        <v>8803</v>
      </c>
      <c r="D2362">
        <v>190</v>
      </c>
      <c r="E2362" t="s">
        <v>10</v>
      </c>
      <c r="F2362">
        <v>3454102</v>
      </c>
      <c r="G2362" s="1">
        <v>3584</v>
      </c>
      <c r="H2362" s="2">
        <v>3268179</v>
      </c>
      <c r="I2362" t="str">
        <f>VLOOKUP(Tabela1[[#This Row],[CO_PAIS]],'[1]nome do paixs'!$A:$B,2,0)</f>
        <v>Coreia do Sul</v>
      </c>
      <c r="J2362" t="s">
        <v>11</v>
      </c>
    </row>
    <row r="2363" spans="1:10">
      <c r="A2363">
        <v>2021</v>
      </c>
      <c r="B2363">
        <v>11</v>
      </c>
      <c r="C2363">
        <v>8803</v>
      </c>
      <c r="D2363">
        <v>105</v>
      </c>
      <c r="E2363" t="s">
        <v>10</v>
      </c>
      <c r="F2363">
        <v>3449904</v>
      </c>
      <c r="G2363" s="1">
        <v>8085</v>
      </c>
      <c r="H2363" s="2">
        <v>5256961</v>
      </c>
      <c r="I2363" t="str">
        <f>VLOOKUP(Tabela1[[#This Row],[CO_PAIS]],'[1]nome do paixs'!$A:$B,2,0)</f>
        <v>Brasil</v>
      </c>
      <c r="J2363" t="s">
        <v>12</v>
      </c>
    </row>
    <row r="2364" spans="1:10">
      <c r="A2364">
        <v>2021</v>
      </c>
      <c r="B2364">
        <v>11</v>
      </c>
      <c r="C2364">
        <v>8803</v>
      </c>
      <c r="D2364">
        <v>474</v>
      </c>
      <c r="E2364" t="s">
        <v>10</v>
      </c>
      <c r="F2364">
        <v>3454102</v>
      </c>
      <c r="G2364" s="1">
        <v>46</v>
      </c>
      <c r="H2364" s="2">
        <v>82499</v>
      </c>
      <c r="I2364" t="str">
        <f>VLOOKUP(Tabela1[[#This Row],[CO_PAIS]],'[1]nome do paixs'!$A:$B,2,0)</f>
        <v>Marrocos</v>
      </c>
      <c r="J2364" t="s">
        <v>11</v>
      </c>
    </row>
    <row r="2365" spans="1:10">
      <c r="A2365">
        <v>2021</v>
      </c>
      <c r="B2365">
        <v>11</v>
      </c>
      <c r="C2365">
        <v>8803</v>
      </c>
      <c r="D2365">
        <v>245</v>
      </c>
      <c r="E2365" t="s">
        <v>10</v>
      </c>
      <c r="F2365">
        <v>3454102</v>
      </c>
      <c r="G2365" s="1">
        <v>196</v>
      </c>
      <c r="H2365" s="2">
        <v>390695</v>
      </c>
      <c r="I2365" t="str">
        <f>VLOOKUP(Tabela1[[#This Row],[CO_PAIS]],'[1]nome do paixs'!$A:$B,2,0)</f>
        <v>Espanha</v>
      </c>
      <c r="J2365" t="s">
        <v>11</v>
      </c>
    </row>
    <row r="2366" spans="1:10">
      <c r="A2366">
        <v>2021</v>
      </c>
      <c r="B2366">
        <v>11</v>
      </c>
      <c r="C2366">
        <v>8803</v>
      </c>
      <c r="D2366">
        <v>628</v>
      </c>
      <c r="E2366" t="s">
        <v>10</v>
      </c>
      <c r="F2366">
        <v>3449904</v>
      </c>
      <c r="G2366" s="1">
        <v>404</v>
      </c>
      <c r="H2366" s="2">
        <v>225949</v>
      </c>
      <c r="I2366" t="str">
        <f>VLOOKUP(Tabela1[[#This Row],[CO_PAIS]],'[1]nome do paixs'!$A:$B,2,0)</f>
        <v>Reino Unido</v>
      </c>
      <c r="J2366" t="s">
        <v>12</v>
      </c>
    </row>
    <row r="2367" spans="1:10">
      <c r="A2367">
        <v>2021</v>
      </c>
      <c r="B2367">
        <v>11</v>
      </c>
      <c r="C2367">
        <v>8803</v>
      </c>
      <c r="D2367">
        <v>72</v>
      </c>
      <c r="E2367" t="s">
        <v>10</v>
      </c>
      <c r="F2367">
        <v>3449904</v>
      </c>
      <c r="G2367" s="1">
        <v>4</v>
      </c>
      <c r="H2367" s="2">
        <v>1286</v>
      </c>
      <c r="I2367" t="str">
        <f>VLOOKUP(Tabela1[[#This Row],[CO_PAIS]],'[1]nome do paixs'!$A:$B,2,0)</f>
        <v>Áustria</v>
      </c>
      <c r="J2367" t="s">
        <v>12</v>
      </c>
    </row>
    <row r="2368" spans="1:10">
      <c r="A2368">
        <v>2021</v>
      </c>
      <c r="B2368">
        <v>11</v>
      </c>
      <c r="C2368">
        <v>8803</v>
      </c>
      <c r="D2368">
        <v>375</v>
      </c>
      <c r="E2368" t="s">
        <v>10</v>
      </c>
      <c r="F2368">
        <v>3454102</v>
      </c>
      <c r="G2368" s="1">
        <v>45</v>
      </c>
      <c r="H2368" s="2">
        <v>13654</v>
      </c>
      <c r="I2368" t="str">
        <f>VLOOKUP(Tabela1[[#This Row],[CO_PAIS]],'[1]nome do paixs'!$A:$B,2,0)</f>
        <v>Irlanda</v>
      </c>
      <c r="J2368" t="s">
        <v>11</v>
      </c>
    </row>
    <row r="2369" spans="1:10">
      <c r="A2369">
        <v>2021</v>
      </c>
      <c r="B2369">
        <v>11</v>
      </c>
      <c r="C2369">
        <v>8803</v>
      </c>
      <c r="D2369">
        <v>190</v>
      </c>
      <c r="E2369" t="s">
        <v>10</v>
      </c>
      <c r="F2369">
        <v>3449904</v>
      </c>
      <c r="G2369" s="1">
        <v>1</v>
      </c>
      <c r="H2369" s="2">
        <v>1352</v>
      </c>
      <c r="I2369" t="str">
        <f>VLOOKUP(Tabela1[[#This Row],[CO_PAIS]],'[1]nome do paixs'!$A:$B,2,0)</f>
        <v>Coreia do Sul</v>
      </c>
      <c r="J2369" t="s">
        <v>12</v>
      </c>
    </row>
    <row r="2370" spans="1:10">
      <c r="A2370">
        <v>2021</v>
      </c>
      <c r="B2370">
        <v>11</v>
      </c>
      <c r="C2370">
        <v>8803</v>
      </c>
      <c r="D2370">
        <v>741</v>
      </c>
      <c r="E2370" t="s">
        <v>10</v>
      </c>
      <c r="F2370">
        <v>3449904</v>
      </c>
      <c r="G2370" s="1">
        <v>58</v>
      </c>
      <c r="H2370" s="2">
        <v>55614</v>
      </c>
      <c r="I2370" t="str">
        <f>VLOOKUP(Tabela1[[#This Row],[CO_PAIS]],'[1]nome do paixs'!$A:$B,2,0)</f>
        <v>Singapura</v>
      </c>
      <c r="J2370" t="s">
        <v>12</v>
      </c>
    </row>
    <row r="2371" spans="1:10">
      <c r="A2371">
        <v>2021</v>
      </c>
      <c r="B2371">
        <v>11</v>
      </c>
      <c r="C2371">
        <v>8803</v>
      </c>
      <c r="D2371">
        <v>275</v>
      </c>
      <c r="E2371" t="s">
        <v>10</v>
      </c>
      <c r="F2371">
        <v>3449904</v>
      </c>
      <c r="G2371" s="1">
        <v>339</v>
      </c>
      <c r="H2371" s="2">
        <v>1013715</v>
      </c>
      <c r="I2371" t="str">
        <f>VLOOKUP(Tabela1[[#This Row],[CO_PAIS]],'[1]nome do paixs'!$A:$B,2,0)</f>
        <v>França</v>
      </c>
      <c r="J2371" t="s">
        <v>12</v>
      </c>
    </row>
    <row r="2372" spans="1:10">
      <c r="A2372">
        <v>2021</v>
      </c>
      <c r="B2372">
        <v>11</v>
      </c>
      <c r="C2372">
        <v>8803</v>
      </c>
      <c r="D2372">
        <v>386</v>
      </c>
      <c r="E2372" t="s">
        <v>10</v>
      </c>
      <c r="F2372">
        <v>3449904</v>
      </c>
      <c r="G2372" s="1">
        <v>23</v>
      </c>
      <c r="H2372" s="2">
        <v>21179</v>
      </c>
      <c r="I2372" t="str">
        <f>VLOOKUP(Tabela1[[#This Row],[CO_PAIS]],'[1]nome do paixs'!$A:$B,2,0)</f>
        <v>Itália</v>
      </c>
      <c r="J2372" t="s">
        <v>12</v>
      </c>
    </row>
    <row r="2373" spans="1:10">
      <c r="A2373">
        <v>2021</v>
      </c>
      <c r="B2373">
        <v>11</v>
      </c>
      <c r="C2373">
        <v>8803</v>
      </c>
      <c r="D2373">
        <v>676</v>
      </c>
      <c r="E2373" t="s">
        <v>10</v>
      </c>
      <c r="F2373">
        <v>3449904</v>
      </c>
      <c r="G2373" s="1">
        <v>9</v>
      </c>
      <c r="H2373" s="2">
        <v>26147</v>
      </c>
      <c r="I2373" t="str">
        <f>VLOOKUP(Tabela1[[#This Row],[CO_PAIS]],'[1]nome do paixs'!$A:$B,2,0)</f>
        <v>Rússia</v>
      </c>
      <c r="J2373" t="s">
        <v>12</v>
      </c>
    </row>
    <row r="2374" spans="1:10">
      <c r="A2374">
        <v>2021</v>
      </c>
      <c r="B2374">
        <v>11</v>
      </c>
      <c r="C2374">
        <v>8803</v>
      </c>
      <c r="D2374">
        <v>275</v>
      </c>
      <c r="E2374" t="s">
        <v>10</v>
      </c>
      <c r="F2374">
        <v>3454102</v>
      </c>
      <c r="G2374" s="1">
        <v>1943</v>
      </c>
      <c r="H2374" s="2">
        <v>3280352</v>
      </c>
      <c r="I2374" t="str">
        <f>VLOOKUP(Tabela1[[#This Row],[CO_PAIS]],'[1]nome do paixs'!$A:$B,2,0)</f>
        <v>França</v>
      </c>
      <c r="J2374" t="s">
        <v>11</v>
      </c>
    </row>
    <row r="2375" spans="1:10">
      <c r="A2375">
        <v>2024</v>
      </c>
      <c r="B2375">
        <v>12</v>
      </c>
      <c r="C2375">
        <v>8807</v>
      </c>
      <c r="D2375">
        <v>474</v>
      </c>
      <c r="E2375" t="s">
        <v>10</v>
      </c>
      <c r="F2375">
        <v>3454102</v>
      </c>
      <c r="G2375" s="1">
        <v>92</v>
      </c>
      <c r="H2375" s="2">
        <v>240211</v>
      </c>
      <c r="I2375" t="str">
        <f>VLOOKUP(Tabela1[[#This Row],[CO_PAIS]],'[1]nome do paixs'!$A:$B,2,0)</f>
        <v>Marrocos</v>
      </c>
      <c r="J2375" t="s">
        <v>11</v>
      </c>
    </row>
    <row r="2376" spans="1:10">
      <c r="A2376">
        <v>2024</v>
      </c>
      <c r="B2376">
        <v>12</v>
      </c>
      <c r="C2376">
        <v>8807</v>
      </c>
      <c r="D2376">
        <v>361</v>
      </c>
      <c r="E2376" t="s">
        <v>10</v>
      </c>
      <c r="F2376">
        <v>3449904</v>
      </c>
      <c r="G2376" s="1">
        <v>1452</v>
      </c>
      <c r="H2376" s="2">
        <v>786997</v>
      </c>
      <c r="I2376" t="str">
        <f>VLOOKUP(Tabela1[[#This Row],[CO_PAIS]],'[1]nome do paixs'!$A:$B,2,0)</f>
        <v>Índia</v>
      </c>
      <c r="J2376" t="s">
        <v>12</v>
      </c>
    </row>
    <row r="2377" spans="1:10">
      <c r="A2377">
        <v>2024</v>
      </c>
      <c r="B2377">
        <v>12</v>
      </c>
      <c r="C2377">
        <v>8807</v>
      </c>
      <c r="D2377">
        <v>87</v>
      </c>
      <c r="E2377" t="s">
        <v>10</v>
      </c>
      <c r="F2377">
        <v>3449904</v>
      </c>
      <c r="G2377" s="1">
        <v>1251</v>
      </c>
      <c r="H2377" s="2">
        <v>1300770</v>
      </c>
      <c r="I2377" t="str">
        <f>VLOOKUP(Tabela1[[#This Row],[CO_PAIS]],'[1]nome do paixs'!$A:$B,2,0)</f>
        <v>Bélgica</v>
      </c>
      <c r="J2377" t="s">
        <v>12</v>
      </c>
    </row>
    <row r="2378" spans="1:10">
      <c r="A2378">
        <v>2024</v>
      </c>
      <c r="B2378">
        <v>12</v>
      </c>
      <c r="C2378">
        <v>8807</v>
      </c>
      <c r="D2378">
        <v>23</v>
      </c>
      <c r="E2378" t="s">
        <v>10</v>
      </c>
      <c r="F2378">
        <v>3449904</v>
      </c>
      <c r="G2378" s="1">
        <v>465</v>
      </c>
      <c r="H2378" s="2">
        <v>459789</v>
      </c>
      <c r="I2378" t="str">
        <f>VLOOKUP(Tabela1[[#This Row],[CO_PAIS]],'[1]nome do paixs'!$A:$B,2,0)</f>
        <v>Alemanha</v>
      </c>
      <c r="J2378" t="s">
        <v>12</v>
      </c>
    </row>
    <row r="2379" spans="1:10">
      <c r="A2379">
        <v>2024</v>
      </c>
      <c r="B2379">
        <v>12</v>
      </c>
      <c r="C2379">
        <v>8807</v>
      </c>
      <c r="D2379">
        <v>493</v>
      </c>
      <c r="E2379" t="s">
        <v>10</v>
      </c>
      <c r="F2379">
        <v>3449904</v>
      </c>
      <c r="G2379" s="1">
        <v>1881</v>
      </c>
      <c r="H2379" s="2">
        <v>1338930</v>
      </c>
      <c r="I2379" t="str">
        <f>VLOOKUP(Tabela1[[#This Row],[CO_PAIS]],'[1]nome do paixs'!$A:$B,2,0)</f>
        <v>México</v>
      </c>
      <c r="J2379" t="s">
        <v>12</v>
      </c>
    </row>
    <row r="2380" spans="1:10">
      <c r="A2380">
        <v>2024</v>
      </c>
      <c r="B2380">
        <v>12</v>
      </c>
      <c r="C2380">
        <v>8807</v>
      </c>
      <c r="D2380">
        <v>275</v>
      </c>
      <c r="E2380" t="s">
        <v>10</v>
      </c>
      <c r="F2380">
        <v>3449904</v>
      </c>
      <c r="G2380" s="1">
        <v>398</v>
      </c>
      <c r="H2380" s="2">
        <v>302122</v>
      </c>
      <c r="I2380" t="str">
        <f>VLOOKUP(Tabela1[[#This Row],[CO_PAIS]],'[1]nome do paixs'!$A:$B,2,0)</f>
        <v>França</v>
      </c>
      <c r="J2380" t="s">
        <v>12</v>
      </c>
    </row>
    <row r="2381" spans="1:10">
      <c r="A2381">
        <v>2024</v>
      </c>
      <c r="B2381">
        <v>12</v>
      </c>
      <c r="C2381">
        <v>8807</v>
      </c>
      <c r="D2381">
        <v>607</v>
      </c>
      <c r="E2381" t="s">
        <v>10</v>
      </c>
      <c r="F2381">
        <v>3454102</v>
      </c>
      <c r="G2381" s="1">
        <v>23527</v>
      </c>
      <c r="H2381" s="2">
        <v>8249779</v>
      </c>
      <c r="I2381" t="str">
        <f>VLOOKUP(Tabela1[[#This Row],[CO_PAIS]],'[1]nome do paixs'!$A:$B,2,0)</f>
        <v>Portugal</v>
      </c>
      <c r="J2381" t="s">
        <v>11</v>
      </c>
    </row>
    <row r="2382" spans="1:10">
      <c r="A2382">
        <v>2024</v>
      </c>
      <c r="B2382">
        <v>12</v>
      </c>
      <c r="C2382">
        <v>8807</v>
      </c>
      <c r="D2382">
        <v>676</v>
      </c>
      <c r="E2382" t="s">
        <v>10</v>
      </c>
      <c r="F2382">
        <v>3454102</v>
      </c>
      <c r="G2382" s="1">
        <v>1356</v>
      </c>
      <c r="H2382" s="2">
        <v>201629</v>
      </c>
      <c r="I2382" t="str">
        <f>VLOOKUP(Tabela1[[#This Row],[CO_PAIS]],'[1]nome do paixs'!$A:$B,2,0)</f>
        <v>Rússia</v>
      </c>
      <c r="J2382" t="s">
        <v>11</v>
      </c>
    </row>
    <row r="2383" spans="1:10">
      <c r="A2383">
        <v>2024</v>
      </c>
      <c r="B2383">
        <v>12</v>
      </c>
      <c r="C2383">
        <v>8807</v>
      </c>
      <c r="D2383">
        <v>105</v>
      </c>
      <c r="E2383" t="s">
        <v>10</v>
      </c>
      <c r="F2383">
        <v>3454102</v>
      </c>
      <c r="G2383" s="1">
        <v>6541</v>
      </c>
      <c r="H2383" s="2">
        <v>5284719</v>
      </c>
      <c r="I2383" t="str">
        <f>VLOOKUP(Tabela1[[#This Row],[CO_PAIS]],'[1]nome do paixs'!$A:$B,2,0)</f>
        <v>Brasil</v>
      </c>
      <c r="J2383" t="s">
        <v>11</v>
      </c>
    </row>
    <row r="2384" spans="1:10">
      <c r="A2384">
        <v>2024</v>
      </c>
      <c r="B2384">
        <v>12</v>
      </c>
      <c r="C2384">
        <v>8807</v>
      </c>
      <c r="D2384">
        <v>493</v>
      </c>
      <c r="E2384" t="s">
        <v>10</v>
      </c>
      <c r="F2384">
        <v>3454102</v>
      </c>
      <c r="G2384" s="1">
        <v>10185</v>
      </c>
      <c r="H2384" s="2">
        <v>5138413</v>
      </c>
      <c r="I2384" t="str">
        <f>VLOOKUP(Tabela1[[#This Row],[CO_PAIS]],'[1]nome do paixs'!$A:$B,2,0)</f>
        <v>México</v>
      </c>
      <c r="J2384" t="s">
        <v>11</v>
      </c>
    </row>
    <row r="2385" spans="1:10">
      <c r="A2385">
        <v>2024</v>
      </c>
      <c r="B2385">
        <v>12</v>
      </c>
      <c r="C2385">
        <v>8807</v>
      </c>
      <c r="D2385">
        <v>105</v>
      </c>
      <c r="E2385" t="s">
        <v>10</v>
      </c>
      <c r="F2385">
        <v>3449904</v>
      </c>
      <c r="G2385" s="1">
        <v>7014</v>
      </c>
      <c r="H2385" s="2">
        <v>4698333</v>
      </c>
      <c r="I2385" t="str">
        <f>VLOOKUP(Tabela1[[#This Row],[CO_PAIS]],'[1]nome do paixs'!$A:$B,2,0)</f>
        <v>Brasil</v>
      </c>
      <c r="J2385" t="s">
        <v>12</v>
      </c>
    </row>
    <row r="2386" spans="1:10">
      <c r="A2386">
        <v>2024</v>
      </c>
      <c r="B2386">
        <v>12</v>
      </c>
      <c r="C2386">
        <v>8807</v>
      </c>
      <c r="D2386">
        <v>741</v>
      </c>
      <c r="E2386" t="s">
        <v>10</v>
      </c>
      <c r="F2386">
        <v>3449904</v>
      </c>
      <c r="G2386" s="1">
        <v>272</v>
      </c>
      <c r="H2386" s="2">
        <v>192101</v>
      </c>
      <c r="I2386" t="str">
        <f>VLOOKUP(Tabela1[[#This Row],[CO_PAIS]],'[1]nome do paixs'!$A:$B,2,0)</f>
        <v>Singapura</v>
      </c>
      <c r="J2386" t="s">
        <v>12</v>
      </c>
    </row>
    <row r="2387" spans="1:10">
      <c r="A2387">
        <v>2024</v>
      </c>
      <c r="B2387">
        <v>12</v>
      </c>
      <c r="C2387">
        <v>8807</v>
      </c>
      <c r="D2387">
        <v>399</v>
      </c>
      <c r="E2387" t="s">
        <v>10</v>
      </c>
      <c r="F2387">
        <v>3449904</v>
      </c>
      <c r="G2387" s="1">
        <v>1009</v>
      </c>
      <c r="H2387" s="2">
        <v>830076</v>
      </c>
      <c r="I2387" t="str">
        <f>VLOOKUP(Tabela1[[#This Row],[CO_PAIS]],'[1]nome do paixs'!$A:$B,2,0)</f>
        <v>Japão</v>
      </c>
      <c r="J2387" t="s">
        <v>12</v>
      </c>
    </row>
    <row r="2388" spans="1:10">
      <c r="A2388">
        <v>2024</v>
      </c>
      <c r="B2388">
        <v>12</v>
      </c>
      <c r="C2388">
        <v>8807</v>
      </c>
      <c r="D2388">
        <v>63</v>
      </c>
      <c r="E2388" t="s">
        <v>10</v>
      </c>
      <c r="F2388">
        <v>3449904</v>
      </c>
      <c r="G2388" s="1">
        <v>0</v>
      </c>
      <c r="H2388" s="2">
        <v>18</v>
      </c>
      <c r="I2388" t="str">
        <f>VLOOKUP(Tabela1[[#This Row],[CO_PAIS]],'[1]nome do paixs'!$A:$B,2,0)</f>
        <v>Argentina</v>
      </c>
      <c r="J2388" t="s">
        <v>12</v>
      </c>
    </row>
    <row r="2389" spans="1:10">
      <c r="A2389">
        <v>2024</v>
      </c>
      <c r="B2389">
        <v>12</v>
      </c>
      <c r="C2389">
        <v>8807</v>
      </c>
      <c r="D2389">
        <v>190</v>
      </c>
      <c r="E2389" t="s">
        <v>10</v>
      </c>
      <c r="F2389">
        <v>3449904</v>
      </c>
      <c r="G2389" s="1">
        <v>135</v>
      </c>
      <c r="H2389" s="2">
        <v>123951</v>
      </c>
      <c r="I2389" t="str">
        <f>VLOOKUP(Tabela1[[#This Row],[CO_PAIS]],'[1]nome do paixs'!$A:$B,2,0)</f>
        <v>Coreia do Sul</v>
      </c>
      <c r="J2389" t="s">
        <v>12</v>
      </c>
    </row>
    <row r="2390" spans="1:10">
      <c r="A2390">
        <v>2024</v>
      </c>
      <c r="B2390">
        <v>12</v>
      </c>
      <c r="C2390">
        <v>8807</v>
      </c>
      <c r="D2390">
        <v>275</v>
      </c>
      <c r="E2390" t="s">
        <v>10</v>
      </c>
      <c r="F2390">
        <v>3424402</v>
      </c>
      <c r="G2390" s="1">
        <v>343</v>
      </c>
      <c r="H2390" s="2">
        <v>722920</v>
      </c>
      <c r="I2390" t="str">
        <f>VLOOKUP(Tabela1[[#This Row],[CO_PAIS]],'[1]nome do paixs'!$A:$B,2,0)</f>
        <v>França</v>
      </c>
      <c r="J2390" t="s">
        <v>13</v>
      </c>
    </row>
    <row r="2391" spans="1:10">
      <c r="A2391">
        <v>2024</v>
      </c>
      <c r="B2391">
        <v>12</v>
      </c>
      <c r="C2391">
        <v>8807</v>
      </c>
      <c r="D2391">
        <v>386</v>
      </c>
      <c r="E2391" t="s">
        <v>10</v>
      </c>
      <c r="F2391">
        <v>3454102</v>
      </c>
      <c r="G2391" s="1">
        <v>576</v>
      </c>
      <c r="H2391" s="2">
        <v>1599815</v>
      </c>
      <c r="I2391" t="str">
        <f>VLOOKUP(Tabela1[[#This Row],[CO_PAIS]],'[1]nome do paixs'!$A:$B,2,0)</f>
        <v>Itália</v>
      </c>
      <c r="J2391" t="s">
        <v>11</v>
      </c>
    </row>
    <row r="2392" spans="1:10">
      <c r="A2392">
        <v>2024</v>
      </c>
      <c r="B2392">
        <v>12</v>
      </c>
      <c r="C2392">
        <v>8807</v>
      </c>
      <c r="D2392">
        <v>628</v>
      </c>
      <c r="E2392" t="s">
        <v>10</v>
      </c>
      <c r="F2392">
        <v>3454102</v>
      </c>
      <c r="G2392" s="1">
        <v>67</v>
      </c>
      <c r="H2392" s="2">
        <v>72315</v>
      </c>
      <c r="I2392" t="str">
        <f>VLOOKUP(Tabela1[[#This Row],[CO_PAIS]],'[1]nome do paixs'!$A:$B,2,0)</f>
        <v>Reino Unido</v>
      </c>
      <c r="J2392" t="s">
        <v>11</v>
      </c>
    </row>
    <row r="2393" spans="1:10">
      <c r="A2393">
        <v>2024</v>
      </c>
      <c r="B2393">
        <v>12</v>
      </c>
      <c r="C2393">
        <v>8807</v>
      </c>
      <c r="D2393">
        <v>791</v>
      </c>
      <c r="E2393" t="s">
        <v>10</v>
      </c>
      <c r="F2393">
        <v>3449904</v>
      </c>
      <c r="G2393" s="1">
        <v>12</v>
      </c>
      <c r="H2393" s="2">
        <v>18421</v>
      </c>
      <c r="I2393" t="str">
        <f>VLOOKUP(Tabela1[[#This Row],[CO_PAIS]],'[1]nome do paixs'!$A:$B,2,0)</f>
        <v>Tcheca, República</v>
      </c>
      <c r="J2393" t="s">
        <v>12</v>
      </c>
    </row>
    <row r="2394" spans="1:10">
      <c r="A2394">
        <v>2024</v>
      </c>
      <c r="B2394">
        <v>12</v>
      </c>
      <c r="C2394">
        <v>8807</v>
      </c>
      <c r="D2394">
        <v>23</v>
      </c>
      <c r="E2394" t="s">
        <v>10</v>
      </c>
      <c r="F2394">
        <v>3424402</v>
      </c>
      <c r="G2394" s="1">
        <v>10</v>
      </c>
      <c r="H2394" s="2">
        <v>17463</v>
      </c>
      <c r="I2394" t="str">
        <f>VLOOKUP(Tabela1[[#This Row],[CO_PAIS]],'[1]nome do paixs'!$A:$B,2,0)</f>
        <v>Alemanha</v>
      </c>
      <c r="J2394" t="s">
        <v>13</v>
      </c>
    </row>
    <row r="2395" spans="1:10">
      <c r="A2395">
        <v>2024</v>
      </c>
      <c r="B2395">
        <v>12</v>
      </c>
      <c r="C2395">
        <v>8807</v>
      </c>
      <c r="D2395">
        <v>149</v>
      </c>
      <c r="E2395" t="s">
        <v>10</v>
      </c>
      <c r="F2395">
        <v>3449904</v>
      </c>
      <c r="G2395" s="1">
        <v>236</v>
      </c>
      <c r="H2395" s="2">
        <v>244776</v>
      </c>
      <c r="I2395" t="str">
        <f>VLOOKUP(Tabela1[[#This Row],[CO_PAIS]],'[1]nome do paixs'!$A:$B,2,0)</f>
        <v>Canadá</v>
      </c>
      <c r="J2395" t="s">
        <v>12</v>
      </c>
    </row>
    <row r="2396" spans="1:10">
      <c r="A2396">
        <v>2024</v>
      </c>
      <c r="B2396">
        <v>12</v>
      </c>
      <c r="C2396">
        <v>8807</v>
      </c>
      <c r="D2396">
        <v>23</v>
      </c>
      <c r="E2396" t="s">
        <v>10</v>
      </c>
      <c r="F2396">
        <v>3454102</v>
      </c>
      <c r="G2396" s="1">
        <v>2399</v>
      </c>
      <c r="H2396" s="2">
        <v>648687</v>
      </c>
      <c r="I2396" t="str">
        <f>VLOOKUP(Tabela1[[#This Row],[CO_PAIS]],'[1]nome do paixs'!$A:$B,2,0)</f>
        <v>Alemanha</v>
      </c>
      <c r="J2396" t="s">
        <v>11</v>
      </c>
    </row>
    <row r="2397" spans="1:10">
      <c r="A2397">
        <v>2024</v>
      </c>
      <c r="B2397">
        <v>12</v>
      </c>
      <c r="C2397">
        <v>8807</v>
      </c>
      <c r="D2397">
        <v>245</v>
      </c>
      <c r="E2397" t="s">
        <v>10</v>
      </c>
      <c r="F2397">
        <v>3454102</v>
      </c>
      <c r="G2397" s="1">
        <v>341</v>
      </c>
      <c r="H2397" s="2">
        <v>446797</v>
      </c>
      <c r="I2397" t="str">
        <f>VLOOKUP(Tabela1[[#This Row],[CO_PAIS]],'[1]nome do paixs'!$A:$B,2,0)</f>
        <v>Espanha</v>
      </c>
      <c r="J2397" t="s">
        <v>11</v>
      </c>
    </row>
    <row r="2398" spans="1:10">
      <c r="A2398">
        <v>2024</v>
      </c>
      <c r="B2398">
        <v>12</v>
      </c>
      <c r="C2398">
        <v>8807</v>
      </c>
      <c r="D2398">
        <v>87</v>
      </c>
      <c r="E2398" t="s">
        <v>10</v>
      </c>
      <c r="F2398">
        <v>3454102</v>
      </c>
      <c r="G2398" s="1">
        <v>1426</v>
      </c>
      <c r="H2398" s="2">
        <v>1227177</v>
      </c>
      <c r="I2398" t="str">
        <f>VLOOKUP(Tabela1[[#This Row],[CO_PAIS]],'[1]nome do paixs'!$A:$B,2,0)</f>
        <v>Bélgica</v>
      </c>
      <c r="J2398" t="s">
        <v>11</v>
      </c>
    </row>
    <row r="2399" spans="1:10">
      <c r="A2399">
        <v>2024</v>
      </c>
      <c r="B2399">
        <v>12</v>
      </c>
      <c r="C2399">
        <v>8807</v>
      </c>
      <c r="D2399">
        <v>791</v>
      </c>
      <c r="E2399" t="s">
        <v>10</v>
      </c>
      <c r="F2399">
        <v>3454102</v>
      </c>
      <c r="G2399" s="1">
        <v>10</v>
      </c>
      <c r="H2399" s="2">
        <v>34427</v>
      </c>
      <c r="I2399" t="str">
        <f>VLOOKUP(Tabela1[[#This Row],[CO_PAIS]],'[1]nome do paixs'!$A:$B,2,0)</f>
        <v>Tcheca, República</v>
      </c>
      <c r="J2399" t="s">
        <v>11</v>
      </c>
    </row>
    <row r="2400" spans="1:10">
      <c r="A2400">
        <v>2024</v>
      </c>
      <c r="B2400">
        <v>12</v>
      </c>
      <c r="C2400">
        <v>8807</v>
      </c>
      <c r="D2400">
        <v>249</v>
      </c>
      <c r="E2400" t="s">
        <v>10</v>
      </c>
      <c r="F2400">
        <v>3449904</v>
      </c>
      <c r="G2400" s="1">
        <v>6162</v>
      </c>
      <c r="H2400" s="2">
        <v>5247497</v>
      </c>
      <c r="I2400" t="str">
        <f>VLOOKUP(Tabela1[[#This Row],[CO_PAIS]],'[1]nome do paixs'!$A:$B,2,0)</f>
        <v>Estados Unidos</v>
      </c>
      <c r="J2400" t="s">
        <v>12</v>
      </c>
    </row>
    <row r="2401" spans="1:10">
      <c r="A2401">
        <v>2024</v>
      </c>
      <c r="B2401">
        <v>12</v>
      </c>
      <c r="C2401">
        <v>8807</v>
      </c>
      <c r="D2401">
        <v>375</v>
      </c>
      <c r="E2401" t="s">
        <v>10</v>
      </c>
      <c r="F2401">
        <v>3449904</v>
      </c>
      <c r="G2401" s="1">
        <v>16</v>
      </c>
      <c r="H2401" s="2">
        <v>12795</v>
      </c>
      <c r="I2401" t="str">
        <f>VLOOKUP(Tabela1[[#This Row],[CO_PAIS]],'[1]nome do paixs'!$A:$B,2,0)</f>
        <v>Irlanda</v>
      </c>
      <c r="J2401" t="s">
        <v>12</v>
      </c>
    </row>
    <row r="2402" spans="1:10">
      <c r="A2402">
        <v>2024</v>
      </c>
      <c r="B2402">
        <v>12</v>
      </c>
      <c r="C2402">
        <v>8807</v>
      </c>
      <c r="D2402">
        <v>791</v>
      </c>
      <c r="E2402" t="s">
        <v>10</v>
      </c>
      <c r="F2402">
        <v>3424402</v>
      </c>
      <c r="G2402" s="1">
        <v>424</v>
      </c>
      <c r="H2402" s="2">
        <v>452189</v>
      </c>
      <c r="I2402" t="str">
        <f>VLOOKUP(Tabela1[[#This Row],[CO_PAIS]],'[1]nome do paixs'!$A:$B,2,0)</f>
        <v>Tcheca, República</v>
      </c>
      <c r="J2402" t="s">
        <v>13</v>
      </c>
    </row>
    <row r="2403" spans="1:10">
      <c r="A2403">
        <v>2024</v>
      </c>
      <c r="B2403">
        <v>12</v>
      </c>
      <c r="C2403">
        <v>8807</v>
      </c>
      <c r="D2403">
        <v>249</v>
      </c>
      <c r="E2403" t="s">
        <v>10</v>
      </c>
      <c r="F2403">
        <v>3454102</v>
      </c>
      <c r="G2403" s="1">
        <v>31055</v>
      </c>
      <c r="H2403" s="2">
        <v>8619003</v>
      </c>
      <c r="I2403" t="str">
        <f>VLOOKUP(Tabela1[[#This Row],[CO_PAIS]],'[1]nome do paixs'!$A:$B,2,0)</f>
        <v>Estados Unidos</v>
      </c>
      <c r="J2403" t="s">
        <v>11</v>
      </c>
    </row>
    <row r="2404" spans="1:10">
      <c r="A2404">
        <v>2024</v>
      </c>
      <c r="B2404">
        <v>12</v>
      </c>
      <c r="C2404">
        <v>8807</v>
      </c>
      <c r="D2404">
        <v>72</v>
      </c>
      <c r="E2404" t="s">
        <v>10</v>
      </c>
      <c r="F2404">
        <v>3449904</v>
      </c>
      <c r="G2404" s="1">
        <v>13</v>
      </c>
      <c r="H2404" s="2">
        <v>5475</v>
      </c>
      <c r="I2404" t="str">
        <f>VLOOKUP(Tabela1[[#This Row],[CO_PAIS]],'[1]nome do paixs'!$A:$B,2,0)</f>
        <v>Áustria</v>
      </c>
      <c r="J2404" t="s">
        <v>12</v>
      </c>
    </row>
    <row r="2405" spans="1:10">
      <c r="A2405">
        <v>2024</v>
      </c>
      <c r="B2405">
        <v>12</v>
      </c>
      <c r="C2405">
        <v>8807</v>
      </c>
      <c r="D2405">
        <v>245</v>
      </c>
      <c r="E2405" t="s">
        <v>10</v>
      </c>
      <c r="F2405">
        <v>3424402</v>
      </c>
      <c r="G2405" s="1">
        <v>254</v>
      </c>
      <c r="H2405" s="2">
        <v>87878</v>
      </c>
      <c r="I2405" t="str">
        <f>VLOOKUP(Tabela1[[#This Row],[CO_PAIS]],'[1]nome do paixs'!$A:$B,2,0)</f>
        <v>Espanha</v>
      </c>
      <c r="J2405" t="s">
        <v>13</v>
      </c>
    </row>
    <row r="2406" spans="1:10">
      <c r="A2406">
        <v>2024</v>
      </c>
      <c r="B2406">
        <v>12</v>
      </c>
      <c r="C2406">
        <v>8807</v>
      </c>
      <c r="D2406">
        <v>275</v>
      </c>
      <c r="E2406" t="s">
        <v>10</v>
      </c>
      <c r="F2406">
        <v>3454102</v>
      </c>
      <c r="G2406" s="1">
        <v>677</v>
      </c>
      <c r="H2406" s="2">
        <v>914399</v>
      </c>
      <c r="I2406" t="str">
        <f>VLOOKUP(Tabela1[[#This Row],[CO_PAIS]],'[1]nome do paixs'!$A:$B,2,0)</f>
        <v>França</v>
      </c>
      <c r="J2406" t="s">
        <v>11</v>
      </c>
    </row>
    <row r="2407" spans="1:10">
      <c r="A2407">
        <v>2024</v>
      </c>
      <c r="B2407">
        <v>12</v>
      </c>
      <c r="C2407">
        <v>8807</v>
      </c>
      <c r="D2407">
        <v>87</v>
      </c>
      <c r="E2407" t="s">
        <v>10</v>
      </c>
      <c r="F2407">
        <v>3424402</v>
      </c>
      <c r="G2407" s="1">
        <v>6</v>
      </c>
      <c r="H2407" s="2">
        <v>12730</v>
      </c>
      <c r="I2407" t="str">
        <f>VLOOKUP(Tabela1[[#This Row],[CO_PAIS]],'[1]nome do paixs'!$A:$B,2,0)</f>
        <v>Bélgica</v>
      </c>
      <c r="J2407" t="s">
        <v>13</v>
      </c>
    </row>
    <row r="2408" spans="1:10">
      <c r="A2408">
        <v>2024</v>
      </c>
      <c r="B2408">
        <v>12</v>
      </c>
      <c r="C2408">
        <v>8807</v>
      </c>
      <c r="D2408">
        <v>249</v>
      </c>
      <c r="E2408" t="s">
        <v>10</v>
      </c>
      <c r="F2408">
        <v>3424402</v>
      </c>
      <c r="G2408" s="1">
        <v>43</v>
      </c>
      <c r="H2408" s="2">
        <v>28454</v>
      </c>
      <c r="I2408" t="str">
        <f>VLOOKUP(Tabela1[[#This Row],[CO_PAIS]],'[1]nome do paixs'!$A:$B,2,0)</f>
        <v>Estados Unidos</v>
      </c>
      <c r="J2408" t="s">
        <v>13</v>
      </c>
    </row>
    <row r="2409" spans="1:10">
      <c r="A2409">
        <v>2024</v>
      </c>
      <c r="B2409">
        <v>12</v>
      </c>
      <c r="C2409">
        <v>8807</v>
      </c>
      <c r="D2409">
        <v>607</v>
      </c>
      <c r="E2409" t="s">
        <v>10</v>
      </c>
      <c r="F2409">
        <v>3449904</v>
      </c>
      <c r="G2409" s="1">
        <v>3</v>
      </c>
      <c r="H2409" s="2">
        <v>11734</v>
      </c>
      <c r="I2409" t="str">
        <f>VLOOKUP(Tabela1[[#This Row],[CO_PAIS]],'[1]nome do paixs'!$A:$B,2,0)</f>
        <v>Portugal</v>
      </c>
      <c r="J2409" t="s">
        <v>12</v>
      </c>
    </row>
    <row r="2410" spans="1:10">
      <c r="A2410">
        <v>2024</v>
      </c>
      <c r="B2410">
        <v>12</v>
      </c>
      <c r="C2410">
        <v>8807</v>
      </c>
      <c r="D2410">
        <v>149</v>
      </c>
      <c r="E2410" t="s">
        <v>10</v>
      </c>
      <c r="F2410">
        <v>3454102</v>
      </c>
      <c r="G2410" s="1">
        <v>36</v>
      </c>
      <c r="H2410" s="2">
        <v>48274</v>
      </c>
      <c r="I2410" t="str">
        <f>VLOOKUP(Tabela1[[#This Row],[CO_PAIS]],'[1]nome do paixs'!$A:$B,2,0)</f>
        <v>Canadá</v>
      </c>
      <c r="J2410" t="s">
        <v>11</v>
      </c>
    </row>
    <row r="2411" spans="1:10">
      <c r="A2411">
        <v>2024</v>
      </c>
      <c r="B2411">
        <v>12</v>
      </c>
      <c r="C2411">
        <v>8807</v>
      </c>
      <c r="D2411">
        <v>72</v>
      </c>
      <c r="E2411" t="s">
        <v>10</v>
      </c>
      <c r="F2411">
        <v>3454102</v>
      </c>
      <c r="G2411" s="1">
        <v>3122</v>
      </c>
      <c r="H2411" s="2">
        <v>1632925</v>
      </c>
      <c r="I2411" t="str">
        <f>VLOOKUP(Tabela1[[#This Row],[CO_PAIS]],'[1]nome do paixs'!$A:$B,2,0)</f>
        <v>Áustria</v>
      </c>
      <c r="J2411" t="s">
        <v>11</v>
      </c>
    </row>
    <row r="2412" spans="1:10">
      <c r="A2412">
        <v>2024</v>
      </c>
      <c r="B2412">
        <v>12</v>
      </c>
      <c r="C2412">
        <v>8807</v>
      </c>
      <c r="D2412">
        <v>399</v>
      </c>
      <c r="E2412" t="s">
        <v>10</v>
      </c>
      <c r="F2412">
        <v>3454102</v>
      </c>
      <c r="G2412" s="1">
        <v>5105</v>
      </c>
      <c r="H2412" s="2">
        <v>3089022</v>
      </c>
      <c r="I2412" t="str">
        <f>VLOOKUP(Tabela1[[#This Row],[CO_PAIS]],'[1]nome do paixs'!$A:$B,2,0)</f>
        <v>Japão</v>
      </c>
      <c r="J2412" t="s">
        <v>11</v>
      </c>
    </row>
    <row r="2413" spans="1:10">
      <c r="A2413">
        <v>2024</v>
      </c>
      <c r="B2413">
        <v>12</v>
      </c>
      <c r="C2413">
        <v>8807</v>
      </c>
      <c r="D2413">
        <v>160</v>
      </c>
      <c r="E2413" t="s">
        <v>10</v>
      </c>
      <c r="F2413">
        <v>3449904</v>
      </c>
      <c r="G2413" s="1">
        <v>30</v>
      </c>
      <c r="H2413" s="2">
        <v>2547</v>
      </c>
      <c r="I2413" t="str">
        <f>VLOOKUP(Tabela1[[#This Row],[CO_PAIS]],'[1]nome do paixs'!$A:$B,2,0)</f>
        <v>China</v>
      </c>
      <c r="J2413" t="s">
        <v>12</v>
      </c>
    </row>
    <row r="2414" spans="1:10">
      <c r="A2414">
        <v>2024</v>
      </c>
      <c r="B2414">
        <v>12</v>
      </c>
      <c r="C2414">
        <v>8807</v>
      </c>
      <c r="D2414">
        <v>493</v>
      </c>
      <c r="E2414" t="s">
        <v>10</v>
      </c>
      <c r="F2414">
        <v>3424402</v>
      </c>
      <c r="G2414" s="1">
        <v>30</v>
      </c>
      <c r="H2414" s="2">
        <v>31274</v>
      </c>
      <c r="I2414" t="str">
        <f>VLOOKUP(Tabela1[[#This Row],[CO_PAIS]],'[1]nome do paixs'!$A:$B,2,0)</f>
        <v>México</v>
      </c>
      <c r="J2414" t="s">
        <v>13</v>
      </c>
    </row>
    <row r="2415" spans="1:10">
      <c r="A2415">
        <v>2024</v>
      </c>
      <c r="B2415">
        <v>12</v>
      </c>
      <c r="C2415">
        <v>8807</v>
      </c>
      <c r="D2415">
        <v>628</v>
      </c>
      <c r="E2415" t="s">
        <v>10</v>
      </c>
      <c r="F2415">
        <v>3449904</v>
      </c>
      <c r="G2415" s="1">
        <v>778</v>
      </c>
      <c r="H2415" s="2">
        <v>928242</v>
      </c>
      <c r="I2415" t="str">
        <f>VLOOKUP(Tabela1[[#This Row],[CO_PAIS]],'[1]nome do paixs'!$A:$B,2,0)</f>
        <v>Reino Unido</v>
      </c>
      <c r="J2415" t="s">
        <v>12</v>
      </c>
    </row>
    <row r="2416" spans="1:10">
      <c r="A2416">
        <v>2024</v>
      </c>
      <c r="B2416">
        <v>12</v>
      </c>
      <c r="C2416">
        <v>8807</v>
      </c>
      <c r="D2416">
        <v>190</v>
      </c>
      <c r="E2416" t="s">
        <v>10</v>
      </c>
      <c r="F2416">
        <v>3454102</v>
      </c>
      <c r="G2416" s="1">
        <v>14863</v>
      </c>
      <c r="H2416" s="2">
        <v>10661594</v>
      </c>
      <c r="I2416" t="str">
        <f>VLOOKUP(Tabela1[[#This Row],[CO_PAIS]],'[1]nome do paixs'!$A:$B,2,0)</f>
        <v>Coreia do Sul</v>
      </c>
      <c r="J2416" t="s">
        <v>11</v>
      </c>
    </row>
    <row r="2417" spans="1:10">
      <c r="A2417">
        <v>2024</v>
      </c>
      <c r="B2417">
        <v>12</v>
      </c>
      <c r="C2417">
        <v>8807</v>
      </c>
      <c r="D2417">
        <v>190</v>
      </c>
      <c r="E2417" t="s">
        <v>10</v>
      </c>
      <c r="F2417">
        <v>3424402</v>
      </c>
      <c r="G2417" s="1">
        <v>180</v>
      </c>
      <c r="H2417" s="2">
        <v>73614</v>
      </c>
      <c r="I2417" t="str">
        <f>VLOOKUP(Tabela1[[#This Row],[CO_PAIS]],'[1]nome do paixs'!$A:$B,2,0)</f>
        <v>Coreia do Sul</v>
      </c>
      <c r="J2417" t="s">
        <v>13</v>
      </c>
    </row>
    <row r="2418" spans="1:10">
      <c r="A2418">
        <v>2024</v>
      </c>
      <c r="B2418">
        <v>12</v>
      </c>
      <c r="C2418">
        <v>8807</v>
      </c>
      <c r="D2418">
        <v>245</v>
      </c>
      <c r="E2418" t="s">
        <v>10</v>
      </c>
      <c r="F2418">
        <v>3449904</v>
      </c>
      <c r="G2418" s="1">
        <v>3556</v>
      </c>
      <c r="H2418" s="2">
        <v>1455498</v>
      </c>
      <c r="I2418" t="str">
        <f>VLOOKUP(Tabela1[[#This Row],[CO_PAIS]],'[1]nome do paixs'!$A:$B,2,0)</f>
        <v>Espanha</v>
      </c>
      <c r="J2418" t="s">
        <v>12</v>
      </c>
    </row>
    <row r="2419" spans="1:10">
      <c r="A2419">
        <v>2023</v>
      </c>
      <c r="B2419">
        <v>12</v>
      </c>
      <c r="C2419">
        <v>8807</v>
      </c>
      <c r="D2419">
        <v>603</v>
      </c>
      <c r="E2419" t="s">
        <v>10</v>
      </c>
      <c r="F2419">
        <v>3449904</v>
      </c>
      <c r="G2419" s="1">
        <v>116</v>
      </c>
      <c r="H2419" s="2">
        <v>23903</v>
      </c>
      <c r="I2419" t="str">
        <f>VLOOKUP(Tabela1[[#This Row],[CO_PAIS]],'[1]nome do paixs'!$A:$B,2,0)</f>
        <v>Polônia</v>
      </c>
      <c r="J2419" t="s">
        <v>12</v>
      </c>
    </row>
    <row r="2420" spans="1:10">
      <c r="A2420">
        <v>2023</v>
      </c>
      <c r="B2420">
        <v>12</v>
      </c>
      <c r="C2420">
        <v>8807</v>
      </c>
      <c r="D2420">
        <v>72</v>
      </c>
      <c r="E2420" t="s">
        <v>10</v>
      </c>
      <c r="F2420">
        <v>3454102</v>
      </c>
      <c r="G2420" s="1">
        <v>4253</v>
      </c>
      <c r="H2420" s="2">
        <v>4049883</v>
      </c>
      <c r="I2420" t="str">
        <f>VLOOKUP(Tabela1[[#This Row],[CO_PAIS]],'[1]nome do paixs'!$A:$B,2,0)</f>
        <v>Áustria</v>
      </c>
      <c r="J2420" t="s">
        <v>11</v>
      </c>
    </row>
    <row r="2421" spans="1:10">
      <c r="A2421">
        <v>2023</v>
      </c>
      <c r="B2421">
        <v>12</v>
      </c>
      <c r="C2421">
        <v>8807</v>
      </c>
      <c r="D2421">
        <v>275</v>
      </c>
      <c r="E2421" t="s">
        <v>10</v>
      </c>
      <c r="F2421">
        <v>3454102</v>
      </c>
      <c r="G2421" s="1">
        <v>1798</v>
      </c>
      <c r="H2421" s="2">
        <v>1026135</v>
      </c>
      <c r="I2421" t="str">
        <f>VLOOKUP(Tabela1[[#This Row],[CO_PAIS]],'[1]nome do paixs'!$A:$B,2,0)</f>
        <v>França</v>
      </c>
      <c r="J2421" t="s">
        <v>11</v>
      </c>
    </row>
    <row r="2422" spans="1:10">
      <c r="A2422">
        <v>2023</v>
      </c>
      <c r="B2422">
        <v>12</v>
      </c>
      <c r="C2422">
        <v>8807</v>
      </c>
      <c r="D2422">
        <v>361</v>
      </c>
      <c r="E2422" t="s">
        <v>10</v>
      </c>
      <c r="F2422">
        <v>3449904</v>
      </c>
      <c r="G2422" s="1">
        <v>1630</v>
      </c>
      <c r="H2422" s="2">
        <v>811101</v>
      </c>
      <c r="I2422" t="str">
        <f>VLOOKUP(Tabela1[[#This Row],[CO_PAIS]],'[1]nome do paixs'!$A:$B,2,0)</f>
        <v>Índia</v>
      </c>
      <c r="J2422" t="s">
        <v>12</v>
      </c>
    </row>
    <row r="2423" spans="1:10">
      <c r="A2423">
        <v>2023</v>
      </c>
      <c r="B2423">
        <v>12</v>
      </c>
      <c r="C2423">
        <v>8807</v>
      </c>
      <c r="D2423">
        <v>628</v>
      </c>
      <c r="E2423" t="s">
        <v>10</v>
      </c>
      <c r="F2423">
        <v>3454102</v>
      </c>
      <c r="G2423" s="1">
        <v>21</v>
      </c>
      <c r="H2423" s="2">
        <v>33940</v>
      </c>
      <c r="I2423" t="str">
        <f>VLOOKUP(Tabela1[[#This Row],[CO_PAIS]],'[1]nome do paixs'!$A:$B,2,0)</f>
        <v>Reino Unido</v>
      </c>
      <c r="J2423" t="s">
        <v>11</v>
      </c>
    </row>
    <row r="2424" spans="1:10">
      <c r="A2424">
        <v>2023</v>
      </c>
      <c r="B2424">
        <v>12</v>
      </c>
      <c r="C2424">
        <v>8807</v>
      </c>
      <c r="D2424">
        <v>676</v>
      </c>
      <c r="E2424" t="s">
        <v>10</v>
      </c>
      <c r="F2424">
        <v>3454102</v>
      </c>
      <c r="G2424" s="1">
        <v>2840</v>
      </c>
      <c r="H2424" s="2">
        <v>215847</v>
      </c>
      <c r="I2424" t="str">
        <f>VLOOKUP(Tabela1[[#This Row],[CO_PAIS]],'[1]nome do paixs'!$A:$B,2,0)</f>
        <v>Rússia</v>
      </c>
      <c r="J2424" t="s">
        <v>11</v>
      </c>
    </row>
    <row r="2425" spans="1:10">
      <c r="A2425">
        <v>2023</v>
      </c>
      <c r="B2425">
        <v>12</v>
      </c>
      <c r="C2425">
        <v>8807</v>
      </c>
      <c r="D2425">
        <v>455</v>
      </c>
      <c r="E2425" t="s">
        <v>10</v>
      </c>
      <c r="F2425">
        <v>3454102</v>
      </c>
      <c r="G2425" s="1">
        <v>3512</v>
      </c>
      <c r="H2425" s="2">
        <v>496683</v>
      </c>
      <c r="I2425" t="str">
        <f>VLOOKUP(Tabela1[[#This Row],[CO_PAIS]],'[1]nome do paixs'!$A:$B,2,0)</f>
        <v>Malásia</v>
      </c>
      <c r="J2425" t="s">
        <v>11</v>
      </c>
    </row>
    <row r="2426" spans="1:10">
      <c r="A2426">
        <v>2023</v>
      </c>
      <c r="B2426">
        <v>12</v>
      </c>
      <c r="C2426">
        <v>8807</v>
      </c>
      <c r="D2426">
        <v>275</v>
      </c>
      <c r="E2426" t="s">
        <v>10</v>
      </c>
      <c r="F2426">
        <v>3449904</v>
      </c>
      <c r="G2426" s="1">
        <v>200</v>
      </c>
      <c r="H2426" s="2">
        <v>250720</v>
      </c>
      <c r="I2426" t="str">
        <f>VLOOKUP(Tabela1[[#This Row],[CO_PAIS]],'[1]nome do paixs'!$A:$B,2,0)</f>
        <v>França</v>
      </c>
      <c r="J2426" t="s">
        <v>12</v>
      </c>
    </row>
    <row r="2427" spans="1:10">
      <c r="A2427">
        <v>2023</v>
      </c>
      <c r="B2427">
        <v>12</v>
      </c>
      <c r="C2427">
        <v>8807</v>
      </c>
      <c r="D2427">
        <v>105</v>
      </c>
      <c r="E2427" t="s">
        <v>10</v>
      </c>
      <c r="F2427">
        <v>3454102</v>
      </c>
      <c r="G2427" s="1">
        <v>5745</v>
      </c>
      <c r="H2427" s="2">
        <v>5869653</v>
      </c>
      <c r="I2427" t="str">
        <f>VLOOKUP(Tabela1[[#This Row],[CO_PAIS]],'[1]nome do paixs'!$A:$B,2,0)</f>
        <v>Brasil</v>
      </c>
      <c r="J2427" t="s">
        <v>11</v>
      </c>
    </row>
    <row r="2428" spans="1:10">
      <c r="A2428">
        <v>2023</v>
      </c>
      <c r="B2428">
        <v>12</v>
      </c>
      <c r="C2428">
        <v>8807</v>
      </c>
      <c r="D2428">
        <v>23</v>
      </c>
      <c r="E2428" t="s">
        <v>10</v>
      </c>
      <c r="F2428">
        <v>3454102</v>
      </c>
      <c r="G2428" s="1">
        <v>92485</v>
      </c>
      <c r="H2428" s="2">
        <v>2433593</v>
      </c>
      <c r="I2428" t="str">
        <f>VLOOKUP(Tabela1[[#This Row],[CO_PAIS]],'[1]nome do paixs'!$A:$B,2,0)</f>
        <v>Alemanha</v>
      </c>
      <c r="J2428" t="s">
        <v>11</v>
      </c>
    </row>
    <row r="2429" spans="1:10">
      <c r="A2429">
        <v>2023</v>
      </c>
      <c r="B2429">
        <v>12</v>
      </c>
      <c r="C2429">
        <v>8807</v>
      </c>
      <c r="D2429">
        <v>249</v>
      </c>
      <c r="E2429" t="s">
        <v>10</v>
      </c>
      <c r="F2429">
        <v>3449904</v>
      </c>
      <c r="G2429" s="1">
        <v>4670</v>
      </c>
      <c r="H2429" s="2">
        <v>3335288</v>
      </c>
      <c r="I2429" t="str">
        <f>VLOOKUP(Tabela1[[#This Row],[CO_PAIS]],'[1]nome do paixs'!$A:$B,2,0)</f>
        <v>Estados Unidos</v>
      </c>
      <c r="J2429" t="s">
        <v>12</v>
      </c>
    </row>
    <row r="2430" spans="1:10">
      <c r="A2430">
        <v>2023</v>
      </c>
      <c r="B2430">
        <v>12</v>
      </c>
      <c r="C2430">
        <v>8807</v>
      </c>
      <c r="D2430">
        <v>791</v>
      </c>
      <c r="E2430" t="s">
        <v>10</v>
      </c>
      <c r="F2430">
        <v>3454102</v>
      </c>
      <c r="G2430" s="1">
        <v>5</v>
      </c>
      <c r="H2430" s="2">
        <v>50968</v>
      </c>
      <c r="I2430" t="str">
        <f>VLOOKUP(Tabela1[[#This Row],[CO_PAIS]],'[1]nome do paixs'!$A:$B,2,0)</f>
        <v>Tcheca, República</v>
      </c>
      <c r="J2430" t="s">
        <v>11</v>
      </c>
    </row>
    <row r="2431" spans="1:10">
      <c r="A2431">
        <v>2023</v>
      </c>
      <c r="B2431">
        <v>12</v>
      </c>
      <c r="C2431">
        <v>8807</v>
      </c>
      <c r="D2431">
        <v>249</v>
      </c>
      <c r="E2431" t="s">
        <v>10</v>
      </c>
      <c r="F2431">
        <v>3454102</v>
      </c>
      <c r="G2431" s="1">
        <v>33351</v>
      </c>
      <c r="H2431" s="2">
        <v>9580340</v>
      </c>
      <c r="I2431" t="str">
        <f>VLOOKUP(Tabela1[[#This Row],[CO_PAIS]],'[1]nome do paixs'!$A:$B,2,0)</f>
        <v>Estados Unidos</v>
      </c>
      <c r="J2431" t="s">
        <v>11</v>
      </c>
    </row>
    <row r="2432" spans="1:10">
      <c r="A2432">
        <v>2023</v>
      </c>
      <c r="B2432">
        <v>12</v>
      </c>
      <c r="C2432">
        <v>8807</v>
      </c>
      <c r="D2432">
        <v>628</v>
      </c>
      <c r="E2432" t="s">
        <v>10</v>
      </c>
      <c r="F2432">
        <v>3449904</v>
      </c>
      <c r="G2432" s="1">
        <v>449</v>
      </c>
      <c r="H2432" s="2">
        <v>432425</v>
      </c>
      <c r="I2432" t="str">
        <f>VLOOKUP(Tabela1[[#This Row],[CO_PAIS]],'[1]nome do paixs'!$A:$B,2,0)</f>
        <v>Reino Unido</v>
      </c>
      <c r="J2432" t="s">
        <v>12</v>
      </c>
    </row>
    <row r="2433" spans="1:10">
      <c r="A2433">
        <v>2023</v>
      </c>
      <c r="B2433">
        <v>12</v>
      </c>
      <c r="C2433">
        <v>8807</v>
      </c>
      <c r="D2433">
        <v>87</v>
      </c>
      <c r="E2433" t="s">
        <v>10</v>
      </c>
      <c r="F2433">
        <v>3449904</v>
      </c>
      <c r="G2433" s="1">
        <v>1199</v>
      </c>
      <c r="H2433" s="2">
        <v>1475960</v>
      </c>
      <c r="I2433" t="str">
        <f>VLOOKUP(Tabela1[[#This Row],[CO_PAIS]],'[1]nome do paixs'!$A:$B,2,0)</f>
        <v>Bélgica</v>
      </c>
      <c r="J2433" t="s">
        <v>12</v>
      </c>
    </row>
    <row r="2434" spans="1:10">
      <c r="A2434">
        <v>2023</v>
      </c>
      <c r="B2434">
        <v>12</v>
      </c>
      <c r="C2434">
        <v>8807</v>
      </c>
      <c r="D2434">
        <v>386</v>
      </c>
      <c r="E2434" t="s">
        <v>10</v>
      </c>
      <c r="F2434">
        <v>3449904</v>
      </c>
      <c r="G2434" s="1">
        <v>0</v>
      </c>
      <c r="H2434" s="2">
        <v>86</v>
      </c>
      <c r="I2434" t="str">
        <f>VLOOKUP(Tabela1[[#This Row],[CO_PAIS]],'[1]nome do paixs'!$A:$B,2,0)</f>
        <v>Itália</v>
      </c>
      <c r="J2434" t="s">
        <v>12</v>
      </c>
    </row>
    <row r="2435" spans="1:10">
      <c r="A2435">
        <v>2023</v>
      </c>
      <c r="B2435">
        <v>12</v>
      </c>
      <c r="C2435">
        <v>8807</v>
      </c>
      <c r="D2435">
        <v>190</v>
      </c>
      <c r="E2435" t="s">
        <v>10</v>
      </c>
      <c r="F2435">
        <v>3454102</v>
      </c>
      <c r="G2435" s="1">
        <v>3476</v>
      </c>
      <c r="H2435" s="2">
        <v>3325372</v>
      </c>
      <c r="I2435" t="str">
        <f>VLOOKUP(Tabela1[[#This Row],[CO_PAIS]],'[1]nome do paixs'!$A:$B,2,0)</f>
        <v>Coreia do Sul</v>
      </c>
      <c r="J2435" t="s">
        <v>11</v>
      </c>
    </row>
    <row r="2436" spans="1:10">
      <c r="A2436">
        <v>2023</v>
      </c>
      <c r="B2436">
        <v>12</v>
      </c>
      <c r="C2436">
        <v>8807</v>
      </c>
      <c r="D2436">
        <v>87</v>
      </c>
      <c r="E2436" t="s">
        <v>10</v>
      </c>
      <c r="F2436">
        <v>3454102</v>
      </c>
      <c r="G2436" s="1">
        <v>1242</v>
      </c>
      <c r="H2436" s="2">
        <v>1009528</v>
      </c>
      <c r="I2436" t="str">
        <f>VLOOKUP(Tabela1[[#This Row],[CO_PAIS]],'[1]nome do paixs'!$A:$B,2,0)</f>
        <v>Bélgica</v>
      </c>
      <c r="J2436" t="s">
        <v>11</v>
      </c>
    </row>
    <row r="2437" spans="1:10">
      <c r="A2437">
        <v>2023</v>
      </c>
      <c r="B2437">
        <v>12</v>
      </c>
      <c r="C2437">
        <v>8807</v>
      </c>
      <c r="D2437">
        <v>493</v>
      </c>
      <c r="E2437" t="s">
        <v>10</v>
      </c>
      <c r="F2437">
        <v>3449904</v>
      </c>
      <c r="G2437" s="1">
        <v>3862</v>
      </c>
      <c r="H2437" s="2">
        <v>1826046</v>
      </c>
      <c r="I2437" t="str">
        <f>VLOOKUP(Tabela1[[#This Row],[CO_PAIS]],'[1]nome do paixs'!$A:$B,2,0)</f>
        <v>México</v>
      </c>
      <c r="J2437" t="s">
        <v>12</v>
      </c>
    </row>
    <row r="2438" spans="1:10">
      <c r="A2438">
        <v>2023</v>
      </c>
      <c r="B2438">
        <v>12</v>
      </c>
      <c r="C2438">
        <v>8807</v>
      </c>
      <c r="D2438">
        <v>275</v>
      </c>
      <c r="E2438" t="s">
        <v>10</v>
      </c>
      <c r="F2438">
        <v>3424402</v>
      </c>
      <c r="G2438" s="1">
        <v>393</v>
      </c>
      <c r="H2438" s="2">
        <v>472505</v>
      </c>
      <c r="I2438" t="str">
        <f>VLOOKUP(Tabela1[[#This Row],[CO_PAIS]],'[1]nome do paixs'!$A:$B,2,0)</f>
        <v>França</v>
      </c>
      <c r="J2438" t="s">
        <v>13</v>
      </c>
    </row>
    <row r="2439" spans="1:10">
      <c r="A2439">
        <v>2023</v>
      </c>
      <c r="B2439">
        <v>12</v>
      </c>
      <c r="C2439">
        <v>8807</v>
      </c>
      <c r="D2439">
        <v>245</v>
      </c>
      <c r="E2439" t="s">
        <v>10</v>
      </c>
      <c r="F2439">
        <v>3424402</v>
      </c>
      <c r="G2439" s="1">
        <v>303</v>
      </c>
      <c r="H2439" s="2">
        <v>77393</v>
      </c>
      <c r="I2439" t="str">
        <f>VLOOKUP(Tabela1[[#This Row],[CO_PAIS]],'[1]nome do paixs'!$A:$B,2,0)</f>
        <v>Espanha</v>
      </c>
      <c r="J2439" t="s">
        <v>13</v>
      </c>
    </row>
    <row r="2440" spans="1:10">
      <c r="A2440">
        <v>2023</v>
      </c>
      <c r="B2440">
        <v>12</v>
      </c>
      <c r="C2440">
        <v>8807</v>
      </c>
      <c r="D2440">
        <v>190</v>
      </c>
      <c r="E2440" t="s">
        <v>10</v>
      </c>
      <c r="F2440">
        <v>3424402</v>
      </c>
      <c r="G2440" s="1">
        <v>180</v>
      </c>
      <c r="H2440" s="2">
        <v>71745</v>
      </c>
      <c r="I2440" t="str">
        <f>VLOOKUP(Tabela1[[#This Row],[CO_PAIS]],'[1]nome do paixs'!$A:$B,2,0)</f>
        <v>Coreia do Sul</v>
      </c>
      <c r="J2440" t="s">
        <v>13</v>
      </c>
    </row>
    <row r="2441" spans="1:10">
      <c r="A2441">
        <v>2023</v>
      </c>
      <c r="B2441">
        <v>12</v>
      </c>
      <c r="C2441">
        <v>8807</v>
      </c>
      <c r="D2441">
        <v>375</v>
      </c>
      <c r="E2441" t="s">
        <v>10</v>
      </c>
      <c r="F2441">
        <v>3449904</v>
      </c>
      <c r="G2441" s="1">
        <v>2</v>
      </c>
      <c r="H2441" s="2">
        <v>1007</v>
      </c>
      <c r="I2441" t="str">
        <f>VLOOKUP(Tabela1[[#This Row],[CO_PAIS]],'[1]nome do paixs'!$A:$B,2,0)</f>
        <v>Irlanda</v>
      </c>
      <c r="J2441" t="s">
        <v>12</v>
      </c>
    </row>
    <row r="2442" spans="1:10">
      <c r="A2442">
        <v>2023</v>
      </c>
      <c r="B2442">
        <v>12</v>
      </c>
      <c r="C2442">
        <v>8807</v>
      </c>
      <c r="D2442">
        <v>190</v>
      </c>
      <c r="E2442" t="s">
        <v>10</v>
      </c>
      <c r="F2442">
        <v>3449904</v>
      </c>
      <c r="G2442" s="1">
        <v>22</v>
      </c>
      <c r="H2442" s="2">
        <v>37644</v>
      </c>
      <c r="I2442" t="str">
        <f>VLOOKUP(Tabela1[[#This Row],[CO_PAIS]],'[1]nome do paixs'!$A:$B,2,0)</f>
        <v>Coreia do Sul</v>
      </c>
      <c r="J2442" t="s">
        <v>12</v>
      </c>
    </row>
    <row r="2443" spans="1:10">
      <c r="A2443">
        <v>2023</v>
      </c>
      <c r="B2443">
        <v>12</v>
      </c>
      <c r="C2443">
        <v>8807</v>
      </c>
      <c r="D2443">
        <v>493</v>
      </c>
      <c r="E2443" t="s">
        <v>10</v>
      </c>
      <c r="F2443">
        <v>3454102</v>
      </c>
      <c r="G2443" s="1">
        <v>6058</v>
      </c>
      <c r="H2443" s="2">
        <v>2509975</v>
      </c>
      <c r="I2443" t="str">
        <f>VLOOKUP(Tabela1[[#This Row],[CO_PAIS]],'[1]nome do paixs'!$A:$B,2,0)</f>
        <v>México</v>
      </c>
      <c r="J2443" t="s">
        <v>11</v>
      </c>
    </row>
    <row r="2444" spans="1:10">
      <c r="A2444">
        <v>2023</v>
      </c>
      <c r="B2444">
        <v>12</v>
      </c>
      <c r="C2444">
        <v>8807</v>
      </c>
      <c r="D2444">
        <v>791</v>
      </c>
      <c r="E2444" t="s">
        <v>10</v>
      </c>
      <c r="F2444">
        <v>3424402</v>
      </c>
      <c r="G2444" s="1">
        <v>298</v>
      </c>
      <c r="H2444" s="2">
        <v>224965</v>
      </c>
      <c r="I2444" t="str">
        <f>VLOOKUP(Tabela1[[#This Row],[CO_PAIS]],'[1]nome do paixs'!$A:$B,2,0)</f>
        <v>Tcheca, República</v>
      </c>
      <c r="J2444" t="s">
        <v>13</v>
      </c>
    </row>
    <row r="2445" spans="1:10">
      <c r="A2445">
        <v>2023</v>
      </c>
      <c r="B2445">
        <v>12</v>
      </c>
      <c r="C2445">
        <v>8807</v>
      </c>
      <c r="D2445">
        <v>149</v>
      </c>
      <c r="E2445" t="s">
        <v>10</v>
      </c>
      <c r="F2445">
        <v>3449904</v>
      </c>
      <c r="G2445" s="1">
        <v>121</v>
      </c>
      <c r="H2445" s="2">
        <v>208316</v>
      </c>
      <c r="I2445" t="str">
        <f>VLOOKUP(Tabela1[[#This Row],[CO_PAIS]],'[1]nome do paixs'!$A:$B,2,0)</f>
        <v>Canadá</v>
      </c>
      <c r="J2445" t="s">
        <v>12</v>
      </c>
    </row>
    <row r="2446" spans="1:10">
      <c r="A2446">
        <v>2023</v>
      </c>
      <c r="B2446">
        <v>12</v>
      </c>
      <c r="C2446">
        <v>8807</v>
      </c>
      <c r="D2446">
        <v>399</v>
      </c>
      <c r="E2446" t="s">
        <v>10</v>
      </c>
      <c r="F2446">
        <v>3454102</v>
      </c>
      <c r="G2446" s="1">
        <v>2703</v>
      </c>
      <c r="H2446" s="2">
        <v>1961513</v>
      </c>
      <c r="I2446" t="str">
        <f>VLOOKUP(Tabela1[[#This Row],[CO_PAIS]],'[1]nome do paixs'!$A:$B,2,0)</f>
        <v>Japão</v>
      </c>
      <c r="J2446" t="s">
        <v>11</v>
      </c>
    </row>
    <row r="2447" spans="1:10">
      <c r="A2447">
        <v>2023</v>
      </c>
      <c r="B2447">
        <v>12</v>
      </c>
      <c r="C2447">
        <v>8807</v>
      </c>
      <c r="D2447">
        <v>375</v>
      </c>
      <c r="E2447" t="s">
        <v>10</v>
      </c>
      <c r="F2447">
        <v>3454102</v>
      </c>
      <c r="G2447" s="1">
        <v>37</v>
      </c>
      <c r="H2447" s="2">
        <v>10925</v>
      </c>
      <c r="I2447" t="str">
        <f>VLOOKUP(Tabela1[[#This Row],[CO_PAIS]],'[1]nome do paixs'!$A:$B,2,0)</f>
        <v>Irlanda</v>
      </c>
      <c r="J2447" t="s">
        <v>11</v>
      </c>
    </row>
    <row r="2448" spans="1:10">
      <c r="A2448">
        <v>2023</v>
      </c>
      <c r="B2448">
        <v>12</v>
      </c>
      <c r="C2448">
        <v>8807</v>
      </c>
      <c r="D2448">
        <v>791</v>
      </c>
      <c r="E2448" t="s">
        <v>10</v>
      </c>
      <c r="F2448">
        <v>3449904</v>
      </c>
      <c r="G2448" s="1">
        <v>31</v>
      </c>
      <c r="H2448" s="2">
        <v>26557</v>
      </c>
      <c r="I2448" t="str">
        <f>VLOOKUP(Tabela1[[#This Row],[CO_PAIS]],'[1]nome do paixs'!$A:$B,2,0)</f>
        <v>Tcheca, República</v>
      </c>
      <c r="J2448" t="s">
        <v>12</v>
      </c>
    </row>
    <row r="2449" spans="1:10">
      <c r="A2449">
        <v>2023</v>
      </c>
      <c r="B2449">
        <v>12</v>
      </c>
      <c r="C2449">
        <v>8807</v>
      </c>
      <c r="D2449">
        <v>160</v>
      </c>
      <c r="E2449" t="s">
        <v>10</v>
      </c>
      <c r="F2449">
        <v>3424402</v>
      </c>
      <c r="G2449" s="1">
        <v>89</v>
      </c>
      <c r="H2449" s="2">
        <v>1900</v>
      </c>
      <c r="I2449" t="str">
        <f>VLOOKUP(Tabela1[[#This Row],[CO_PAIS]],'[1]nome do paixs'!$A:$B,2,0)</f>
        <v>China</v>
      </c>
      <c r="J2449" t="s">
        <v>13</v>
      </c>
    </row>
    <row r="2450" spans="1:10">
      <c r="A2450">
        <v>2023</v>
      </c>
      <c r="B2450">
        <v>12</v>
      </c>
      <c r="C2450">
        <v>8807</v>
      </c>
      <c r="D2450">
        <v>23</v>
      </c>
      <c r="E2450" t="s">
        <v>10</v>
      </c>
      <c r="F2450">
        <v>3449904</v>
      </c>
      <c r="G2450" s="1">
        <v>542</v>
      </c>
      <c r="H2450" s="2">
        <v>357193</v>
      </c>
      <c r="I2450" t="str">
        <f>VLOOKUP(Tabela1[[#This Row],[CO_PAIS]],'[1]nome do paixs'!$A:$B,2,0)</f>
        <v>Alemanha</v>
      </c>
      <c r="J2450" t="s">
        <v>12</v>
      </c>
    </row>
    <row r="2451" spans="1:10">
      <c r="A2451">
        <v>2023</v>
      </c>
      <c r="B2451">
        <v>12</v>
      </c>
      <c r="C2451">
        <v>8807</v>
      </c>
      <c r="D2451">
        <v>249</v>
      </c>
      <c r="E2451" t="s">
        <v>10</v>
      </c>
      <c r="F2451">
        <v>3424402</v>
      </c>
      <c r="G2451" s="1">
        <v>430</v>
      </c>
      <c r="H2451" s="2">
        <v>68888</v>
      </c>
      <c r="I2451" t="str">
        <f>VLOOKUP(Tabela1[[#This Row],[CO_PAIS]],'[1]nome do paixs'!$A:$B,2,0)</f>
        <v>Estados Unidos</v>
      </c>
      <c r="J2451" t="s">
        <v>13</v>
      </c>
    </row>
    <row r="2452" spans="1:10">
      <c r="A2452">
        <v>2023</v>
      </c>
      <c r="B2452">
        <v>12</v>
      </c>
      <c r="C2452">
        <v>8807</v>
      </c>
      <c r="D2452">
        <v>607</v>
      </c>
      <c r="E2452" t="s">
        <v>10</v>
      </c>
      <c r="F2452">
        <v>3449904</v>
      </c>
      <c r="G2452" s="1">
        <v>0</v>
      </c>
      <c r="H2452" s="2">
        <v>4863</v>
      </c>
      <c r="I2452" t="str">
        <f>VLOOKUP(Tabela1[[#This Row],[CO_PAIS]],'[1]nome do paixs'!$A:$B,2,0)</f>
        <v>Portugal</v>
      </c>
      <c r="J2452" t="s">
        <v>12</v>
      </c>
    </row>
    <row r="2453" spans="1:10">
      <c r="A2453">
        <v>2023</v>
      </c>
      <c r="B2453">
        <v>12</v>
      </c>
      <c r="C2453">
        <v>8807</v>
      </c>
      <c r="D2453">
        <v>105</v>
      </c>
      <c r="E2453" t="s">
        <v>10</v>
      </c>
      <c r="F2453">
        <v>3449904</v>
      </c>
      <c r="G2453" s="1">
        <v>1262</v>
      </c>
      <c r="H2453" s="2">
        <v>864029</v>
      </c>
      <c r="I2453" t="str">
        <f>VLOOKUP(Tabela1[[#This Row],[CO_PAIS]],'[1]nome do paixs'!$A:$B,2,0)</f>
        <v>Brasil</v>
      </c>
      <c r="J2453" t="s">
        <v>12</v>
      </c>
    </row>
    <row r="2454" spans="1:10">
      <c r="A2454">
        <v>2023</v>
      </c>
      <c r="B2454">
        <v>12</v>
      </c>
      <c r="C2454">
        <v>8807</v>
      </c>
      <c r="D2454">
        <v>603</v>
      </c>
      <c r="E2454" t="s">
        <v>10</v>
      </c>
      <c r="F2454">
        <v>3454102</v>
      </c>
      <c r="G2454" s="1">
        <v>0</v>
      </c>
      <c r="H2454" s="2">
        <v>1693</v>
      </c>
      <c r="I2454" t="str">
        <f>VLOOKUP(Tabela1[[#This Row],[CO_PAIS]],'[1]nome do paixs'!$A:$B,2,0)</f>
        <v>Polônia</v>
      </c>
      <c r="J2454" t="s">
        <v>11</v>
      </c>
    </row>
    <row r="2455" spans="1:10">
      <c r="A2455">
        <v>2023</v>
      </c>
      <c r="B2455">
        <v>12</v>
      </c>
      <c r="C2455">
        <v>8807</v>
      </c>
      <c r="D2455">
        <v>573</v>
      </c>
      <c r="E2455" t="s">
        <v>10</v>
      </c>
      <c r="F2455">
        <v>3449904</v>
      </c>
      <c r="G2455" s="1">
        <v>0</v>
      </c>
      <c r="H2455" s="2">
        <v>11993</v>
      </c>
      <c r="I2455" t="str">
        <f>VLOOKUP(Tabela1[[#This Row],[CO_PAIS]],'[1]nome do paixs'!$A:$B,2,0)</f>
        <v>Países Baixos (Holanda)</v>
      </c>
      <c r="J2455" t="s">
        <v>12</v>
      </c>
    </row>
    <row r="2456" spans="1:10">
      <c r="A2456">
        <v>2023</v>
      </c>
      <c r="B2456">
        <v>12</v>
      </c>
      <c r="C2456">
        <v>8807</v>
      </c>
      <c r="D2456">
        <v>399</v>
      </c>
      <c r="E2456" t="s">
        <v>10</v>
      </c>
      <c r="F2456">
        <v>3449904</v>
      </c>
      <c r="G2456" s="1">
        <v>536</v>
      </c>
      <c r="H2456" s="2">
        <v>496684</v>
      </c>
      <c r="I2456" t="str">
        <f>VLOOKUP(Tabela1[[#This Row],[CO_PAIS]],'[1]nome do paixs'!$A:$B,2,0)</f>
        <v>Japão</v>
      </c>
      <c r="J2456" t="s">
        <v>12</v>
      </c>
    </row>
    <row r="2457" spans="1:10">
      <c r="A2457">
        <v>2023</v>
      </c>
      <c r="B2457">
        <v>12</v>
      </c>
      <c r="C2457">
        <v>8807</v>
      </c>
      <c r="D2457">
        <v>827</v>
      </c>
      <c r="E2457" t="s">
        <v>10</v>
      </c>
      <c r="F2457">
        <v>3449904</v>
      </c>
      <c r="G2457" s="1">
        <v>0</v>
      </c>
      <c r="H2457" s="2">
        <v>7</v>
      </c>
      <c r="I2457" t="str">
        <f>VLOOKUP(Tabela1[[#This Row],[CO_PAIS]],'[1]nome do paixs'!$A:$B,2,0)</f>
        <v>Turquia</v>
      </c>
      <c r="J2457" t="s">
        <v>12</v>
      </c>
    </row>
    <row r="2458" spans="1:10">
      <c r="A2458">
        <v>2023</v>
      </c>
      <c r="B2458">
        <v>12</v>
      </c>
      <c r="C2458">
        <v>8807</v>
      </c>
      <c r="D2458">
        <v>245</v>
      </c>
      <c r="E2458" t="s">
        <v>10</v>
      </c>
      <c r="F2458">
        <v>3449904</v>
      </c>
      <c r="G2458" s="1">
        <v>3871</v>
      </c>
      <c r="H2458" s="2">
        <v>941367</v>
      </c>
      <c r="I2458" t="str">
        <f>VLOOKUP(Tabela1[[#This Row],[CO_PAIS]],'[1]nome do paixs'!$A:$B,2,0)</f>
        <v>Espanha</v>
      </c>
      <c r="J2458" t="s">
        <v>12</v>
      </c>
    </row>
    <row r="2459" spans="1:10">
      <c r="A2459">
        <v>2023</v>
      </c>
      <c r="B2459">
        <v>12</v>
      </c>
      <c r="C2459">
        <v>8807</v>
      </c>
      <c r="D2459">
        <v>607</v>
      </c>
      <c r="E2459" t="s">
        <v>10</v>
      </c>
      <c r="F2459">
        <v>3454102</v>
      </c>
      <c r="G2459" s="1">
        <v>17443</v>
      </c>
      <c r="H2459" s="2">
        <v>5727165</v>
      </c>
      <c r="I2459" t="str">
        <f>VLOOKUP(Tabela1[[#This Row],[CO_PAIS]],'[1]nome do paixs'!$A:$B,2,0)</f>
        <v>Portugal</v>
      </c>
      <c r="J2459" t="s">
        <v>11</v>
      </c>
    </row>
    <row r="2460" spans="1:10">
      <c r="A2460">
        <v>2023</v>
      </c>
      <c r="B2460">
        <v>12</v>
      </c>
      <c r="C2460">
        <v>8807</v>
      </c>
      <c r="D2460">
        <v>23</v>
      </c>
      <c r="E2460" t="s">
        <v>10</v>
      </c>
      <c r="F2460">
        <v>3424402</v>
      </c>
      <c r="G2460" s="1">
        <v>1</v>
      </c>
      <c r="H2460" s="2">
        <v>1888</v>
      </c>
      <c r="I2460" t="str">
        <f>VLOOKUP(Tabela1[[#This Row],[CO_PAIS]],'[1]nome do paixs'!$A:$B,2,0)</f>
        <v>Alemanha</v>
      </c>
      <c r="J2460" t="s">
        <v>13</v>
      </c>
    </row>
    <row r="2461" spans="1:10">
      <c r="A2461">
        <v>2023</v>
      </c>
      <c r="B2461">
        <v>12</v>
      </c>
      <c r="C2461">
        <v>8807</v>
      </c>
      <c r="D2461">
        <v>741</v>
      </c>
      <c r="E2461" t="s">
        <v>10</v>
      </c>
      <c r="F2461">
        <v>3449904</v>
      </c>
      <c r="G2461" s="1">
        <v>107</v>
      </c>
      <c r="H2461" s="2">
        <v>133260</v>
      </c>
      <c r="I2461" t="str">
        <f>VLOOKUP(Tabela1[[#This Row],[CO_PAIS]],'[1]nome do paixs'!$A:$B,2,0)</f>
        <v>Singapura</v>
      </c>
      <c r="J2461" t="s">
        <v>12</v>
      </c>
    </row>
    <row r="2462" spans="1:10">
      <c r="A2462">
        <v>2023</v>
      </c>
      <c r="B2462">
        <v>12</v>
      </c>
      <c r="C2462">
        <v>8807</v>
      </c>
      <c r="D2462">
        <v>87</v>
      </c>
      <c r="E2462" t="s">
        <v>10</v>
      </c>
      <c r="F2462">
        <v>3424402</v>
      </c>
      <c r="G2462" s="1">
        <v>1</v>
      </c>
      <c r="H2462" s="2">
        <v>2146</v>
      </c>
      <c r="I2462" t="str">
        <f>VLOOKUP(Tabela1[[#This Row],[CO_PAIS]],'[1]nome do paixs'!$A:$B,2,0)</f>
        <v>Bélgica</v>
      </c>
      <c r="J2462" t="s">
        <v>13</v>
      </c>
    </row>
    <row r="2463" spans="1:10">
      <c r="A2463">
        <v>2023</v>
      </c>
      <c r="B2463">
        <v>12</v>
      </c>
      <c r="C2463">
        <v>8807</v>
      </c>
      <c r="D2463">
        <v>149</v>
      </c>
      <c r="E2463" t="s">
        <v>10</v>
      </c>
      <c r="F2463">
        <v>3454102</v>
      </c>
      <c r="G2463" s="1">
        <v>124</v>
      </c>
      <c r="H2463" s="2">
        <v>56224</v>
      </c>
      <c r="I2463" t="str">
        <f>VLOOKUP(Tabela1[[#This Row],[CO_PAIS]],'[1]nome do paixs'!$A:$B,2,0)</f>
        <v>Canadá</v>
      </c>
      <c r="J2463" t="s">
        <v>11</v>
      </c>
    </row>
    <row r="2464" spans="1:10">
      <c r="A2464">
        <v>2023</v>
      </c>
      <c r="B2464">
        <v>12</v>
      </c>
      <c r="C2464">
        <v>8807</v>
      </c>
      <c r="D2464">
        <v>72</v>
      </c>
      <c r="E2464" t="s">
        <v>10</v>
      </c>
      <c r="F2464">
        <v>3449904</v>
      </c>
      <c r="G2464" s="1">
        <v>71</v>
      </c>
      <c r="H2464" s="2">
        <v>112075</v>
      </c>
      <c r="I2464" t="str">
        <f>VLOOKUP(Tabela1[[#This Row],[CO_PAIS]],'[1]nome do paixs'!$A:$B,2,0)</f>
        <v>Áustria</v>
      </c>
      <c r="J2464" t="s">
        <v>12</v>
      </c>
    </row>
    <row r="2465" spans="1:10">
      <c r="A2465">
        <v>2023</v>
      </c>
      <c r="B2465">
        <v>12</v>
      </c>
      <c r="C2465">
        <v>8807</v>
      </c>
      <c r="D2465">
        <v>245</v>
      </c>
      <c r="E2465" t="s">
        <v>10</v>
      </c>
      <c r="F2465">
        <v>3454102</v>
      </c>
      <c r="G2465" s="1">
        <v>1337</v>
      </c>
      <c r="H2465" s="2">
        <v>1079933</v>
      </c>
      <c r="I2465" t="str">
        <f>VLOOKUP(Tabela1[[#This Row],[CO_PAIS]],'[1]nome do paixs'!$A:$B,2,0)</f>
        <v>Espanha</v>
      </c>
      <c r="J2465" t="s">
        <v>11</v>
      </c>
    </row>
    <row r="2466" spans="1:10">
      <c r="A2466">
        <v>2022</v>
      </c>
      <c r="B2466">
        <v>12</v>
      </c>
      <c r="C2466">
        <v>8807</v>
      </c>
      <c r="D2466">
        <v>375</v>
      </c>
      <c r="E2466" t="s">
        <v>10</v>
      </c>
      <c r="F2466">
        <v>3449904</v>
      </c>
      <c r="G2466" s="1">
        <v>22</v>
      </c>
      <c r="H2466" s="2">
        <v>5431</v>
      </c>
      <c r="I2466" t="str">
        <f>VLOOKUP(Tabela1[[#This Row],[CO_PAIS]],'[1]nome do paixs'!$A:$B,2,0)</f>
        <v>Irlanda</v>
      </c>
      <c r="J2466" t="s">
        <v>12</v>
      </c>
    </row>
    <row r="2467" spans="1:10">
      <c r="A2467">
        <v>2022</v>
      </c>
      <c r="B2467">
        <v>12</v>
      </c>
      <c r="C2467">
        <v>8807</v>
      </c>
      <c r="D2467">
        <v>245</v>
      </c>
      <c r="E2467" t="s">
        <v>10</v>
      </c>
      <c r="F2467">
        <v>3449904</v>
      </c>
      <c r="G2467" s="1">
        <v>5339</v>
      </c>
      <c r="H2467" s="2">
        <v>1610355</v>
      </c>
      <c r="I2467" t="str">
        <f>VLOOKUP(Tabela1[[#This Row],[CO_PAIS]],'[1]nome do paixs'!$A:$B,2,0)</f>
        <v>Espanha</v>
      </c>
      <c r="J2467" t="s">
        <v>12</v>
      </c>
    </row>
    <row r="2468" spans="1:10">
      <c r="A2468">
        <v>2022</v>
      </c>
      <c r="B2468">
        <v>12</v>
      </c>
      <c r="C2468">
        <v>8807</v>
      </c>
      <c r="D2468">
        <v>791</v>
      </c>
      <c r="E2468" t="s">
        <v>10</v>
      </c>
      <c r="F2468">
        <v>3449904</v>
      </c>
      <c r="G2468" s="1">
        <v>1</v>
      </c>
      <c r="H2468" s="2">
        <v>125</v>
      </c>
      <c r="I2468" t="str">
        <f>VLOOKUP(Tabela1[[#This Row],[CO_PAIS]],'[1]nome do paixs'!$A:$B,2,0)</f>
        <v>Tcheca, República</v>
      </c>
      <c r="J2468" t="s">
        <v>12</v>
      </c>
    </row>
    <row r="2469" spans="1:10">
      <c r="A2469">
        <v>2022</v>
      </c>
      <c r="B2469">
        <v>12</v>
      </c>
      <c r="C2469">
        <v>8807</v>
      </c>
      <c r="D2469">
        <v>603</v>
      </c>
      <c r="E2469" t="s">
        <v>10</v>
      </c>
      <c r="F2469">
        <v>3449904</v>
      </c>
      <c r="G2469" s="1">
        <v>24</v>
      </c>
      <c r="H2469" s="2">
        <v>10244</v>
      </c>
      <c r="I2469" t="str">
        <f>VLOOKUP(Tabela1[[#This Row],[CO_PAIS]],'[1]nome do paixs'!$A:$B,2,0)</f>
        <v>Polônia</v>
      </c>
      <c r="J2469" t="s">
        <v>12</v>
      </c>
    </row>
    <row r="2470" spans="1:10">
      <c r="A2470">
        <v>2022</v>
      </c>
      <c r="B2470">
        <v>12</v>
      </c>
      <c r="C2470">
        <v>8807</v>
      </c>
      <c r="D2470">
        <v>375</v>
      </c>
      <c r="E2470" t="s">
        <v>10</v>
      </c>
      <c r="F2470">
        <v>3454102</v>
      </c>
      <c r="G2470" s="1">
        <v>43</v>
      </c>
      <c r="H2470" s="2">
        <v>4249</v>
      </c>
      <c r="I2470" t="str">
        <f>VLOOKUP(Tabela1[[#This Row],[CO_PAIS]],'[1]nome do paixs'!$A:$B,2,0)</f>
        <v>Irlanda</v>
      </c>
      <c r="J2470" t="s">
        <v>11</v>
      </c>
    </row>
    <row r="2471" spans="1:10">
      <c r="A2471">
        <v>2022</v>
      </c>
      <c r="B2471">
        <v>12</v>
      </c>
      <c r="C2471">
        <v>8807</v>
      </c>
      <c r="D2471">
        <v>72</v>
      </c>
      <c r="E2471" t="s">
        <v>10</v>
      </c>
      <c r="F2471">
        <v>3454102</v>
      </c>
      <c r="G2471" s="1">
        <v>3319</v>
      </c>
      <c r="H2471" s="2">
        <v>794387</v>
      </c>
      <c r="I2471" t="str">
        <f>VLOOKUP(Tabela1[[#This Row],[CO_PAIS]],'[1]nome do paixs'!$A:$B,2,0)</f>
        <v>Áustria</v>
      </c>
      <c r="J2471" t="s">
        <v>11</v>
      </c>
    </row>
    <row r="2472" spans="1:10">
      <c r="A2472">
        <v>2022</v>
      </c>
      <c r="B2472">
        <v>12</v>
      </c>
      <c r="C2472">
        <v>8807</v>
      </c>
      <c r="D2472">
        <v>791</v>
      </c>
      <c r="E2472" t="s">
        <v>10</v>
      </c>
      <c r="F2472">
        <v>3424402</v>
      </c>
      <c r="G2472" s="1">
        <v>409</v>
      </c>
      <c r="H2472" s="2">
        <v>294180</v>
      </c>
      <c r="I2472" t="str">
        <f>VLOOKUP(Tabela1[[#This Row],[CO_PAIS]],'[1]nome do paixs'!$A:$B,2,0)</f>
        <v>Tcheca, República</v>
      </c>
      <c r="J2472" t="s">
        <v>13</v>
      </c>
    </row>
    <row r="2473" spans="1:10">
      <c r="A2473">
        <v>2022</v>
      </c>
      <c r="B2473">
        <v>12</v>
      </c>
      <c r="C2473">
        <v>8807</v>
      </c>
      <c r="D2473">
        <v>23</v>
      </c>
      <c r="E2473" t="s">
        <v>10</v>
      </c>
      <c r="F2473">
        <v>3449904</v>
      </c>
      <c r="G2473" s="1">
        <v>192</v>
      </c>
      <c r="H2473" s="2">
        <v>318822</v>
      </c>
      <c r="I2473" t="str">
        <f>VLOOKUP(Tabela1[[#This Row],[CO_PAIS]],'[1]nome do paixs'!$A:$B,2,0)</f>
        <v>Alemanha</v>
      </c>
      <c r="J2473" t="s">
        <v>12</v>
      </c>
    </row>
    <row r="2474" spans="1:10">
      <c r="A2474">
        <v>2022</v>
      </c>
      <c r="B2474">
        <v>12</v>
      </c>
      <c r="C2474">
        <v>8807</v>
      </c>
      <c r="D2474">
        <v>105</v>
      </c>
      <c r="E2474" t="s">
        <v>10</v>
      </c>
      <c r="F2474">
        <v>3449904</v>
      </c>
      <c r="G2474" s="1">
        <v>5841</v>
      </c>
      <c r="H2474" s="2">
        <v>4105107</v>
      </c>
      <c r="I2474" t="str">
        <f>VLOOKUP(Tabela1[[#This Row],[CO_PAIS]],'[1]nome do paixs'!$A:$B,2,0)</f>
        <v>Brasil</v>
      </c>
      <c r="J2474" t="s">
        <v>12</v>
      </c>
    </row>
    <row r="2475" spans="1:10">
      <c r="A2475">
        <v>2022</v>
      </c>
      <c r="B2475">
        <v>12</v>
      </c>
      <c r="C2475">
        <v>8807</v>
      </c>
      <c r="D2475">
        <v>249</v>
      </c>
      <c r="E2475" t="s">
        <v>10</v>
      </c>
      <c r="F2475">
        <v>3454102</v>
      </c>
      <c r="G2475" s="1">
        <v>19288</v>
      </c>
      <c r="H2475" s="2">
        <v>5340324</v>
      </c>
      <c r="I2475" t="str">
        <f>VLOOKUP(Tabela1[[#This Row],[CO_PAIS]],'[1]nome do paixs'!$A:$B,2,0)</f>
        <v>Estados Unidos</v>
      </c>
      <c r="J2475" t="s">
        <v>11</v>
      </c>
    </row>
    <row r="2476" spans="1:10">
      <c r="A2476">
        <v>2022</v>
      </c>
      <c r="B2476">
        <v>12</v>
      </c>
      <c r="C2476">
        <v>8807</v>
      </c>
      <c r="D2476">
        <v>23</v>
      </c>
      <c r="E2476" t="s">
        <v>10</v>
      </c>
      <c r="F2476">
        <v>3424402</v>
      </c>
      <c r="G2476" s="1">
        <v>3</v>
      </c>
      <c r="H2476" s="2">
        <v>55985</v>
      </c>
      <c r="I2476" t="str">
        <f>VLOOKUP(Tabela1[[#This Row],[CO_PAIS]],'[1]nome do paixs'!$A:$B,2,0)</f>
        <v>Alemanha</v>
      </c>
      <c r="J2476" t="s">
        <v>13</v>
      </c>
    </row>
    <row r="2477" spans="1:10">
      <c r="A2477">
        <v>2022</v>
      </c>
      <c r="B2477">
        <v>12</v>
      </c>
      <c r="C2477">
        <v>8807</v>
      </c>
      <c r="D2477">
        <v>275</v>
      </c>
      <c r="E2477" t="s">
        <v>10</v>
      </c>
      <c r="F2477">
        <v>3454102</v>
      </c>
      <c r="G2477" s="1">
        <v>2044</v>
      </c>
      <c r="H2477" s="2">
        <v>2502121</v>
      </c>
      <c r="I2477" t="str">
        <f>VLOOKUP(Tabela1[[#This Row],[CO_PAIS]],'[1]nome do paixs'!$A:$B,2,0)</f>
        <v>França</v>
      </c>
      <c r="J2477" t="s">
        <v>11</v>
      </c>
    </row>
    <row r="2478" spans="1:10">
      <c r="A2478">
        <v>2022</v>
      </c>
      <c r="B2478">
        <v>12</v>
      </c>
      <c r="C2478">
        <v>8807</v>
      </c>
      <c r="D2478">
        <v>275</v>
      </c>
      <c r="E2478" t="s">
        <v>10</v>
      </c>
      <c r="F2478">
        <v>3424402</v>
      </c>
      <c r="G2478" s="1">
        <v>388</v>
      </c>
      <c r="H2478" s="2">
        <v>455152</v>
      </c>
      <c r="I2478" t="str">
        <f>VLOOKUP(Tabela1[[#This Row],[CO_PAIS]],'[1]nome do paixs'!$A:$B,2,0)</f>
        <v>França</v>
      </c>
      <c r="J2478" t="s">
        <v>13</v>
      </c>
    </row>
    <row r="2479" spans="1:10">
      <c r="A2479">
        <v>2022</v>
      </c>
      <c r="B2479">
        <v>12</v>
      </c>
      <c r="C2479">
        <v>8807</v>
      </c>
      <c r="D2479">
        <v>190</v>
      </c>
      <c r="E2479" t="s">
        <v>10</v>
      </c>
      <c r="F2479">
        <v>3449904</v>
      </c>
      <c r="G2479" s="1">
        <v>26</v>
      </c>
      <c r="H2479" s="2">
        <v>18264</v>
      </c>
      <c r="I2479" t="str">
        <f>VLOOKUP(Tabela1[[#This Row],[CO_PAIS]],'[1]nome do paixs'!$A:$B,2,0)</f>
        <v>Coreia do Sul</v>
      </c>
      <c r="J2479" t="s">
        <v>12</v>
      </c>
    </row>
    <row r="2480" spans="1:10">
      <c r="A2480">
        <v>2022</v>
      </c>
      <c r="B2480">
        <v>12</v>
      </c>
      <c r="C2480">
        <v>8807</v>
      </c>
      <c r="D2480">
        <v>474</v>
      </c>
      <c r="E2480" t="s">
        <v>10</v>
      </c>
      <c r="F2480">
        <v>3454102</v>
      </c>
      <c r="G2480" s="1">
        <v>184</v>
      </c>
      <c r="H2480" s="2">
        <v>350571</v>
      </c>
      <c r="I2480" t="str">
        <f>VLOOKUP(Tabela1[[#This Row],[CO_PAIS]],'[1]nome do paixs'!$A:$B,2,0)</f>
        <v>Marrocos</v>
      </c>
      <c r="J2480" t="s">
        <v>11</v>
      </c>
    </row>
    <row r="2481" spans="1:10">
      <c r="A2481">
        <v>2022</v>
      </c>
      <c r="B2481">
        <v>12</v>
      </c>
      <c r="C2481">
        <v>8807</v>
      </c>
      <c r="D2481">
        <v>87</v>
      </c>
      <c r="E2481" t="s">
        <v>10</v>
      </c>
      <c r="F2481">
        <v>3454102</v>
      </c>
      <c r="G2481" s="1">
        <v>2258</v>
      </c>
      <c r="H2481" s="2">
        <v>2013474</v>
      </c>
      <c r="I2481" t="str">
        <f>VLOOKUP(Tabela1[[#This Row],[CO_PAIS]],'[1]nome do paixs'!$A:$B,2,0)</f>
        <v>Bélgica</v>
      </c>
      <c r="J2481" t="s">
        <v>11</v>
      </c>
    </row>
    <row r="2482" spans="1:10">
      <c r="A2482">
        <v>2022</v>
      </c>
      <c r="B2482">
        <v>12</v>
      </c>
      <c r="C2482">
        <v>8807</v>
      </c>
      <c r="D2482">
        <v>493</v>
      </c>
      <c r="E2482" t="s">
        <v>10</v>
      </c>
      <c r="F2482">
        <v>3449904</v>
      </c>
      <c r="G2482" s="1">
        <v>1791</v>
      </c>
      <c r="H2482" s="2">
        <v>985374</v>
      </c>
      <c r="I2482" t="str">
        <f>VLOOKUP(Tabela1[[#This Row],[CO_PAIS]],'[1]nome do paixs'!$A:$B,2,0)</f>
        <v>México</v>
      </c>
      <c r="J2482" t="s">
        <v>12</v>
      </c>
    </row>
    <row r="2483" spans="1:10">
      <c r="A2483">
        <v>2022</v>
      </c>
      <c r="B2483">
        <v>12</v>
      </c>
      <c r="C2483">
        <v>8807</v>
      </c>
      <c r="D2483">
        <v>249</v>
      </c>
      <c r="E2483" t="s">
        <v>10</v>
      </c>
      <c r="F2483">
        <v>3449904</v>
      </c>
      <c r="G2483" s="1">
        <v>4346</v>
      </c>
      <c r="H2483" s="2">
        <v>4377470</v>
      </c>
      <c r="I2483" t="str">
        <f>VLOOKUP(Tabela1[[#This Row],[CO_PAIS]],'[1]nome do paixs'!$A:$B,2,0)</f>
        <v>Estados Unidos</v>
      </c>
      <c r="J2483" t="s">
        <v>12</v>
      </c>
    </row>
    <row r="2484" spans="1:10">
      <c r="A2484">
        <v>2022</v>
      </c>
      <c r="B2484">
        <v>12</v>
      </c>
      <c r="C2484">
        <v>8807</v>
      </c>
      <c r="D2484">
        <v>493</v>
      </c>
      <c r="E2484" t="s">
        <v>10</v>
      </c>
      <c r="F2484">
        <v>3454102</v>
      </c>
      <c r="G2484" s="1">
        <v>6727</v>
      </c>
      <c r="H2484" s="2">
        <v>2914902</v>
      </c>
      <c r="I2484" t="str">
        <f>VLOOKUP(Tabela1[[#This Row],[CO_PAIS]],'[1]nome do paixs'!$A:$B,2,0)</f>
        <v>México</v>
      </c>
      <c r="J2484" t="s">
        <v>11</v>
      </c>
    </row>
    <row r="2485" spans="1:10">
      <c r="A2485">
        <v>2022</v>
      </c>
      <c r="B2485">
        <v>12</v>
      </c>
      <c r="C2485">
        <v>8807</v>
      </c>
      <c r="D2485">
        <v>676</v>
      </c>
      <c r="E2485" t="s">
        <v>10</v>
      </c>
      <c r="F2485">
        <v>3449904</v>
      </c>
      <c r="G2485" s="1">
        <v>62</v>
      </c>
      <c r="H2485" s="2">
        <v>49437</v>
      </c>
      <c r="I2485" t="str">
        <f>VLOOKUP(Tabela1[[#This Row],[CO_PAIS]],'[1]nome do paixs'!$A:$B,2,0)</f>
        <v>Rússia</v>
      </c>
      <c r="J2485" t="s">
        <v>12</v>
      </c>
    </row>
    <row r="2486" spans="1:10">
      <c r="A2486">
        <v>2022</v>
      </c>
      <c r="B2486">
        <v>12</v>
      </c>
      <c r="C2486">
        <v>8807</v>
      </c>
      <c r="D2486">
        <v>160</v>
      </c>
      <c r="E2486" t="s">
        <v>10</v>
      </c>
      <c r="F2486">
        <v>3449904</v>
      </c>
      <c r="G2486" s="1">
        <v>464</v>
      </c>
      <c r="H2486" s="2">
        <v>11433</v>
      </c>
      <c r="I2486" t="str">
        <f>VLOOKUP(Tabela1[[#This Row],[CO_PAIS]],'[1]nome do paixs'!$A:$B,2,0)</f>
        <v>China</v>
      </c>
      <c r="J2486" t="s">
        <v>12</v>
      </c>
    </row>
    <row r="2487" spans="1:10">
      <c r="A2487">
        <v>2022</v>
      </c>
      <c r="B2487">
        <v>12</v>
      </c>
      <c r="C2487">
        <v>8807</v>
      </c>
      <c r="D2487">
        <v>628</v>
      </c>
      <c r="E2487" t="s">
        <v>10</v>
      </c>
      <c r="F2487">
        <v>3454102</v>
      </c>
      <c r="G2487" s="1">
        <v>97</v>
      </c>
      <c r="H2487" s="2">
        <v>149017</v>
      </c>
      <c r="I2487" t="str">
        <f>VLOOKUP(Tabela1[[#This Row],[CO_PAIS]],'[1]nome do paixs'!$A:$B,2,0)</f>
        <v>Reino Unido</v>
      </c>
      <c r="J2487" t="s">
        <v>11</v>
      </c>
    </row>
    <row r="2488" spans="1:10">
      <c r="A2488">
        <v>2022</v>
      </c>
      <c r="B2488">
        <v>12</v>
      </c>
      <c r="C2488">
        <v>8807</v>
      </c>
      <c r="D2488">
        <v>741</v>
      </c>
      <c r="E2488" t="s">
        <v>10</v>
      </c>
      <c r="F2488">
        <v>3449904</v>
      </c>
      <c r="G2488" s="1">
        <v>151</v>
      </c>
      <c r="H2488" s="2">
        <v>162416</v>
      </c>
      <c r="I2488" t="str">
        <f>VLOOKUP(Tabela1[[#This Row],[CO_PAIS]],'[1]nome do paixs'!$A:$B,2,0)</f>
        <v>Singapura</v>
      </c>
      <c r="J2488" t="s">
        <v>12</v>
      </c>
    </row>
    <row r="2489" spans="1:10">
      <c r="A2489">
        <v>2022</v>
      </c>
      <c r="B2489">
        <v>12</v>
      </c>
      <c r="C2489">
        <v>8807</v>
      </c>
      <c r="D2489">
        <v>245</v>
      </c>
      <c r="E2489" t="s">
        <v>10</v>
      </c>
      <c r="F2489">
        <v>3424402</v>
      </c>
      <c r="G2489" s="1">
        <v>58</v>
      </c>
      <c r="H2489" s="2">
        <v>28571</v>
      </c>
      <c r="I2489" t="str">
        <f>VLOOKUP(Tabela1[[#This Row],[CO_PAIS]],'[1]nome do paixs'!$A:$B,2,0)</f>
        <v>Espanha</v>
      </c>
      <c r="J2489" t="s">
        <v>13</v>
      </c>
    </row>
    <row r="2490" spans="1:10">
      <c r="A2490">
        <v>2022</v>
      </c>
      <c r="B2490">
        <v>12</v>
      </c>
      <c r="C2490">
        <v>8807</v>
      </c>
      <c r="D2490">
        <v>87</v>
      </c>
      <c r="E2490" t="s">
        <v>10</v>
      </c>
      <c r="F2490">
        <v>3424402</v>
      </c>
      <c r="G2490" s="1">
        <v>5</v>
      </c>
      <c r="H2490" s="2">
        <v>13184</v>
      </c>
      <c r="I2490" t="str">
        <f>VLOOKUP(Tabela1[[#This Row],[CO_PAIS]],'[1]nome do paixs'!$A:$B,2,0)</f>
        <v>Bélgica</v>
      </c>
      <c r="J2490" t="s">
        <v>13</v>
      </c>
    </row>
    <row r="2491" spans="1:10">
      <c r="A2491">
        <v>2022</v>
      </c>
      <c r="B2491">
        <v>12</v>
      </c>
      <c r="C2491">
        <v>8807</v>
      </c>
      <c r="D2491">
        <v>149</v>
      </c>
      <c r="E2491" t="s">
        <v>10</v>
      </c>
      <c r="F2491">
        <v>3454102</v>
      </c>
      <c r="G2491" s="1">
        <v>107</v>
      </c>
      <c r="H2491" s="2">
        <v>43194</v>
      </c>
      <c r="I2491" t="str">
        <f>VLOOKUP(Tabela1[[#This Row],[CO_PAIS]],'[1]nome do paixs'!$A:$B,2,0)</f>
        <v>Canadá</v>
      </c>
      <c r="J2491" t="s">
        <v>11</v>
      </c>
    </row>
    <row r="2492" spans="1:10">
      <c r="A2492">
        <v>2022</v>
      </c>
      <c r="B2492">
        <v>12</v>
      </c>
      <c r="C2492">
        <v>8807</v>
      </c>
      <c r="D2492">
        <v>149</v>
      </c>
      <c r="E2492" t="s">
        <v>10</v>
      </c>
      <c r="F2492">
        <v>3449904</v>
      </c>
      <c r="G2492" s="1">
        <v>6</v>
      </c>
      <c r="H2492" s="2">
        <v>14072</v>
      </c>
      <c r="I2492" t="str">
        <f>VLOOKUP(Tabela1[[#This Row],[CO_PAIS]],'[1]nome do paixs'!$A:$B,2,0)</f>
        <v>Canadá</v>
      </c>
      <c r="J2492" t="s">
        <v>12</v>
      </c>
    </row>
    <row r="2493" spans="1:10">
      <c r="A2493">
        <v>2022</v>
      </c>
      <c r="B2493">
        <v>12</v>
      </c>
      <c r="C2493">
        <v>8807</v>
      </c>
      <c r="D2493">
        <v>827</v>
      </c>
      <c r="E2493" t="s">
        <v>10</v>
      </c>
      <c r="F2493">
        <v>3449904</v>
      </c>
      <c r="G2493" s="1">
        <v>1</v>
      </c>
      <c r="H2493" s="2">
        <v>2305</v>
      </c>
      <c r="I2493" t="str">
        <f>VLOOKUP(Tabela1[[#This Row],[CO_PAIS]],'[1]nome do paixs'!$A:$B,2,0)</f>
        <v>Turquia</v>
      </c>
      <c r="J2493" t="s">
        <v>12</v>
      </c>
    </row>
    <row r="2494" spans="1:10">
      <c r="A2494">
        <v>2022</v>
      </c>
      <c r="B2494">
        <v>12</v>
      </c>
      <c r="C2494">
        <v>8807</v>
      </c>
      <c r="D2494">
        <v>275</v>
      </c>
      <c r="E2494" t="s">
        <v>10</v>
      </c>
      <c r="F2494">
        <v>3449904</v>
      </c>
      <c r="G2494" s="1">
        <v>228</v>
      </c>
      <c r="H2494" s="2">
        <v>261711</v>
      </c>
      <c r="I2494" t="str">
        <f>VLOOKUP(Tabela1[[#This Row],[CO_PAIS]],'[1]nome do paixs'!$A:$B,2,0)</f>
        <v>França</v>
      </c>
      <c r="J2494" t="s">
        <v>12</v>
      </c>
    </row>
    <row r="2495" spans="1:10">
      <c r="A2495">
        <v>2022</v>
      </c>
      <c r="B2495">
        <v>12</v>
      </c>
      <c r="C2495">
        <v>8807</v>
      </c>
      <c r="D2495">
        <v>386</v>
      </c>
      <c r="E2495" t="s">
        <v>10</v>
      </c>
      <c r="F2495">
        <v>3454102</v>
      </c>
      <c r="G2495" s="1">
        <v>384</v>
      </c>
      <c r="H2495" s="2">
        <v>987310</v>
      </c>
      <c r="I2495" t="str">
        <f>VLOOKUP(Tabela1[[#This Row],[CO_PAIS]],'[1]nome do paixs'!$A:$B,2,0)</f>
        <v>Itália</v>
      </c>
      <c r="J2495" t="s">
        <v>11</v>
      </c>
    </row>
    <row r="2496" spans="1:10">
      <c r="A2496">
        <v>2022</v>
      </c>
      <c r="B2496">
        <v>12</v>
      </c>
      <c r="C2496">
        <v>8807</v>
      </c>
      <c r="D2496">
        <v>87</v>
      </c>
      <c r="E2496" t="s">
        <v>10</v>
      </c>
      <c r="F2496">
        <v>3449904</v>
      </c>
      <c r="G2496" s="1">
        <v>1277</v>
      </c>
      <c r="H2496" s="2">
        <v>978839</v>
      </c>
      <c r="I2496" t="str">
        <f>VLOOKUP(Tabela1[[#This Row],[CO_PAIS]],'[1]nome do paixs'!$A:$B,2,0)</f>
        <v>Bélgica</v>
      </c>
      <c r="J2496" t="s">
        <v>12</v>
      </c>
    </row>
    <row r="2497" spans="1:10">
      <c r="A2497">
        <v>2022</v>
      </c>
      <c r="B2497">
        <v>12</v>
      </c>
      <c r="C2497">
        <v>8807</v>
      </c>
      <c r="D2497">
        <v>386</v>
      </c>
      <c r="E2497" t="s">
        <v>10</v>
      </c>
      <c r="F2497">
        <v>3449904</v>
      </c>
      <c r="G2497" s="1">
        <v>33</v>
      </c>
      <c r="H2497" s="2">
        <v>69111</v>
      </c>
      <c r="I2497" t="str">
        <f>VLOOKUP(Tabela1[[#This Row],[CO_PAIS]],'[1]nome do paixs'!$A:$B,2,0)</f>
        <v>Itália</v>
      </c>
      <c r="J2497" t="s">
        <v>12</v>
      </c>
    </row>
    <row r="2498" spans="1:10">
      <c r="A2498">
        <v>2022</v>
      </c>
      <c r="B2498">
        <v>12</v>
      </c>
      <c r="C2498">
        <v>8807</v>
      </c>
      <c r="D2498">
        <v>361</v>
      </c>
      <c r="E2498" t="s">
        <v>10</v>
      </c>
      <c r="F2498">
        <v>3449904</v>
      </c>
      <c r="G2498" s="1">
        <v>754</v>
      </c>
      <c r="H2498" s="2">
        <v>331423</v>
      </c>
      <c r="I2498" t="str">
        <f>VLOOKUP(Tabela1[[#This Row],[CO_PAIS]],'[1]nome do paixs'!$A:$B,2,0)</f>
        <v>Índia</v>
      </c>
      <c r="J2498" t="s">
        <v>12</v>
      </c>
    </row>
    <row r="2499" spans="1:10">
      <c r="A2499">
        <v>2022</v>
      </c>
      <c r="B2499">
        <v>12</v>
      </c>
      <c r="C2499">
        <v>8807</v>
      </c>
      <c r="D2499">
        <v>399</v>
      </c>
      <c r="E2499" t="s">
        <v>10</v>
      </c>
      <c r="F2499">
        <v>3449904</v>
      </c>
      <c r="G2499" s="1">
        <v>120</v>
      </c>
      <c r="H2499" s="2">
        <v>103857</v>
      </c>
      <c r="I2499" t="str">
        <f>VLOOKUP(Tabela1[[#This Row],[CO_PAIS]],'[1]nome do paixs'!$A:$B,2,0)</f>
        <v>Japão</v>
      </c>
      <c r="J2499" t="s">
        <v>12</v>
      </c>
    </row>
    <row r="2500" spans="1:10">
      <c r="A2500">
        <v>2022</v>
      </c>
      <c r="B2500">
        <v>12</v>
      </c>
      <c r="C2500">
        <v>8807</v>
      </c>
      <c r="D2500">
        <v>190</v>
      </c>
      <c r="E2500" t="s">
        <v>10</v>
      </c>
      <c r="F2500">
        <v>3454102</v>
      </c>
      <c r="G2500" s="1">
        <v>4737</v>
      </c>
      <c r="H2500" s="2">
        <v>4567878</v>
      </c>
      <c r="I2500" t="str">
        <f>VLOOKUP(Tabela1[[#This Row],[CO_PAIS]],'[1]nome do paixs'!$A:$B,2,0)</f>
        <v>Coreia do Sul</v>
      </c>
      <c r="J2500" t="s">
        <v>11</v>
      </c>
    </row>
    <row r="2501" spans="1:10">
      <c r="A2501">
        <v>2022</v>
      </c>
      <c r="B2501">
        <v>12</v>
      </c>
      <c r="C2501">
        <v>8807</v>
      </c>
      <c r="D2501">
        <v>399</v>
      </c>
      <c r="E2501" t="s">
        <v>10</v>
      </c>
      <c r="F2501">
        <v>3454102</v>
      </c>
      <c r="G2501" s="1">
        <v>269</v>
      </c>
      <c r="H2501" s="2">
        <v>285928</v>
      </c>
      <c r="I2501" t="str">
        <f>VLOOKUP(Tabela1[[#This Row],[CO_PAIS]],'[1]nome do paixs'!$A:$B,2,0)</f>
        <v>Japão</v>
      </c>
      <c r="J2501" t="s">
        <v>11</v>
      </c>
    </row>
    <row r="2502" spans="1:10">
      <c r="A2502">
        <v>2022</v>
      </c>
      <c r="B2502">
        <v>12</v>
      </c>
      <c r="C2502">
        <v>8807</v>
      </c>
      <c r="D2502">
        <v>628</v>
      </c>
      <c r="E2502" t="s">
        <v>10</v>
      </c>
      <c r="F2502">
        <v>3449904</v>
      </c>
      <c r="G2502" s="1">
        <v>770</v>
      </c>
      <c r="H2502" s="2">
        <v>625233</v>
      </c>
      <c r="I2502" t="str">
        <f>VLOOKUP(Tabela1[[#This Row],[CO_PAIS]],'[1]nome do paixs'!$A:$B,2,0)</f>
        <v>Reino Unido</v>
      </c>
      <c r="J2502" t="s">
        <v>12</v>
      </c>
    </row>
    <row r="2503" spans="1:10">
      <c r="A2503">
        <v>2022</v>
      </c>
      <c r="B2503">
        <v>12</v>
      </c>
      <c r="C2503">
        <v>8807</v>
      </c>
      <c r="D2503">
        <v>676</v>
      </c>
      <c r="E2503" t="s">
        <v>10</v>
      </c>
      <c r="F2503">
        <v>3454102</v>
      </c>
      <c r="G2503" s="1">
        <v>318</v>
      </c>
      <c r="H2503" s="2">
        <v>42497</v>
      </c>
      <c r="I2503" t="str">
        <f>VLOOKUP(Tabela1[[#This Row],[CO_PAIS]],'[1]nome do paixs'!$A:$B,2,0)</f>
        <v>Rússia</v>
      </c>
      <c r="J2503" t="s">
        <v>11</v>
      </c>
    </row>
    <row r="2504" spans="1:10">
      <c r="A2504">
        <v>2022</v>
      </c>
      <c r="B2504">
        <v>12</v>
      </c>
      <c r="C2504">
        <v>8807</v>
      </c>
      <c r="D2504">
        <v>607</v>
      </c>
      <c r="E2504" t="s">
        <v>10</v>
      </c>
      <c r="F2504">
        <v>3449904</v>
      </c>
      <c r="G2504" s="1">
        <v>4</v>
      </c>
      <c r="H2504" s="2">
        <v>16862</v>
      </c>
      <c r="I2504" t="str">
        <f>VLOOKUP(Tabela1[[#This Row],[CO_PAIS]],'[1]nome do paixs'!$A:$B,2,0)</f>
        <v>Portugal</v>
      </c>
      <c r="J2504" t="s">
        <v>12</v>
      </c>
    </row>
    <row r="2505" spans="1:10">
      <c r="A2505">
        <v>2022</v>
      </c>
      <c r="B2505">
        <v>12</v>
      </c>
      <c r="C2505">
        <v>8807</v>
      </c>
      <c r="D2505">
        <v>249</v>
      </c>
      <c r="E2505" t="s">
        <v>10</v>
      </c>
      <c r="F2505">
        <v>3424402</v>
      </c>
      <c r="G2505" s="1">
        <v>92</v>
      </c>
      <c r="H2505" s="2">
        <v>29702</v>
      </c>
      <c r="I2505" t="str">
        <f>VLOOKUP(Tabela1[[#This Row],[CO_PAIS]],'[1]nome do paixs'!$A:$B,2,0)</f>
        <v>Estados Unidos</v>
      </c>
      <c r="J2505" t="s">
        <v>13</v>
      </c>
    </row>
    <row r="2506" spans="1:10">
      <c r="A2506">
        <v>2022</v>
      </c>
      <c r="B2506">
        <v>12</v>
      </c>
      <c r="C2506">
        <v>8807</v>
      </c>
      <c r="D2506">
        <v>607</v>
      </c>
      <c r="E2506" t="s">
        <v>10</v>
      </c>
      <c r="F2506">
        <v>3454102</v>
      </c>
      <c r="G2506" s="1">
        <v>11125</v>
      </c>
      <c r="H2506" s="2">
        <v>4573945</v>
      </c>
      <c r="I2506" t="str">
        <f>VLOOKUP(Tabela1[[#This Row],[CO_PAIS]],'[1]nome do paixs'!$A:$B,2,0)</f>
        <v>Portugal</v>
      </c>
      <c r="J2506" t="s">
        <v>11</v>
      </c>
    </row>
    <row r="2507" spans="1:10">
      <c r="A2507">
        <v>2022</v>
      </c>
      <c r="B2507">
        <v>12</v>
      </c>
      <c r="C2507">
        <v>8807</v>
      </c>
      <c r="D2507">
        <v>23</v>
      </c>
      <c r="E2507" t="s">
        <v>10</v>
      </c>
      <c r="F2507">
        <v>3454102</v>
      </c>
      <c r="G2507" s="1">
        <v>18367</v>
      </c>
      <c r="H2507" s="2">
        <v>1049780</v>
      </c>
      <c r="I2507" t="str">
        <f>VLOOKUP(Tabela1[[#This Row],[CO_PAIS]],'[1]nome do paixs'!$A:$B,2,0)</f>
        <v>Alemanha</v>
      </c>
      <c r="J2507" t="s">
        <v>11</v>
      </c>
    </row>
    <row r="2508" spans="1:10">
      <c r="A2508">
        <v>2022</v>
      </c>
      <c r="B2508">
        <v>12</v>
      </c>
      <c r="C2508">
        <v>8807</v>
      </c>
      <c r="D2508">
        <v>105</v>
      </c>
      <c r="E2508" t="s">
        <v>10</v>
      </c>
      <c r="F2508">
        <v>3454102</v>
      </c>
      <c r="G2508" s="1">
        <v>4755</v>
      </c>
      <c r="H2508" s="2">
        <v>4557096</v>
      </c>
      <c r="I2508" t="str">
        <f>VLOOKUP(Tabela1[[#This Row],[CO_PAIS]],'[1]nome do paixs'!$A:$B,2,0)</f>
        <v>Brasil</v>
      </c>
      <c r="J2508" t="s">
        <v>11</v>
      </c>
    </row>
    <row r="2509" spans="1:10">
      <c r="A2509">
        <v>2022</v>
      </c>
      <c r="B2509">
        <v>12</v>
      </c>
      <c r="C2509">
        <v>8807</v>
      </c>
      <c r="D2509">
        <v>245</v>
      </c>
      <c r="E2509" t="s">
        <v>10</v>
      </c>
      <c r="F2509">
        <v>3454102</v>
      </c>
      <c r="G2509" s="1">
        <v>2128</v>
      </c>
      <c r="H2509" s="2">
        <v>1670249</v>
      </c>
      <c r="I2509" t="str">
        <f>VLOOKUP(Tabela1[[#This Row],[CO_PAIS]],'[1]nome do paixs'!$A:$B,2,0)</f>
        <v>Espanha</v>
      </c>
      <c r="J2509" t="s">
        <v>11</v>
      </c>
    </row>
    <row r="2510" spans="1:10">
      <c r="A2510">
        <v>2022</v>
      </c>
      <c r="B2510">
        <v>12</v>
      </c>
      <c r="C2510">
        <v>8807</v>
      </c>
      <c r="D2510">
        <v>791</v>
      </c>
      <c r="E2510" t="s">
        <v>10</v>
      </c>
      <c r="F2510">
        <v>3454102</v>
      </c>
      <c r="G2510" s="1">
        <v>0</v>
      </c>
      <c r="H2510" s="2">
        <v>1529</v>
      </c>
      <c r="I2510" t="str">
        <f>VLOOKUP(Tabela1[[#This Row],[CO_PAIS]],'[1]nome do paixs'!$A:$B,2,0)</f>
        <v>Tcheca, República</v>
      </c>
      <c r="J2510" t="s">
        <v>11</v>
      </c>
    </row>
    <row r="2511" spans="1:10">
      <c r="A2511">
        <v>2021</v>
      </c>
      <c r="B2511">
        <v>12</v>
      </c>
      <c r="C2511">
        <v>8803</v>
      </c>
      <c r="D2511">
        <v>399</v>
      </c>
      <c r="E2511" t="s">
        <v>10</v>
      </c>
      <c r="F2511">
        <v>3454102</v>
      </c>
      <c r="G2511" s="1">
        <v>0</v>
      </c>
      <c r="H2511" s="2">
        <v>1980</v>
      </c>
      <c r="I2511" t="str">
        <f>VLOOKUP(Tabela1[[#This Row],[CO_PAIS]],'[1]nome do paixs'!$A:$B,2,0)</f>
        <v>Japão</v>
      </c>
      <c r="J2511" t="s">
        <v>11</v>
      </c>
    </row>
    <row r="2512" spans="1:10">
      <c r="A2512">
        <v>2021</v>
      </c>
      <c r="B2512">
        <v>12</v>
      </c>
      <c r="C2512">
        <v>8803</v>
      </c>
      <c r="D2512">
        <v>87</v>
      </c>
      <c r="E2512" t="s">
        <v>10</v>
      </c>
      <c r="F2512">
        <v>3454102</v>
      </c>
      <c r="G2512" s="1">
        <v>10</v>
      </c>
      <c r="H2512" s="2">
        <v>7516</v>
      </c>
      <c r="I2512" t="str">
        <f>VLOOKUP(Tabela1[[#This Row],[CO_PAIS]],'[1]nome do paixs'!$A:$B,2,0)</f>
        <v>Bélgica</v>
      </c>
      <c r="J2512" t="s">
        <v>11</v>
      </c>
    </row>
    <row r="2513" spans="1:10">
      <c r="A2513">
        <v>2021</v>
      </c>
      <c r="B2513">
        <v>12</v>
      </c>
      <c r="C2513">
        <v>8803</v>
      </c>
      <c r="D2513">
        <v>23</v>
      </c>
      <c r="E2513" t="s">
        <v>10</v>
      </c>
      <c r="F2513">
        <v>3454102</v>
      </c>
      <c r="G2513" s="1">
        <v>699</v>
      </c>
      <c r="H2513" s="2">
        <v>201641</v>
      </c>
      <c r="I2513" t="str">
        <f>VLOOKUP(Tabela1[[#This Row],[CO_PAIS]],'[1]nome do paixs'!$A:$B,2,0)</f>
        <v>Alemanha</v>
      </c>
      <c r="J2513" t="s">
        <v>11</v>
      </c>
    </row>
    <row r="2514" spans="1:10">
      <c r="A2514">
        <v>2021</v>
      </c>
      <c r="B2514">
        <v>12</v>
      </c>
      <c r="C2514">
        <v>8803</v>
      </c>
      <c r="D2514">
        <v>791</v>
      </c>
      <c r="E2514" t="s">
        <v>10</v>
      </c>
      <c r="F2514">
        <v>3424402</v>
      </c>
      <c r="G2514" s="1">
        <v>280</v>
      </c>
      <c r="H2514" s="2">
        <v>240755</v>
      </c>
      <c r="I2514" t="str">
        <f>VLOOKUP(Tabela1[[#This Row],[CO_PAIS]],'[1]nome do paixs'!$A:$B,2,0)</f>
        <v>Tcheca, República</v>
      </c>
      <c r="J2514" t="s">
        <v>13</v>
      </c>
    </row>
    <row r="2515" spans="1:10">
      <c r="A2515">
        <v>2021</v>
      </c>
      <c r="B2515">
        <v>12</v>
      </c>
      <c r="C2515">
        <v>8803</v>
      </c>
      <c r="D2515">
        <v>493</v>
      </c>
      <c r="E2515" t="s">
        <v>10</v>
      </c>
      <c r="F2515">
        <v>3449904</v>
      </c>
      <c r="G2515" s="1">
        <v>1218</v>
      </c>
      <c r="H2515" s="2">
        <v>542195</v>
      </c>
      <c r="I2515" t="str">
        <f>VLOOKUP(Tabela1[[#This Row],[CO_PAIS]],'[1]nome do paixs'!$A:$B,2,0)</f>
        <v>México</v>
      </c>
      <c r="J2515" t="s">
        <v>12</v>
      </c>
    </row>
    <row r="2516" spans="1:10">
      <c r="A2516">
        <v>2021</v>
      </c>
      <c r="B2516">
        <v>12</v>
      </c>
      <c r="C2516">
        <v>8803</v>
      </c>
      <c r="D2516">
        <v>375</v>
      </c>
      <c r="E2516" t="s">
        <v>10</v>
      </c>
      <c r="F2516">
        <v>3454102</v>
      </c>
      <c r="G2516" s="1">
        <v>29</v>
      </c>
      <c r="H2516" s="2">
        <v>7289</v>
      </c>
      <c r="I2516" t="str">
        <f>VLOOKUP(Tabela1[[#This Row],[CO_PAIS]],'[1]nome do paixs'!$A:$B,2,0)</f>
        <v>Irlanda</v>
      </c>
      <c r="J2516" t="s">
        <v>11</v>
      </c>
    </row>
    <row r="2517" spans="1:10">
      <c r="A2517">
        <v>2021</v>
      </c>
      <c r="B2517">
        <v>12</v>
      </c>
      <c r="C2517">
        <v>8803</v>
      </c>
      <c r="D2517">
        <v>607</v>
      </c>
      <c r="E2517" t="s">
        <v>10</v>
      </c>
      <c r="F2517">
        <v>3449904</v>
      </c>
      <c r="G2517" s="1">
        <v>4</v>
      </c>
      <c r="H2517" s="2">
        <v>9418</v>
      </c>
      <c r="I2517" t="str">
        <f>VLOOKUP(Tabela1[[#This Row],[CO_PAIS]],'[1]nome do paixs'!$A:$B,2,0)</f>
        <v>Portugal</v>
      </c>
      <c r="J2517" t="s">
        <v>12</v>
      </c>
    </row>
    <row r="2518" spans="1:10">
      <c r="A2518">
        <v>2021</v>
      </c>
      <c r="B2518">
        <v>12</v>
      </c>
      <c r="C2518">
        <v>8803</v>
      </c>
      <c r="D2518">
        <v>275</v>
      </c>
      <c r="E2518" t="s">
        <v>10</v>
      </c>
      <c r="F2518">
        <v>3424402</v>
      </c>
      <c r="G2518" s="1">
        <v>197</v>
      </c>
      <c r="H2518" s="2">
        <v>330361</v>
      </c>
      <c r="I2518" t="str">
        <f>VLOOKUP(Tabela1[[#This Row],[CO_PAIS]],'[1]nome do paixs'!$A:$B,2,0)</f>
        <v>França</v>
      </c>
      <c r="J2518" t="s">
        <v>13</v>
      </c>
    </row>
    <row r="2519" spans="1:10">
      <c r="A2519">
        <v>2021</v>
      </c>
      <c r="B2519">
        <v>12</v>
      </c>
      <c r="C2519">
        <v>8803</v>
      </c>
      <c r="D2519">
        <v>275</v>
      </c>
      <c r="E2519" t="s">
        <v>10</v>
      </c>
      <c r="F2519">
        <v>3449904</v>
      </c>
      <c r="G2519" s="1">
        <v>177</v>
      </c>
      <c r="H2519" s="2">
        <v>101398</v>
      </c>
      <c r="I2519" t="str">
        <f>VLOOKUP(Tabela1[[#This Row],[CO_PAIS]],'[1]nome do paixs'!$A:$B,2,0)</f>
        <v>França</v>
      </c>
      <c r="J2519" t="s">
        <v>12</v>
      </c>
    </row>
    <row r="2520" spans="1:10">
      <c r="A2520">
        <v>2021</v>
      </c>
      <c r="B2520">
        <v>12</v>
      </c>
      <c r="C2520">
        <v>8803</v>
      </c>
      <c r="D2520">
        <v>741</v>
      </c>
      <c r="E2520" t="s">
        <v>10</v>
      </c>
      <c r="F2520">
        <v>3449904</v>
      </c>
      <c r="G2520" s="1">
        <v>84</v>
      </c>
      <c r="H2520" s="2">
        <v>78556</v>
      </c>
      <c r="I2520" t="str">
        <f>VLOOKUP(Tabela1[[#This Row],[CO_PAIS]],'[1]nome do paixs'!$A:$B,2,0)</f>
        <v>Singapura</v>
      </c>
      <c r="J2520" t="s">
        <v>12</v>
      </c>
    </row>
    <row r="2521" spans="1:10">
      <c r="A2521">
        <v>2021</v>
      </c>
      <c r="B2521">
        <v>12</v>
      </c>
      <c r="C2521">
        <v>8803</v>
      </c>
      <c r="D2521">
        <v>493</v>
      </c>
      <c r="E2521" t="s">
        <v>10</v>
      </c>
      <c r="F2521">
        <v>3454102</v>
      </c>
      <c r="G2521" s="1">
        <v>5437</v>
      </c>
      <c r="H2521" s="2">
        <v>2382040</v>
      </c>
      <c r="I2521" t="str">
        <f>VLOOKUP(Tabela1[[#This Row],[CO_PAIS]],'[1]nome do paixs'!$A:$B,2,0)</f>
        <v>México</v>
      </c>
      <c r="J2521" t="s">
        <v>11</v>
      </c>
    </row>
    <row r="2522" spans="1:10">
      <c r="A2522">
        <v>2021</v>
      </c>
      <c r="B2522">
        <v>12</v>
      </c>
      <c r="C2522">
        <v>8803</v>
      </c>
      <c r="D2522">
        <v>251</v>
      </c>
      <c r="E2522" t="s">
        <v>10</v>
      </c>
      <c r="F2522">
        <v>3449904</v>
      </c>
      <c r="G2522" s="1">
        <v>0</v>
      </c>
      <c r="H2522" s="2">
        <v>108</v>
      </c>
      <c r="I2522" t="str">
        <f>VLOOKUP(Tabela1[[#This Row],[CO_PAIS]],'[1]nome do paixs'!$A:$B,2,0)</f>
        <v>Estônia</v>
      </c>
      <c r="J2522" t="s">
        <v>12</v>
      </c>
    </row>
    <row r="2523" spans="1:10">
      <c r="A2523">
        <v>2021</v>
      </c>
      <c r="B2523">
        <v>12</v>
      </c>
      <c r="C2523">
        <v>8803</v>
      </c>
      <c r="D2523">
        <v>607</v>
      </c>
      <c r="E2523" t="s">
        <v>10</v>
      </c>
      <c r="F2523">
        <v>3454102</v>
      </c>
      <c r="G2523" s="1">
        <v>7491</v>
      </c>
      <c r="H2523" s="2">
        <v>2392553</v>
      </c>
      <c r="I2523" t="str">
        <f>VLOOKUP(Tabela1[[#This Row],[CO_PAIS]],'[1]nome do paixs'!$A:$B,2,0)</f>
        <v>Portugal</v>
      </c>
      <c r="J2523" t="s">
        <v>11</v>
      </c>
    </row>
    <row r="2524" spans="1:10">
      <c r="A2524">
        <v>2021</v>
      </c>
      <c r="B2524">
        <v>12</v>
      </c>
      <c r="C2524">
        <v>8803</v>
      </c>
      <c r="D2524">
        <v>245</v>
      </c>
      <c r="E2524" t="s">
        <v>10</v>
      </c>
      <c r="F2524">
        <v>3424402</v>
      </c>
      <c r="G2524" s="1">
        <v>205</v>
      </c>
      <c r="H2524" s="2">
        <v>96557</v>
      </c>
      <c r="I2524" t="str">
        <f>VLOOKUP(Tabela1[[#This Row],[CO_PAIS]],'[1]nome do paixs'!$A:$B,2,0)</f>
        <v>Espanha</v>
      </c>
      <c r="J2524" t="s">
        <v>13</v>
      </c>
    </row>
    <row r="2525" spans="1:10">
      <c r="A2525">
        <v>2021</v>
      </c>
      <c r="B2525">
        <v>12</v>
      </c>
      <c r="C2525">
        <v>8803</v>
      </c>
      <c r="D2525">
        <v>474</v>
      </c>
      <c r="E2525" t="s">
        <v>10</v>
      </c>
      <c r="F2525">
        <v>3454102</v>
      </c>
      <c r="G2525" s="1">
        <v>184</v>
      </c>
      <c r="H2525" s="2">
        <v>356727</v>
      </c>
      <c r="I2525" t="str">
        <f>VLOOKUP(Tabela1[[#This Row],[CO_PAIS]],'[1]nome do paixs'!$A:$B,2,0)</f>
        <v>Marrocos</v>
      </c>
      <c r="J2525" t="s">
        <v>11</v>
      </c>
    </row>
    <row r="2526" spans="1:10">
      <c r="A2526">
        <v>2021</v>
      </c>
      <c r="B2526">
        <v>12</v>
      </c>
      <c r="C2526">
        <v>8803</v>
      </c>
      <c r="D2526">
        <v>245</v>
      </c>
      <c r="E2526" t="s">
        <v>10</v>
      </c>
      <c r="F2526">
        <v>3454102</v>
      </c>
      <c r="G2526" s="1">
        <v>668</v>
      </c>
      <c r="H2526" s="2">
        <v>812329</v>
      </c>
      <c r="I2526" t="str">
        <f>VLOOKUP(Tabela1[[#This Row],[CO_PAIS]],'[1]nome do paixs'!$A:$B,2,0)</f>
        <v>Espanha</v>
      </c>
      <c r="J2526" t="s">
        <v>11</v>
      </c>
    </row>
    <row r="2527" spans="1:10">
      <c r="A2527">
        <v>2021</v>
      </c>
      <c r="B2527">
        <v>12</v>
      </c>
      <c r="C2527">
        <v>8803</v>
      </c>
      <c r="D2527">
        <v>245</v>
      </c>
      <c r="E2527" t="s">
        <v>10</v>
      </c>
      <c r="F2527">
        <v>3449904</v>
      </c>
      <c r="G2527" s="1">
        <v>2518</v>
      </c>
      <c r="H2527" s="2">
        <v>1141532</v>
      </c>
      <c r="I2527" t="str">
        <f>VLOOKUP(Tabela1[[#This Row],[CO_PAIS]],'[1]nome do paixs'!$A:$B,2,0)</f>
        <v>Espanha</v>
      </c>
      <c r="J2527" t="s">
        <v>12</v>
      </c>
    </row>
    <row r="2528" spans="1:10">
      <c r="A2528">
        <v>2021</v>
      </c>
      <c r="B2528">
        <v>12</v>
      </c>
      <c r="C2528">
        <v>8803</v>
      </c>
      <c r="D2528">
        <v>275</v>
      </c>
      <c r="E2528" t="s">
        <v>10</v>
      </c>
      <c r="F2528">
        <v>3454102</v>
      </c>
      <c r="G2528" s="1">
        <v>1802</v>
      </c>
      <c r="H2528" s="2">
        <v>2543728</v>
      </c>
      <c r="I2528" t="str">
        <f>VLOOKUP(Tabela1[[#This Row],[CO_PAIS]],'[1]nome do paixs'!$A:$B,2,0)</f>
        <v>França</v>
      </c>
      <c r="J2528" t="s">
        <v>11</v>
      </c>
    </row>
    <row r="2529" spans="1:10">
      <c r="A2529">
        <v>2021</v>
      </c>
      <c r="B2529">
        <v>12</v>
      </c>
      <c r="C2529">
        <v>8803</v>
      </c>
      <c r="D2529">
        <v>105</v>
      </c>
      <c r="E2529" t="s">
        <v>10</v>
      </c>
      <c r="F2529">
        <v>3454102</v>
      </c>
      <c r="G2529" s="1">
        <v>1522</v>
      </c>
      <c r="H2529" s="2">
        <v>1138097</v>
      </c>
      <c r="I2529" t="str">
        <f>VLOOKUP(Tabela1[[#This Row],[CO_PAIS]],'[1]nome do paixs'!$A:$B,2,0)</f>
        <v>Brasil</v>
      </c>
      <c r="J2529" t="s">
        <v>11</v>
      </c>
    </row>
    <row r="2530" spans="1:10">
      <c r="A2530">
        <v>2021</v>
      </c>
      <c r="B2530">
        <v>12</v>
      </c>
      <c r="C2530">
        <v>8803</v>
      </c>
      <c r="D2530">
        <v>87</v>
      </c>
      <c r="E2530" t="s">
        <v>10</v>
      </c>
      <c r="F2530">
        <v>3449904</v>
      </c>
      <c r="G2530" s="1">
        <v>186</v>
      </c>
      <c r="H2530" s="2">
        <v>176661</v>
      </c>
      <c r="I2530" t="str">
        <f>VLOOKUP(Tabela1[[#This Row],[CO_PAIS]],'[1]nome do paixs'!$A:$B,2,0)</f>
        <v>Bélgica</v>
      </c>
      <c r="J2530" t="s">
        <v>12</v>
      </c>
    </row>
    <row r="2531" spans="1:10">
      <c r="A2531">
        <v>2021</v>
      </c>
      <c r="B2531">
        <v>12</v>
      </c>
      <c r="C2531">
        <v>8803</v>
      </c>
      <c r="D2531">
        <v>105</v>
      </c>
      <c r="E2531" t="s">
        <v>10</v>
      </c>
      <c r="F2531">
        <v>3449904</v>
      </c>
      <c r="G2531" s="1">
        <v>6315</v>
      </c>
      <c r="H2531" s="2">
        <v>3868041</v>
      </c>
      <c r="I2531" t="str">
        <f>VLOOKUP(Tabela1[[#This Row],[CO_PAIS]],'[1]nome do paixs'!$A:$B,2,0)</f>
        <v>Brasil</v>
      </c>
      <c r="J2531" t="s">
        <v>12</v>
      </c>
    </row>
    <row r="2532" spans="1:10">
      <c r="A2532">
        <v>2021</v>
      </c>
      <c r="B2532">
        <v>12</v>
      </c>
      <c r="C2532">
        <v>8803</v>
      </c>
      <c r="D2532">
        <v>249</v>
      </c>
      <c r="E2532" t="s">
        <v>10</v>
      </c>
      <c r="F2532">
        <v>3454102</v>
      </c>
      <c r="G2532" s="1">
        <v>8625</v>
      </c>
      <c r="H2532" s="2">
        <v>2876182</v>
      </c>
      <c r="I2532" t="str">
        <f>VLOOKUP(Tabela1[[#This Row],[CO_PAIS]],'[1]nome do paixs'!$A:$B,2,0)</f>
        <v>Estados Unidos</v>
      </c>
      <c r="J2532" t="s">
        <v>11</v>
      </c>
    </row>
    <row r="2533" spans="1:10">
      <c r="A2533">
        <v>2021</v>
      </c>
      <c r="B2533">
        <v>12</v>
      </c>
      <c r="C2533">
        <v>8803</v>
      </c>
      <c r="D2533">
        <v>628</v>
      </c>
      <c r="E2533" t="s">
        <v>10</v>
      </c>
      <c r="F2533">
        <v>3449904</v>
      </c>
      <c r="G2533" s="1">
        <v>376</v>
      </c>
      <c r="H2533" s="2">
        <v>141274</v>
      </c>
      <c r="I2533" t="str">
        <f>VLOOKUP(Tabela1[[#This Row],[CO_PAIS]],'[1]nome do paixs'!$A:$B,2,0)</f>
        <v>Reino Unido</v>
      </c>
      <c r="J2533" t="s">
        <v>12</v>
      </c>
    </row>
    <row r="2534" spans="1:10">
      <c r="A2534">
        <v>2021</v>
      </c>
      <c r="B2534">
        <v>12</v>
      </c>
      <c r="C2534">
        <v>8803</v>
      </c>
      <c r="D2534">
        <v>386</v>
      </c>
      <c r="E2534" t="s">
        <v>10</v>
      </c>
      <c r="F2534">
        <v>3449904</v>
      </c>
      <c r="G2534" s="1">
        <v>10</v>
      </c>
      <c r="H2534" s="2">
        <v>17998</v>
      </c>
      <c r="I2534" t="str">
        <f>VLOOKUP(Tabela1[[#This Row],[CO_PAIS]],'[1]nome do paixs'!$A:$B,2,0)</f>
        <v>Itália</v>
      </c>
      <c r="J2534" t="s">
        <v>12</v>
      </c>
    </row>
    <row r="2535" spans="1:10">
      <c r="A2535">
        <v>2021</v>
      </c>
      <c r="B2535">
        <v>12</v>
      </c>
      <c r="C2535">
        <v>8803</v>
      </c>
      <c r="D2535">
        <v>361</v>
      </c>
      <c r="E2535" t="s">
        <v>10</v>
      </c>
      <c r="F2535">
        <v>3449904</v>
      </c>
      <c r="G2535" s="1">
        <v>54</v>
      </c>
      <c r="H2535" s="2">
        <v>24538</v>
      </c>
      <c r="I2535" t="str">
        <f>VLOOKUP(Tabela1[[#This Row],[CO_PAIS]],'[1]nome do paixs'!$A:$B,2,0)</f>
        <v>Índia</v>
      </c>
      <c r="J2535" t="s">
        <v>12</v>
      </c>
    </row>
    <row r="2536" spans="1:10">
      <c r="A2536">
        <v>2021</v>
      </c>
      <c r="B2536">
        <v>12</v>
      </c>
      <c r="C2536">
        <v>8803</v>
      </c>
      <c r="D2536">
        <v>791</v>
      </c>
      <c r="E2536" t="s">
        <v>10</v>
      </c>
      <c r="F2536">
        <v>3449904</v>
      </c>
      <c r="G2536" s="1">
        <v>0</v>
      </c>
      <c r="H2536" s="2">
        <v>516</v>
      </c>
      <c r="I2536" t="str">
        <f>VLOOKUP(Tabela1[[#This Row],[CO_PAIS]],'[1]nome do paixs'!$A:$B,2,0)</f>
        <v>Tcheca, República</v>
      </c>
      <c r="J2536" t="s">
        <v>12</v>
      </c>
    </row>
    <row r="2537" spans="1:10">
      <c r="A2537">
        <v>2021</v>
      </c>
      <c r="B2537">
        <v>12</v>
      </c>
      <c r="C2537">
        <v>8803</v>
      </c>
      <c r="D2537">
        <v>249</v>
      </c>
      <c r="E2537" t="s">
        <v>10</v>
      </c>
      <c r="F2537">
        <v>3449904</v>
      </c>
      <c r="G2537" s="1">
        <v>2430</v>
      </c>
      <c r="H2537" s="2">
        <v>1962277</v>
      </c>
      <c r="I2537" t="str">
        <f>VLOOKUP(Tabela1[[#This Row],[CO_PAIS]],'[1]nome do paixs'!$A:$B,2,0)</f>
        <v>Estados Unidos</v>
      </c>
      <c r="J2537" t="s">
        <v>12</v>
      </c>
    </row>
    <row r="2538" spans="1:10">
      <c r="A2538">
        <v>2021</v>
      </c>
      <c r="B2538">
        <v>12</v>
      </c>
      <c r="C2538">
        <v>8803</v>
      </c>
      <c r="D2538">
        <v>386</v>
      </c>
      <c r="E2538" t="s">
        <v>10</v>
      </c>
      <c r="F2538">
        <v>3454102</v>
      </c>
      <c r="G2538" s="1">
        <v>576</v>
      </c>
      <c r="H2538" s="2">
        <v>1490338</v>
      </c>
      <c r="I2538" t="str">
        <f>VLOOKUP(Tabela1[[#This Row],[CO_PAIS]],'[1]nome do paixs'!$A:$B,2,0)</f>
        <v>Itália</v>
      </c>
      <c r="J2538" t="s">
        <v>11</v>
      </c>
    </row>
    <row r="2539" spans="1:10">
      <c r="A2539">
        <v>2021</v>
      </c>
      <c r="B2539">
        <v>12</v>
      </c>
      <c r="C2539">
        <v>8803</v>
      </c>
      <c r="D2539">
        <v>190</v>
      </c>
      <c r="E2539" t="s">
        <v>10</v>
      </c>
      <c r="F2539">
        <v>3454102</v>
      </c>
      <c r="G2539" s="1">
        <v>3423</v>
      </c>
      <c r="H2539" s="2">
        <v>3066308</v>
      </c>
      <c r="I2539" t="str">
        <f>VLOOKUP(Tabela1[[#This Row],[CO_PAIS]],'[1]nome do paixs'!$A:$B,2,0)</f>
        <v>Coreia do Sul</v>
      </c>
      <c r="J2539" t="s">
        <v>11</v>
      </c>
    </row>
    <row r="2540" spans="1:10">
      <c r="A2540">
        <v>2021</v>
      </c>
      <c r="B2540">
        <v>12</v>
      </c>
      <c r="C2540">
        <v>8803</v>
      </c>
      <c r="D2540">
        <v>676</v>
      </c>
      <c r="E2540" t="s">
        <v>10</v>
      </c>
      <c r="F2540">
        <v>3449904</v>
      </c>
      <c r="G2540" s="1">
        <v>4</v>
      </c>
      <c r="H2540" s="2">
        <v>34408</v>
      </c>
      <c r="I2540" t="str">
        <f>VLOOKUP(Tabela1[[#This Row],[CO_PAIS]],'[1]nome do paixs'!$A:$B,2,0)</f>
        <v>Rússia</v>
      </c>
      <c r="J2540" t="s">
        <v>12</v>
      </c>
    </row>
    <row r="2541" spans="1:10">
      <c r="A2541">
        <v>2021</v>
      </c>
      <c r="B2541">
        <v>12</v>
      </c>
      <c r="C2541">
        <v>8803</v>
      </c>
      <c r="D2541">
        <v>23</v>
      </c>
      <c r="E2541" t="s">
        <v>10</v>
      </c>
      <c r="F2541">
        <v>3449904</v>
      </c>
      <c r="G2541" s="1">
        <v>65403</v>
      </c>
      <c r="H2541" s="2">
        <v>31500</v>
      </c>
      <c r="I2541" t="str">
        <f>VLOOKUP(Tabela1[[#This Row],[CO_PAIS]],'[1]nome do paixs'!$A:$B,2,0)</f>
        <v>Alemanha</v>
      </c>
      <c r="J2541" t="s">
        <v>12</v>
      </c>
    </row>
    <row r="2542" spans="1:10">
      <c r="A2542">
        <v>2021</v>
      </c>
      <c r="B2542">
        <v>12</v>
      </c>
      <c r="C2542">
        <v>8803</v>
      </c>
      <c r="D2542">
        <v>628</v>
      </c>
      <c r="E2542" t="s">
        <v>10</v>
      </c>
      <c r="F2542">
        <v>3454102</v>
      </c>
      <c r="G2542" s="1">
        <v>75</v>
      </c>
      <c r="H2542" s="2">
        <v>71490</v>
      </c>
      <c r="I2542" t="str">
        <f>VLOOKUP(Tabela1[[#This Row],[CO_PAIS]],'[1]nome do paixs'!$A:$B,2,0)</f>
        <v>Reino Unido</v>
      </c>
      <c r="J2542" t="s">
        <v>11</v>
      </c>
    </row>
    <row r="2543" spans="1:10">
      <c r="A2543">
        <v>2021</v>
      </c>
      <c r="B2543">
        <v>12</v>
      </c>
      <c r="C2543">
        <v>8803</v>
      </c>
      <c r="D2543">
        <v>190</v>
      </c>
      <c r="E2543" t="s">
        <v>10</v>
      </c>
      <c r="F2543">
        <v>3449904</v>
      </c>
      <c r="G2543" s="1">
        <v>1</v>
      </c>
      <c r="H2543" s="2">
        <v>3213</v>
      </c>
      <c r="I2543" t="str">
        <f>VLOOKUP(Tabela1[[#This Row],[CO_PAIS]],'[1]nome do paixs'!$A:$B,2,0)</f>
        <v>Coreia do Sul</v>
      </c>
      <c r="J2543" t="s">
        <v>12</v>
      </c>
    </row>
    <row r="2544" spans="1:10">
      <c r="A2544">
        <v>2021</v>
      </c>
      <c r="B2544">
        <v>12</v>
      </c>
      <c r="C2544">
        <v>8803</v>
      </c>
      <c r="D2544">
        <v>72</v>
      </c>
      <c r="E2544" t="s">
        <v>10</v>
      </c>
      <c r="F2544">
        <v>3454102</v>
      </c>
      <c r="G2544" s="1">
        <v>132</v>
      </c>
      <c r="H2544" s="2">
        <v>191763</v>
      </c>
      <c r="I2544" t="str">
        <f>VLOOKUP(Tabela1[[#This Row],[CO_PAIS]],'[1]nome do paixs'!$A:$B,2,0)</f>
        <v>Áustria</v>
      </c>
      <c r="J2544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A5A2-25AB-4394-A6F9-04894100B222}">
  <dimension ref="A1:J2042"/>
  <sheetViews>
    <sheetView tabSelected="1" workbookViewId="0">
      <pane ySplit="1" topLeftCell="A1496" activePane="bottomLeft" state="frozen"/>
      <selection pane="bottomLeft" activeCell="L1505" sqref="L1505"/>
    </sheetView>
  </sheetViews>
  <sheetFormatPr defaultRowHeight="15"/>
  <cols>
    <col min="5" max="5" width="9.42578125" customWidth="1"/>
    <col min="6" max="6" width="12.85546875" bestFit="1" customWidth="1"/>
    <col min="7" max="7" width="13.28515625" style="1" bestFit="1" customWidth="1"/>
    <col min="8" max="8" width="13.85546875" style="2" bestFit="1" customWidth="1"/>
    <col min="9" max="9" width="20.85546875" customWidth="1"/>
    <col min="10" max="10" width="20.28515625" bestFit="1" customWidth="1"/>
  </cols>
  <sheetData>
    <row r="1" spans="1:10">
      <c r="A1" t="s">
        <v>15</v>
      </c>
      <c r="B1" t="s">
        <v>16</v>
      </c>
      <c r="C1" t="s">
        <v>2</v>
      </c>
      <c r="D1" t="s">
        <v>17</v>
      </c>
      <c r="E1" t="s">
        <v>18</v>
      </c>
      <c r="F1" t="s">
        <v>19</v>
      </c>
      <c r="G1" s="1" t="s">
        <v>20</v>
      </c>
      <c r="H1" s="2" t="s">
        <v>21</v>
      </c>
      <c r="I1" t="s">
        <v>22</v>
      </c>
      <c r="J1" t="s">
        <v>23</v>
      </c>
    </row>
    <row r="2" spans="1:10">
      <c r="A2">
        <v>2025</v>
      </c>
      <c r="B2">
        <v>1</v>
      </c>
      <c r="C2">
        <v>8807</v>
      </c>
      <c r="D2">
        <v>87</v>
      </c>
      <c r="E2" t="s">
        <v>10</v>
      </c>
      <c r="F2">
        <v>3454102</v>
      </c>
      <c r="G2" s="1">
        <v>16</v>
      </c>
      <c r="H2" s="2">
        <v>15808</v>
      </c>
      <c r="I2" t="str">
        <f>VLOOKUP(Tabela2[[#This Row],[PAIS]],'[1]nome do paixs'!$A:$B,2,0)</f>
        <v>Bélgica</v>
      </c>
      <c r="J2" t="s">
        <v>11</v>
      </c>
    </row>
    <row r="3" spans="1:10">
      <c r="A3">
        <v>2025</v>
      </c>
      <c r="B3">
        <v>4</v>
      </c>
      <c r="C3">
        <v>8807</v>
      </c>
      <c r="D3">
        <v>628</v>
      </c>
      <c r="E3" t="s">
        <v>10</v>
      </c>
      <c r="F3">
        <v>3454102</v>
      </c>
      <c r="G3" s="1">
        <v>4</v>
      </c>
      <c r="H3" s="2">
        <v>5321</v>
      </c>
      <c r="I3" t="str">
        <f>VLOOKUP(Tabela2[[#This Row],[PAIS]],'[1]nome do paixs'!$A:$B,2,0)</f>
        <v>Reino Unido</v>
      </c>
      <c r="J3" t="s">
        <v>11</v>
      </c>
    </row>
    <row r="4" spans="1:10">
      <c r="A4">
        <v>2025</v>
      </c>
      <c r="B4">
        <v>6</v>
      </c>
      <c r="C4">
        <v>8807</v>
      </c>
      <c r="D4">
        <v>756</v>
      </c>
      <c r="E4" t="s">
        <v>10</v>
      </c>
      <c r="F4">
        <v>3454102</v>
      </c>
      <c r="G4" s="1">
        <v>0</v>
      </c>
      <c r="H4" s="2">
        <v>638</v>
      </c>
      <c r="I4" t="str">
        <f>VLOOKUP(Tabela2[[#This Row],[PAIS]],'[1]nome do paixs'!$A:$B,2,0)</f>
        <v>África do Sul</v>
      </c>
      <c r="J4" t="s">
        <v>11</v>
      </c>
    </row>
    <row r="5" spans="1:10">
      <c r="A5">
        <v>2025</v>
      </c>
      <c r="B5">
        <v>4</v>
      </c>
      <c r="C5">
        <v>8807</v>
      </c>
      <c r="D5">
        <v>23</v>
      </c>
      <c r="E5" t="s">
        <v>10</v>
      </c>
      <c r="F5">
        <v>3454102</v>
      </c>
      <c r="G5" s="1">
        <v>4</v>
      </c>
      <c r="H5" s="2">
        <v>32449</v>
      </c>
      <c r="I5" t="str">
        <f>VLOOKUP(Tabela2[[#This Row],[PAIS]],'[1]nome do paixs'!$A:$B,2,0)</f>
        <v>Alemanha</v>
      </c>
      <c r="J5" t="s">
        <v>11</v>
      </c>
    </row>
    <row r="6" spans="1:10">
      <c r="A6">
        <v>2025</v>
      </c>
      <c r="B6">
        <v>2</v>
      </c>
      <c r="C6">
        <v>8807</v>
      </c>
      <c r="D6">
        <v>249</v>
      </c>
      <c r="E6" t="s">
        <v>10</v>
      </c>
      <c r="F6">
        <v>3454102</v>
      </c>
      <c r="G6" s="1">
        <v>413</v>
      </c>
      <c r="H6" s="2">
        <v>197337</v>
      </c>
      <c r="I6" t="str">
        <f>VLOOKUP(Tabela2[[#This Row],[PAIS]],'[1]nome do paixs'!$A:$B,2,0)</f>
        <v>Estados Unidos</v>
      </c>
      <c r="J6" t="s">
        <v>11</v>
      </c>
    </row>
    <row r="7" spans="1:10">
      <c r="A7">
        <v>2025</v>
      </c>
      <c r="B7">
        <v>5</v>
      </c>
      <c r="C7">
        <v>8807</v>
      </c>
      <c r="D7">
        <v>603</v>
      </c>
      <c r="E7" t="s">
        <v>10</v>
      </c>
      <c r="F7">
        <v>3454102</v>
      </c>
      <c r="G7" s="1">
        <v>3</v>
      </c>
      <c r="H7" s="2">
        <v>8190</v>
      </c>
      <c r="I7" t="str">
        <f>VLOOKUP(Tabela2[[#This Row],[PAIS]],'[1]nome do paixs'!$A:$B,2,0)</f>
        <v>Polônia</v>
      </c>
      <c r="J7" t="s">
        <v>11</v>
      </c>
    </row>
    <row r="8" spans="1:10">
      <c r="A8">
        <v>2025</v>
      </c>
      <c r="B8">
        <v>2</v>
      </c>
      <c r="C8">
        <v>8807</v>
      </c>
      <c r="D8">
        <v>87</v>
      </c>
      <c r="E8" t="s">
        <v>10</v>
      </c>
      <c r="F8">
        <v>3454102</v>
      </c>
      <c r="G8" s="1">
        <v>3</v>
      </c>
      <c r="H8" s="2">
        <v>6397</v>
      </c>
      <c r="I8" t="str">
        <f>VLOOKUP(Tabela2[[#This Row],[PAIS]],'[1]nome do paixs'!$A:$B,2,0)</f>
        <v>Bélgica</v>
      </c>
      <c r="J8" t="s">
        <v>11</v>
      </c>
    </row>
    <row r="9" spans="1:10">
      <c r="A9">
        <v>2025</v>
      </c>
      <c r="B9">
        <v>5</v>
      </c>
      <c r="C9">
        <v>8807</v>
      </c>
      <c r="D9">
        <v>628</v>
      </c>
      <c r="E9" t="s">
        <v>10</v>
      </c>
      <c r="F9">
        <v>3454102</v>
      </c>
      <c r="G9" s="1">
        <v>4</v>
      </c>
      <c r="H9" s="2">
        <v>4659</v>
      </c>
      <c r="I9" t="str">
        <f>VLOOKUP(Tabela2[[#This Row],[PAIS]],'[1]nome do paixs'!$A:$B,2,0)</f>
        <v>Reino Unido</v>
      </c>
      <c r="J9" t="s">
        <v>11</v>
      </c>
    </row>
    <row r="10" spans="1:10">
      <c r="A10">
        <v>2025</v>
      </c>
      <c r="B10">
        <v>6</v>
      </c>
      <c r="C10">
        <v>8807</v>
      </c>
      <c r="D10">
        <v>87</v>
      </c>
      <c r="E10" t="s">
        <v>10</v>
      </c>
      <c r="F10">
        <v>3454102</v>
      </c>
      <c r="G10" s="1">
        <v>4</v>
      </c>
      <c r="H10" s="2">
        <v>16310</v>
      </c>
      <c r="I10" t="str">
        <f>VLOOKUP(Tabela2[[#This Row],[PAIS]],'[1]nome do paixs'!$A:$B,2,0)</f>
        <v>Bélgica</v>
      </c>
      <c r="J10" t="s">
        <v>11</v>
      </c>
    </row>
    <row r="11" spans="1:10">
      <c r="A11">
        <v>2025</v>
      </c>
      <c r="B11">
        <v>2</v>
      </c>
      <c r="C11">
        <v>8807</v>
      </c>
      <c r="D11">
        <v>160</v>
      </c>
      <c r="E11" t="s">
        <v>10</v>
      </c>
      <c r="F11">
        <v>3454102</v>
      </c>
      <c r="G11" s="1">
        <v>3</v>
      </c>
      <c r="H11" s="2">
        <v>2660</v>
      </c>
      <c r="I11" t="str">
        <f>VLOOKUP(Tabela2[[#This Row],[PAIS]],'[1]nome do paixs'!$A:$B,2,0)</f>
        <v>China</v>
      </c>
      <c r="J11" t="s">
        <v>11</v>
      </c>
    </row>
    <row r="12" spans="1:10">
      <c r="A12">
        <v>2025</v>
      </c>
      <c r="B12">
        <v>3</v>
      </c>
      <c r="C12">
        <v>8807</v>
      </c>
      <c r="D12">
        <v>493</v>
      </c>
      <c r="E12" t="s">
        <v>10</v>
      </c>
      <c r="F12">
        <v>3454102</v>
      </c>
      <c r="G12" s="1">
        <v>0</v>
      </c>
      <c r="H12" s="2">
        <v>203</v>
      </c>
      <c r="I12" t="str">
        <f>VLOOKUP(Tabela2[[#This Row],[PAIS]],'[1]nome do paixs'!$A:$B,2,0)</f>
        <v>México</v>
      </c>
      <c r="J12" t="s">
        <v>11</v>
      </c>
    </row>
    <row r="13" spans="1:10">
      <c r="A13">
        <v>2025</v>
      </c>
      <c r="B13">
        <v>2</v>
      </c>
      <c r="C13">
        <v>8807</v>
      </c>
      <c r="D13">
        <v>246</v>
      </c>
      <c r="E13" t="s">
        <v>10</v>
      </c>
      <c r="F13">
        <v>3454102</v>
      </c>
      <c r="G13" s="1">
        <v>0</v>
      </c>
      <c r="H13" s="2">
        <v>192</v>
      </c>
      <c r="I13" t="str">
        <f>VLOOKUP(Tabela2[[#This Row],[PAIS]],'[1]nome do paixs'!$A:$B,2,0)</f>
        <v>Eslovênia</v>
      </c>
      <c r="J13" t="s">
        <v>11</v>
      </c>
    </row>
    <row r="14" spans="1:10">
      <c r="A14">
        <v>2025</v>
      </c>
      <c r="B14">
        <v>6</v>
      </c>
      <c r="C14">
        <v>8807</v>
      </c>
      <c r="D14">
        <v>275</v>
      </c>
      <c r="E14" t="s">
        <v>10</v>
      </c>
      <c r="F14">
        <v>3454102</v>
      </c>
      <c r="G14" s="1">
        <v>111</v>
      </c>
      <c r="H14" s="2">
        <v>50041</v>
      </c>
      <c r="I14" t="str">
        <f>VLOOKUP(Tabela2[[#This Row],[PAIS]],'[1]nome do paixs'!$A:$B,2,0)</f>
        <v>França</v>
      </c>
      <c r="J14" t="s">
        <v>11</v>
      </c>
    </row>
    <row r="15" spans="1:10">
      <c r="A15">
        <v>2025</v>
      </c>
      <c r="B15">
        <v>4</v>
      </c>
      <c r="C15">
        <v>8807</v>
      </c>
      <c r="D15">
        <v>249</v>
      </c>
      <c r="E15" t="s">
        <v>10</v>
      </c>
      <c r="F15">
        <v>3454102</v>
      </c>
      <c r="G15" s="1">
        <v>244</v>
      </c>
      <c r="H15" s="2">
        <v>197190</v>
      </c>
      <c r="I15" t="str">
        <f>VLOOKUP(Tabela2[[#This Row],[PAIS]],'[1]nome do paixs'!$A:$B,2,0)</f>
        <v>Estados Unidos</v>
      </c>
      <c r="J15" t="s">
        <v>11</v>
      </c>
    </row>
    <row r="16" spans="1:10">
      <c r="A16">
        <v>2025</v>
      </c>
      <c r="B16">
        <v>1</v>
      </c>
      <c r="C16">
        <v>8807</v>
      </c>
      <c r="D16">
        <v>275</v>
      </c>
      <c r="E16" t="s">
        <v>10</v>
      </c>
      <c r="F16">
        <v>3454102</v>
      </c>
      <c r="G16" s="1">
        <v>292</v>
      </c>
      <c r="H16" s="2">
        <v>261369</v>
      </c>
      <c r="I16" t="str">
        <f>VLOOKUP(Tabela2[[#This Row],[PAIS]],'[1]nome do paixs'!$A:$B,2,0)</f>
        <v>França</v>
      </c>
      <c r="J16" t="s">
        <v>11</v>
      </c>
    </row>
    <row r="17" spans="1:10">
      <c r="A17">
        <v>2025</v>
      </c>
      <c r="B17">
        <v>1</v>
      </c>
      <c r="C17">
        <v>8807</v>
      </c>
      <c r="D17">
        <v>628</v>
      </c>
      <c r="E17" t="s">
        <v>10</v>
      </c>
      <c r="F17">
        <v>3454102</v>
      </c>
      <c r="G17" s="1">
        <v>0</v>
      </c>
      <c r="H17" s="2">
        <v>488</v>
      </c>
      <c r="I17" t="str">
        <f>VLOOKUP(Tabela2[[#This Row],[PAIS]],'[1]nome do paixs'!$A:$B,2,0)</f>
        <v>Reino Unido</v>
      </c>
      <c r="J17" t="s">
        <v>11</v>
      </c>
    </row>
    <row r="18" spans="1:10">
      <c r="A18">
        <v>2025</v>
      </c>
      <c r="B18">
        <v>1</v>
      </c>
      <c r="C18">
        <v>8807</v>
      </c>
      <c r="D18">
        <v>249</v>
      </c>
      <c r="E18" t="s">
        <v>10</v>
      </c>
      <c r="F18">
        <v>3454102</v>
      </c>
      <c r="G18" s="1">
        <v>446</v>
      </c>
      <c r="H18" s="2">
        <v>315264</v>
      </c>
      <c r="I18" t="str">
        <f>VLOOKUP(Tabela2[[#This Row],[PAIS]],'[1]nome do paixs'!$A:$B,2,0)</f>
        <v>Estados Unidos</v>
      </c>
      <c r="J18" t="s">
        <v>11</v>
      </c>
    </row>
    <row r="19" spans="1:10">
      <c r="A19">
        <v>2025</v>
      </c>
      <c r="B19">
        <v>2</v>
      </c>
      <c r="C19">
        <v>8807</v>
      </c>
      <c r="D19">
        <v>403</v>
      </c>
      <c r="E19" t="s">
        <v>10</v>
      </c>
      <c r="F19">
        <v>3454102</v>
      </c>
      <c r="G19" s="1">
        <v>7</v>
      </c>
      <c r="H19" s="2">
        <v>28528</v>
      </c>
      <c r="I19" t="str">
        <f>VLOOKUP(Tabela2[[#This Row],[PAIS]],'[1]nome do paixs'!$A:$B,2,0)</f>
        <v>Jordânia</v>
      </c>
      <c r="J19" t="s">
        <v>11</v>
      </c>
    </row>
    <row r="20" spans="1:10">
      <c r="A20">
        <v>2025</v>
      </c>
      <c r="B20">
        <v>6</v>
      </c>
      <c r="C20">
        <v>8807</v>
      </c>
      <c r="D20">
        <v>741</v>
      </c>
      <c r="E20" t="s">
        <v>10</v>
      </c>
      <c r="F20">
        <v>3454102</v>
      </c>
      <c r="G20" s="1">
        <v>68</v>
      </c>
      <c r="H20" s="2">
        <v>33519</v>
      </c>
      <c r="I20" t="str">
        <f>VLOOKUP(Tabela2[[#This Row],[PAIS]],'[1]nome do paixs'!$A:$B,2,0)</f>
        <v>Singapura</v>
      </c>
      <c r="J20" t="s">
        <v>11</v>
      </c>
    </row>
    <row r="21" spans="1:10">
      <c r="A21">
        <v>2025</v>
      </c>
      <c r="B21">
        <v>2</v>
      </c>
      <c r="C21">
        <v>8807</v>
      </c>
      <c r="D21">
        <v>169</v>
      </c>
      <c r="E21" t="s">
        <v>10</v>
      </c>
      <c r="F21">
        <v>3454102</v>
      </c>
      <c r="G21" s="1">
        <v>18</v>
      </c>
      <c r="H21" s="2">
        <v>67898</v>
      </c>
      <c r="I21" t="str">
        <f>VLOOKUP(Tabela2[[#This Row],[PAIS]],'[1]nome do paixs'!$A:$B,2,0)</f>
        <v>Colômbia</v>
      </c>
      <c r="J21" t="s">
        <v>11</v>
      </c>
    </row>
    <row r="22" spans="1:10">
      <c r="A22">
        <v>2025</v>
      </c>
      <c r="B22">
        <v>4</v>
      </c>
      <c r="C22">
        <v>8807</v>
      </c>
      <c r="D22">
        <v>72</v>
      </c>
      <c r="E22" t="s">
        <v>10</v>
      </c>
      <c r="F22">
        <v>3454102</v>
      </c>
      <c r="G22" s="1">
        <v>13</v>
      </c>
      <c r="H22" s="2">
        <v>18431</v>
      </c>
      <c r="I22" t="str">
        <f>VLOOKUP(Tabela2[[#This Row],[PAIS]],'[1]nome do paixs'!$A:$B,2,0)</f>
        <v>Áustria</v>
      </c>
      <c r="J22" t="s">
        <v>11</v>
      </c>
    </row>
    <row r="23" spans="1:10">
      <c r="A23">
        <v>2025</v>
      </c>
      <c r="B23">
        <v>3</v>
      </c>
      <c r="C23">
        <v>8807</v>
      </c>
      <c r="D23">
        <v>247</v>
      </c>
      <c r="E23" t="s">
        <v>10</v>
      </c>
      <c r="F23">
        <v>3454102</v>
      </c>
      <c r="G23" s="1">
        <v>2</v>
      </c>
      <c r="H23" s="2">
        <v>4491</v>
      </c>
      <c r="I23" t="str">
        <f>VLOOKUP(Tabela2[[#This Row],[PAIS]],'[1]nome do paixs'!$A:$B,2,0)</f>
        <v>Eslováquia</v>
      </c>
      <c r="J23" t="s">
        <v>11</v>
      </c>
    </row>
    <row r="24" spans="1:10">
      <c r="A24">
        <v>2025</v>
      </c>
      <c r="B24">
        <v>4</v>
      </c>
      <c r="C24">
        <v>8807</v>
      </c>
      <c r="D24">
        <v>239</v>
      </c>
      <c r="E24" t="s">
        <v>10</v>
      </c>
      <c r="F24">
        <v>3454102</v>
      </c>
      <c r="G24" s="1">
        <v>40</v>
      </c>
      <c r="H24" s="2">
        <v>75517</v>
      </c>
      <c r="I24" t="str">
        <f>VLOOKUP(Tabela2[[#This Row],[PAIS]],'[1]nome do paixs'!$A:$B,2,0)</f>
        <v>Equador</v>
      </c>
      <c r="J24" t="s">
        <v>11</v>
      </c>
    </row>
    <row r="25" spans="1:10">
      <c r="A25">
        <v>2025</v>
      </c>
      <c r="B25">
        <v>6</v>
      </c>
      <c r="C25">
        <v>8807</v>
      </c>
      <c r="D25">
        <v>23</v>
      </c>
      <c r="E25" t="s">
        <v>10</v>
      </c>
      <c r="F25">
        <v>3454102</v>
      </c>
      <c r="G25" s="1">
        <v>2</v>
      </c>
      <c r="H25" s="2">
        <v>2788</v>
      </c>
      <c r="I25" t="str">
        <f>VLOOKUP(Tabela2[[#This Row],[PAIS]],'[1]nome do paixs'!$A:$B,2,0)</f>
        <v>Alemanha</v>
      </c>
      <c r="J25" t="s">
        <v>11</v>
      </c>
    </row>
    <row r="26" spans="1:10">
      <c r="A26">
        <v>2025</v>
      </c>
      <c r="B26">
        <v>3</v>
      </c>
      <c r="C26">
        <v>8807</v>
      </c>
      <c r="D26">
        <v>275</v>
      </c>
      <c r="E26" t="s">
        <v>10</v>
      </c>
      <c r="F26">
        <v>3454102</v>
      </c>
      <c r="G26" s="1">
        <v>157</v>
      </c>
      <c r="H26" s="2">
        <v>90381</v>
      </c>
      <c r="I26" t="str">
        <f>VLOOKUP(Tabela2[[#This Row],[PAIS]],'[1]nome do paixs'!$A:$B,2,0)</f>
        <v>França</v>
      </c>
      <c r="J26" t="s">
        <v>11</v>
      </c>
    </row>
    <row r="27" spans="1:10">
      <c r="A27">
        <v>2025</v>
      </c>
      <c r="B27">
        <v>4</v>
      </c>
      <c r="C27">
        <v>8807</v>
      </c>
      <c r="D27">
        <v>87</v>
      </c>
      <c r="E27" t="s">
        <v>10</v>
      </c>
      <c r="F27">
        <v>3454102</v>
      </c>
      <c r="G27" s="1">
        <v>4</v>
      </c>
      <c r="H27" s="2">
        <v>21590</v>
      </c>
      <c r="I27" t="str">
        <f>VLOOKUP(Tabela2[[#This Row],[PAIS]],'[1]nome do paixs'!$A:$B,2,0)</f>
        <v>Bélgica</v>
      </c>
      <c r="J27" t="s">
        <v>11</v>
      </c>
    </row>
    <row r="28" spans="1:10">
      <c r="A28">
        <v>2025</v>
      </c>
      <c r="B28">
        <v>3</v>
      </c>
      <c r="C28">
        <v>8807</v>
      </c>
      <c r="D28">
        <v>628</v>
      </c>
      <c r="E28" t="s">
        <v>10</v>
      </c>
      <c r="F28">
        <v>3454102</v>
      </c>
      <c r="G28" s="1">
        <v>3</v>
      </c>
      <c r="H28" s="2">
        <v>2303</v>
      </c>
      <c r="I28" t="str">
        <f>VLOOKUP(Tabela2[[#This Row],[PAIS]],'[1]nome do paixs'!$A:$B,2,0)</f>
        <v>Reino Unido</v>
      </c>
      <c r="J28" t="s">
        <v>11</v>
      </c>
    </row>
    <row r="29" spans="1:10">
      <c r="A29">
        <v>2025</v>
      </c>
      <c r="B29">
        <v>2</v>
      </c>
      <c r="C29">
        <v>8807</v>
      </c>
      <c r="D29">
        <v>756</v>
      </c>
      <c r="E29" t="s">
        <v>10</v>
      </c>
      <c r="F29">
        <v>3454102</v>
      </c>
      <c r="G29" s="1">
        <v>0</v>
      </c>
      <c r="H29" s="2">
        <v>3532</v>
      </c>
      <c r="I29" t="str">
        <f>VLOOKUP(Tabela2[[#This Row],[PAIS]],'[1]nome do paixs'!$A:$B,2,0)</f>
        <v>África do Sul</v>
      </c>
      <c r="J29" t="s">
        <v>11</v>
      </c>
    </row>
    <row r="30" spans="1:10">
      <c r="A30">
        <v>2025</v>
      </c>
      <c r="B30">
        <v>7</v>
      </c>
      <c r="C30">
        <v>8807</v>
      </c>
      <c r="D30">
        <v>275</v>
      </c>
      <c r="E30" t="s">
        <v>10</v>
      </c>
      <c r="F30">
        <v>3454102</v>
      </c>
      <c r="G30" s="1">
        <v>2</v>
      </c>
      <c r="H30" s="2">
        <v>5960</v>
      </c>
      <c r="I30" t="str">
        <f>VLOOKUP(Tabela2[[#This Row],[PAIS]],'[1]nome do paixs'!$A:$B,2,0)</f>
        <v>França</v>
      </c>
      <c r="J30" t="s">
        <v>11</v>
      </c>
    </row>
    <row r="31" spans="1:10">
      <c r="A31">
        <v>2025</v>
      </c>
      <c r="B31">
        <v>2</v>
      </c>
      <c r="C31">
        <v>8807</v>
      </c>
      <c r="D31">
        <v>275</v>
      </c>
      <c r="E31" t="s">
        <v>10</v>
      </c>
      <c r="F31">
        <v>3454102</v>
      </c>
      <c r="G31" s="1">
        <v>153</v>
      </c>
      <c r="H31" s="2">
        <v>149535</v>
      </c>
      <c r="I31" t="str">
        <f>VLOOKUP(Tabela2[[#This Row],[PAIS]],'[1]nome do paixs'!$A:$B,2,0)</f>
        <v>França</v>
      </c>
      <c r="J31" t="s">
        <v>11</v>
      </c>
    </row>
    <row r="32" spans="1:10">
      <c r="A32">
        <v>2025</v>
      </c>
      <c r="B32">
        <v>7</v>
      </c>
      <c r="C32">
        <v>8807</v>
      </c>
      <c r="D32">
        <v>249</v>
      </c>
      <c r="E32" t="s">
        <v>10</v>
      </c>
      <c r="F32">
        <v>3454102</v>
      </c>
      <c r="G32" s="1">
        <v>51</v>
      </c>
      <c r="H32" s="2">
        <v>27825</v>
      </c>
      <c r="I32" t="str">
        <f>VLOOKUP(Tabela2[[#This Row],[PAIS]],'[1]nome do paixs'!$A:$B,2,0)</f>
        <v>Estados Unidos</v>
      </c>
      <c r="J32" t="s">
        <v>11</v>
      </c>
    </row>
    <row r="33" spans="1:10">
      <c r="A33">
        <v>2025</v>
      </c>
      <c r="B33">
        <v>4</v>
      </c>
      <c r="C33">
        <v>8807</v>
      </c>
      <c r="D33">
        <v>427</v>
      </c>
      <c r="E33" t="s">
        <v>10</v>
      </c>
      <c r="F33">
        <v>3454102</v>
      </c>
      <c r="G33" s="1">
        <v>0</v>
      </c>
      <c r="H33" s="2">
        <v>222</v>
      </c>
      <c r="I33" t="str">
        <f>VLOOKUP(Tabela2[[#This Row],[PAIS]],'[1]nome do paixs'!$A:$B,2,0)</f>
        <v>Letônia</v>
      </c>
      <c r="J33" t="s">
        <v>11</v>
      </c>
    </row>
    <row r="34" spans="1:10">
      <c r="A34">
        <v>2025</v>
      </c>
      <c r="B34">
        <v>2</v>
      </c>
      <c r="C34">
        <v>8807</v>
      </c>
      <c r="D34">
        <v>603</v>
      </c>
      <c r="E34" t="s">
        <v>10</v>
      </c>
      <c r="F34">
        <v>3454102</v>
      </c>
      <c r="G34" s="1">
        <v>2</v>
      </c>
      <c r="H34" s="2">
        <v>2354</v>
      </c>
      <c r="I34" t="str">
        <f>VLOOKUP(Tabela2[[#This Row],[PAIS]],'[1]nome do paixs'!$A:$B,2,0)</f>
        <v>Polônia</v>
      </c>
      <c r="J34" t="s">
        <v>11</v>
      </c>
    </row>
    <row r="35" spans="1:10">
      <c r="A35">
        <v>2025</v>
      </c>
      <c r="B35">
        <v>4</v>
      </c>
      <c r="C35">
        <v>8807</v>
      </c>
      <c r="D35">
        <v>247</v>
      </c>
      <c r="E35" t="s">
        <v>10</v>
      </c>
      <c r="F35">
        <v>3454102</v>
      </c>
      <c r="G35" s="1">
        <v>6</v>
      </c>
      <c r="H35" s="2">
        <v>5138</v>
      </c>
      <c r="I35" t="str">
        <f>VLOOKUP(Tabela2[[#This Row],[PAIS]],'[1]nome do paixs'!$A:$B,2,0)</f>
        <v>Eslováquia</v>
      </c>
      <c r="J35" t="s">
        <v>11</v>
      </c>
    </row>
    <row r="36" spans="1:10">
      <c r="A36">
        <v>2025</v>
      </c>
      <c r="B36">
        <v>5</v>
      </c>
      <c r="C36">
        <v>8807</v>
      </c>
      <c r="D36">
        <v>493</v>
      </c>
      <c r="E36" t="s">
        <v>10</v>
      </c>
      <c r="F36">
        <v>3454102</v>
      </c>
      <c r="G36" s="1">
        <v>3</v>
      </c>
      <c r="H36" s="2">
        <v>1058</v>
      </c>
      <c r="I36" t="str">
        <f>VLOOKUP(Tabela2[[#This Row],[PAIS]],'[1]nome do paixs'!$A:$B,2,0)</f>
        <v>México</v>
      </c>
      <c r="J36" t="s">
        <v>11</v>
      </c>
    </row>
    <row r="37" spans="1:10">
      <c r="A37">
        <v>2025</v>
      </c>
      <c r="B37">
        <v>1</v>
      </c>
      <c r="C37">
        <v>8807</v>
      </c>
      <c r="D37">
        <v>149</v>
      </c>
      <c r="E37" t="s">
        <v>10</v>
      </c>
      <c r="F37">
        <v>3454102</v>
      </c>
      <c r="G37" s="1">
        <v>0</v>
      </c>
      <c r="H37" s="2">
        <v>236</v>
      </c>
      <c r="I37" t="str">
        <f>VLOOKUP(Tabela2[[#This Row],[PAIS]],'[1]nome do paixs'!$A:$B,2,0)</f>
        <v>Canadá</v>
      </c>
      <c r="J37" t="s">
        <v>11</v>
      </c>
    </row>
    <row r="38" spans="1:10">
      <c r="A38">
        <v>2025</v>
      </c>
      <c r="B38">
        <v>8</v>
      </c>
      <c r="C38">
        <v>8807</v>
      </c>
      <c r="D38">
        <v>249</v>
      </c>
      <c r="E38" t="s">
        <v>10</v>
      </c>
      <c r="F38">
        <v>3454102</v>
      </c>
      <c r="G38" s="1">
        <v>50</v>
      </c>
      <c r="H38" s="2">
        <v>30235</v>
      </c>
      <c r="I38" t="str">
        <f>VLOOKUP(Tabela2[[#This Row],[PAIS]],'[1]nome do paixs'!$A:$B,2,0)</f>
        <v>Estados Unidos</v>
      </c>
      <c r="J38" t="s">
        <v>11</v>
      </c>
    </row>
    <row r="39" spans="1:10">
      <c r="A39">
        <v>2025</v>
      </c>
      <c r="B39">
        <v>6</v>
      </c>
      <c r="C39">
        <v>8807</v>
      </c>
      <c r="D39">
        <v>493</v>
      </c>
      <c r="E39" t="s">
        <v>10</v>
      </c>
      <c r="F39">
        <v>3454102</v>
      </c>
      <c r="G39" s="1">
        <v>4</v>
      </c>
      <c r="H39" s="2">
        <v>4914</v>
      </c>
      <c r="I39" t="str">
        <f>VLOOKUP(Tabela2[[#This Row],[PAIS]],'[1]nome do paixs'!$A:$B,2,0)</f>
        <v>México</v>
      </c>
      <c r="J39" t="s">
        <v>11</v>
      </c>
    </row>
    <row r="40" spans="1:10">
      <c r="A40">
        <v>2025</v>
      </c>
      <c r="B40">
        <v>3</v>
      </c>
      <c r="C40">
        <v>8807</v>
      </c>
      <c r="D40">
        <v>87</v>
      </c>
      <c r="E40" t="s">
        <v>10</v>
      </c>
      <c r="F40">
        <v>3454102</v>
      </c>
      <c r="G40" s="1">
        <v>4</v>
      </c>
      <c r="H40" s="2">
        <v>18029</v>
      </c>
      <c r="I40" t="str">
        <f>VLOOKUP(Tabela2[[#This Row],[PAIS]],'[1]nome do paixs'!$A:$B,2,0)</f>
        <v>Bélgica</v>
      </c>
      <c r="J40" t="s">
        <v>11</v>
      </c>
    </row>
    <row r="41" spans="1:10">
      <c r="A41">
        <v>2025</v>
      </c>
      <c r="B41">
        <v>3</v>
      </c>
      <c r="C41">
        <v>8807</v>
      </c>
      <c r="D41">
        <v>741</v>
      </c>
      <c r="E41" t="s">
        <v>10</v>
      </c>
      <c r="F41">
        <v>3454102</v>
      </c>
      <c r="G41" s="1">
        <v>6</v>
      </c>
      <c r="H41" s="2">
        <v>1484</v>
      </c>
      <c r="I41" t="str">
        <f>VLOOKUP(Tabela2[[#This Row],[PAIS]],'[1]nome do paixs'!$A:$B,2,0)</f>
        <v>Singapura</v>
      </c>
      <c r="J41" t="s">
        <v>11</v>
      </c>
    </row>
    <row r="42" spans="1:10">
      <c r="A42">
        <v>2025</v>
      </c>
      <c r="B42">
        <v>3</v>
      </c>
      <c r="C42">
        <v>8807</v>
      </c>
      <c r="D42">
        <v>249</v>
      </c>
      <c r="E42" t="s">
        <v>10</v>
      </c>
      <c r="F42">
        <v>3454102</v>
      </c>
      <c r="G42" s="1">
        <v>409</v>
      </c>
      <c r="H42" s="2">
        <v>232007</v>
      </c>
      <c r="I42" t="str">
        <f>VLOOKUP(Tabela2[[#This Row],[PAIS]],'[1]nome do paixs'!$A:$B,2,0)</f>
        <v>Estados Unidos</v>
      </c>
      <c r="J42" t="s">
        <v>11</v>
      </c>
    </row>
    <row r="43" spans="1:10">
      <c r="A43">
        <v>2025</v>
      </c>
      <c r="B43">
        <v>5</v>
      </c>
      <c r="C43">
        <v>8807</v>
      </c>
      <c r="D43">
        <v>249</v>
      </c>
      <c r="E43" t="s">
        <v>10</v>
      </c>
      <c r="F43">
        <v>3454102</v>
      </c>
      <c r="G43" s="1">
        <v>421</v>
      </c>
      <c r="H43" s="2">
        <v>151896</v>
      </c>
      <c r="I43" t="str">
        <f>VLOOKUP(Tabela2[[#This Row],[PAIS]],'[1]nome do paixs'!$A:$B,2,0)</f>
        <v>Estados Unidos</v>
      </c>
      <c r="J43" t="s">
        <v>11</v>
      </c>
    </row>
    <row r="44" spans="1:10">
      <c r="A44">
        <v>2025</v>
      </c>
      <c r="B44">
        <v>1</v>
      </c>
      <c r="C44">
        <v>8807</v>
      </c>
      <c r="D44">
        <v>741</v>
      </c>
      <c r="E44" t="s">
        <v>10</v>
      </c>
      <c r="F44">
        <v>3454102</v>
      </c>
      <c r="G44" s="1">
        <v>11</v>
      </c>
      <c r="H44" s="2">
        <v>8347</v>
      </c>
      <c r="I44" t="str">
        <f>VLOOKUP(Tabela2[[#This Row],[PAIS]],'[1]nome do paixs'!$A:$B,2,0)</f>
        <v>Singapura</v>
      </c>
      <c r="J44" t="s">
        <v>11</v>
      </c>
    </row>
    <row r="45" spans="1:10">
      <c r="A45">
        <v>2025</v>
      </c>
      <c r="B45">
        <v>7</v>
      </c>
      <c r="C45">
        <v>8807</v>
      </c>
      <c r="D45">
        <v>87</v>
      </c>
      <c r="E45" t="s">
        <v>10</v>
      </c>
      <c r="F45">
        <v>3454102</v>
      </c>
      <c r="G45" s="1">
        <v>1</v>
      </c>
      <c r="H45" s="2">
        <v>9240</v>
      </c>
      <c r="I45" t="str">
        <f>VLOOKUP(Tabela2[[#This Row],[PAIS]],'[1]nome do paixs'!$A:$B,2,0)</f>
        <v>Bélgica</v>
      </c>
      <c r="J45" t="s">
        <v>11</v>
      </c>
    </row>
    <row r="46" spans="1:10">
      <c r="A46">
        <v>2025</v>
      </c>
      <c r="B46">
        <v>2</v>
      </c>
      <c r="C46">
        <v>8807</v>
      </c>
      <c r="D46">
        <v>493</v>
      </c>
      <c r="E46" t="s">
        <v>10</v>
      </c>
      <c r="F46">
        <v>3454102</v>
      </c>
      <c r="G46" s="1">
        <v>3</v>
      </c>
      <c r="H46" s="2">
        <v>11812</v>
      </c>
      <c r="I46" t="str">
        <f>VLOOKUP(Tabela2[[#This Row],[PAIS]],'[1]nome do paixs'!$A:$B,2,0)</f>
        <v>México</v>
      </c>
      <c r="J46" t="s">
        <v>11</v>
      </c>
    </row>
    <row r="47" spans="1:10">
      <c r="A47">
        <v>2025</v>
      </c>
      <c r="B47">
        <v>4</v>
      </c>
      <c r="C47">
        <v>8807</v>
      </c>
      <c r="D47">
        <v>741</v>
      </c>
      <c r="E47" t="s">
        <v>10</v>
      </c>
      <c r="F47">
        <v>3454102</v>
      </c>
      <c r="G47" s="1">
        <v>1</v>
      </c>
      <c r="H47" s="2">
        <v>399</v>
      </c>
      <c r="I47" t="str">
        <f>VLOOKUP(Tabela2[[#This Row],[PAIS]],'[1]nome do paixs'!$A:$B,2,0)</f>
        <v>Singapura</v>
      </c>
      <c r="J47" t="s">
        <v>11</v>
      </c>
    </row>
    <row r="48" spans="1:10">
      <c r="A48">
        <v>2025</v>
      </c>
      <c r="B48">
        <v>2</v>
      </c>
      <c r="C48">
        <v>8807</v>
      </c>
      <c r="D48">
        <v>399</v>
      </c>
      <c r="E48" t="s">
        <v>10</v>
      </c>
      <c r="F48">
        <v>3454102</v>
      </c>
      <c r="G48" s="1">
        <v>2</v>
      </c>
      <c r="H48" s="2">
        <v>2642</v>
      </c>
      <c r="I48" t="str">
        <f>VLOOKUP(Tabela2[[#This Row],[PAIS]],'[1]nome do paixs'!$A:$B,2,0)</f>
        <v>Japão</v>
      </c>
      <c r="J48" t="s">
        <v>11</v>
      </c>
    </row>
    <row r="49" spans="1:10">
      <c r="A49">
        <v>2025</v>
      </c>
      <c r="B49">
        <v>5</v>
      </c>
      <c r="C49">
        <v>8807</v>
      </c>
      <c r="D49">
        <v>741</v>
      </c>
      <c r="E49" t="s">
        <v>10</v>
      </c>
      <c r="F49">
        <v>3454102</v>
      </c>
      <c r="G49" s="1">
        <v>5</v>
      </c>
      <c r="H49" s="2">
        <v>2205</v>
      </c>
      <c r="I49" t="str">
        <f>VLOOKUP(Tabela2[[#This Row],[PAIS]],'[1]nome do paixs'!$A:$B,2,0)</f>
        <v>Singapura</v>
      </c>
      <c r="J49" t="s">
        <v>11</v>
      </c>
    </row>
    <row r="50" spans="1:10">
      <c r="A50">
        <v>2025</v>
      </c>
      <c r="B50">
        <v>4</v>
      </c>
      <c r="C50">
        <v>8807</v>
      </c>
      <c r="D50">
        <v>603</v>
      </c>
      <c r="E50" t="s">
        <v>10</v>
      </c>
      <c r="F50">
        <v>3454102</v>
      </c>
      <c r="G50" s="1">
        <v>7</v>
      </c>
      <c r="H50" s="2">
        <v>6159</v>
      </c>
      <c r="I50" t="str">
        <f>VLOOKUP(Tabela2[[#This Row],[PAIS]],'[1]nome do paixs'!$A:$B,2,0)</f>
        <v>Polônia</v>
      </c>
      <c r="J50" t="s">
        <v>11</v>
      </c>
    </row>
    <row r="51" spans="1:10">
      <c r="A51">
        <v>2025</v>
      </c>
      <c r="B51">
        <v>5</v>
      </c>
      <c r="C51">
        <v>8807</v>
      </c>
      <c r="D51">
        <v>87</v>
      </c>
      <c r="E51" t="s">
        <v>10</v>
      </c>
      <c r="F51">
        <v>3454102</v>
      </c>
      <c r="G51" s="1">
        <v>1</v>
      </c>
      <c r="H51" s="2">
        <v>1529</v>
      </c>
      <c r="I51" t="str">
        <f>VLOOKUP(Tabela2[[#This Row],[PAIS]],'[1]nome do paixs'!$A:$B,2,0)</f>
        <v>Bélgica</v>
      </c>
      <c r="J51" t="s">
        <v>11</v>
      </c>
    </row>
    <row r="52" spans="1:10">
      <c r="A52">
        <v>2025</v>
      </c>
      <c r="B52">
        <v>1</v>
      </c>
      <c r="C52">
        <v>8807</v>
      </c>
      <c r="D52">
        <v>267</v>
      </c>
      <c r="E52" t="s">
        <v>10</v>
      </c>
      <c r="F52">
        <v>3454102</v>
      </c>
      <c r="G52" s="1">
        <v>34</v>
      </c>
      <c r="H52" s="2">
        <v>20473</v>
      </c>
      <c r="I52" t="str">
        <f>VLOOKUP(Tabela2[[#This Row],[PAIS]],'[1]nome do paixs'!$A:$B,2,0)</f>
        <v>Filipinas</v>
      </c>
      <c r="J52" t="s">
        <v>11</v>
      </c>
    </row>
    <row r="53" spans="1:10">
      <c r="A53">
        <v>2025</v>
      </c>
      <c r="B53">
        <v>1</v>
      </c>
      <c r="C53">
        <v>8807</v>
      </c>
      <c r="D53">
        <v>603</v>
      </c>
      <c r="E53" t="s">
        <v>10</v>
      </c>
      <c r="F53">
        <v>3454102</v>
      </c>
      <c r="G53" s="1">
        <v>2</v>
      </c>
      <c r="H53" s="2">
        <v>1139</v>
      </c>
      <c r="I53" t="str">
        <f>VLOOKUP(Tabela2[[#This Row],[PAIS]],'[1]nome do paixs'!$A:$B,2,0)</f>
        <v>Polônia</v>
      </c>
      <c r="J53" t="s">
        <v>11</v>
      </c>
    </row>
    <row r="54" spans="1:10">
      <c r="A54">
        <v>2025</v>
      </c>
      <c r="B54">
        <v>6</v>
      </c>
      <c r="C54">
        <v>8807</v>
      </c>
      <c r="D54">
        <v>160</v>
      </c>
      <c r="E54" t="s">
        <v>10</v>
      </c>
      <c r="F54">
        <v>3454102</v>
      </c>
      <c r="G54" s="1">
        <v>1</v>
      </c>
      <c r="H54" s="2">
        <v>321</v>
      </c>
      <c r="I54" t="str">
        <f>VLOOKUP(Tabela2[[#This Row],[PAIS]],'[1]nome do paixs'!$A:$B,2,0)</f>
        <v>China</v>
      </c>
      <c r="J54" t="s">
        <v>11</v>
      </c>
    </row>
    <row r="55" spans="1:10">
      <c r="A55">
        <v>2025</v>
      </c>
      <c r="B55">
        <v>5</v>
      </c>
      <c r="C55">
        <v>8807</v>
      </c>
      <c r="D55">
        <v>607</v>
      </c>
      <c r="E55" t="s">
        <v>10</v>
      </c>
      <c r="F55">
        <v>3454102</v>
      </c>
      <c r="G55" s="1">
        <v>0</v>
      </c>
      <c r="H55" s="2">
        <v>410</v>
      </c>
      <c r="I55" t="str">
        <f>VLOOKUP(Tabela2[[#This Row],[PAIS]],'[1]nome do paixs'!$A:$B,2,0)</f>
        <v>Portugal</v>
      </c>
      <c r="J55" t="s">
        <v>11</v>
      </c>
    </row>
    <row r="56" spans="1:10">
      <c r="A56">
        <v>2025</v>
      </c>
      <c r="B56">
        <v>2</v>
      </c>
      <c r="C56">
        <v>8807</v>
      </c>
      <c r="D56">
        <v>628</v>
      </c>
      <c r="E56" t="s">
        <v>10</v>
      </c>
      <c r="F56">
        <v>3454102</v>
      </c>
      <c r="G56" s="1">
        <v>0</v>
      </c>
      <c r="H56" s="2">
        <v>205</v>
      </c>
      <c r="I56" t="str">
        <f>VLOOKUP(Tabela2[[#This Row],[PAIS]],'[1]nome do paixs'!$A:$B,2,0)</f>
        <v>Reino Unido</v>
      </c>
      <c r="J56" t="s">
        <v>11</v>
      </c>
    </row>
    <row r="57" spans="1:10">
      <c r="A57">
        <v>2025</v>
      </c>
      <c r="B57">
        <v>6</v>
      </c>
      <c r="C57">
        <v>8807</v>
      </c>
      <c r="D57">
        <v>249</v>
      </c>
      <c r="E57" t="s">
        <v>10</v>
      </c>
      <c r="F57">
        <v>3454102</v>
      </c>
      <c r="G57" s="1">
        <v>65</v>
      </c>
      <c r="H57" s="2">
        <v>35338</v>
      </c>
      <c r="I57" t="str">
        <f>VLOOKUP(Tabela2[[#This Row],[PAIS]],'[1]nome do paixs'!$A:$B,2,0)</f>
        <v>Estados Unidos</v>
      </c>
      <c r="J57" t="s">
        <v>11</v>
      </c>
    </row>
    <row r="58" spans="1:10">
      <c r="A58">
        <v>2025</v>
      </c>
      <c r="B58">
        <v>2</v>
      </c>
      <c r="C58">
        <v>8807</v>
      </c>
      <c r="D58">
        <v>741</v>
      </c>
      <c r="E58" t="s">
        <v>10</v>
      </c>
      <c r="F58">
        <v>3454102</v>
      </c>
      <c r="G58" s="1">
        <v>24</v>
      </c>
      <c r="H58" s="2">
        <v>25628</v>
      </c>
      <c r="I58" t="str">
        <f>VLOOKUP(Tabela2[[#This Row],[PAIS]],'[1]nome do paixs'!$A:$B,2,0)</f>
        <v>Singapura</v>
      </c>
      <c r="J58" t="s">
        <v>11</v>
      </c>
    </row>
    <row r="59" spans="1:10">
      <c r="A59">
        <v>2025</v>
      </c>
      <c r="B59">
        <v>6</v>
      </c>
      <c r="C59">
        <v>8807</v>
      </c>
      <c r="D59">
        <v>247</v>
      </c>
      <c r="E59" t="s">
        <v>10</v>
      </c>
      <c r="F59">
        <v>3454102</v>
      </c>
      <c r="G59" s="1">
        <v>3</v>
      </c>
      <c r="H59" s="2">
        <v>2569</v>
      </c>
      <c r="I59" t="str">
        <f>VLOOKUP(Tabela2[[#This Row],[PAIS]],'[1]nome do paixs'!$A:$B,2,0)</f>
        <v>Eslováquia</v>
      </c>
      <c r="J59" t="s">
        <v>11</v>
      </c>
    </row>
    <row r="60" spans="1:10">
      <c r="A60">
        <v>2025</v>
      </c>
      <c r="B60">
        <v>1</v>
      </c>
      <c r="C60">
        <v>8807</v>
      </c>
      <c r="D60">
        <v>160</v>
      </c>
      <c r="E60" t="s">
        <v>10</v>
      </c>
      <c r="F60">
        <v>3454102</v>
      </c>
      <c r="G60" s="1">
        <v>4</v>
      </c>
      <c r="H60" s="2">
        <v>1113</v>
      </c>
      <c r="I60" t="str">
        <f>VLOOKUP(Tabela2[[#This Row],[PAIS]],'[1]nome do paixs'!$A:$B,2,0)</f>
        <v>China</v>
      </c>
      <c r="J60" t="s">
        <v>11</v>
      </c>
    </row>
    <row r="61" spans="1:10">
      <c r="A61">
        <v>2025</v>
      </c>
      <c r="B61">
        <v>4</v>
      </c>
      <c r="C61">
        <v>8807</v>
      </c>
      <c r="D61">
        <v>275</v>
      </c>
      <c r="E61" t="s">
        <v>10</v>
      </c>
      <c r="F61">
        <v>3454102</v>
      </c>
      <c r="G61" s="1">
        <v>131</v>
      </c>
      <c r="H61" s="2">
        <v>115045</v>
      </c>
      <c r="I61" t="str">
        <f>VLOOKUP(Tabela2[[#This Row],[PAIS]],'[1]nome do paixs'!$A:$B,2,0)</f>
        <v>França</v>
      </c>
      <c r="J61" t="s">
        <v>11</v>
      </c>
    </row>
    <row r="62" spans="1:10">
      <c r="A62">
        <v>2025</v>
      </c>
      <c r="B62">
        <v>3</v>
      </c>
      <c r="C62">
        <v>8807</v>
      </c>
      <c r="D62">
        <v>23</v>
      </c>
      <c r="E62" t="s">
        <v>10</v>
      </c>
      <c r="F62">
        <v>3454102</v>
      </c>
      <c r="G62" s="1">
        <v>15</v>
      </c>
      <c r="H62" s="2">
        <v>54902</v>
      </c>
      <c r="I62" t="str">
        <f>VLOOKUP(Tabela2[[#This Row],[PAIS]],'[1]nome do paixs'!$A:$B,2,0)</f>
        <v>Alemanha</v>
      </c>
      <c r="J62" t="s">
        <v>11</v>
      </c>
    </row>
    <row r="63" spans="1:10">
      <c r="A63">
        <v>2025</v>
      </c>
      <c r="B63">
        <v>2</v>
      </c>
      <c r="C63">
        <v>8807</v>
      </c>
      <c r="D63">
        <v>607</v>
      </c>
      <c r="E63" t="s">
        <v>10</v>
      </c>
      <c r="F63">
        <v>3454102</v>
      </c>
      <c r="G63" s="1">
        <v>1</v>
      </c>
      <c r="H63" s="2">
        <v>1085</v>
      </c>
      <c r="I63" t="str">
        <f>VLOOKUP(Tabela2[[#This Row],[PAIS]],'[1]nome do paixs'!$A:$B,2,0)</f>
        <v>Portugal</v>
      </c>
      <c r="J63" t="s">
        <v>11</v>
      </c>
    </row>
    <row r="64" spans="1:10">
      <c r="A64">
        <v>2025</v>
      </c>
      <c r="B64">
        <v>5</v>
      </c>
      <c r="C64">
        <v>8807</v>
      </c>
      <c r="D64">
        <v>275</v>
      </c>
      <c r="E64" t="s">
        <v>10</v>
      </c>
      <c r="F64">
        <v>3454102</v>
      </c>
      <c r="G64" s="1">
        <v>371</v>
      </c>
      <c r="H64" s="2">
        <v>365095</v>
      </c>
      <c r="I64" t="str">
        <f>VLOOKUP(Tabela2[[#This Row],[PAIS]],'[1]nome do paixs'!$A:$B,2,0)</f>
        <v>França</v>
      </c>
      <c r="J64" t="s">
        <v>11</v>
      </c>
    </row>
    <row r="65" spans="1:10">
      <c r="A65">
        <v>2025</v>
      </c>
      <c r="B65">
        <v>1</v>
      </c>
      <c r="C65">
        <v>8807</v>
      </c>
      <c r="D65">
        <v>756</v>
      </c>
      <c r="E65" t="s">
        <v>10</v>
      </c>
      <c r="F65">
        <v>3454102</v>
      </c>
      <c r="G65" s="1">
        <v>1</v>
      </c>
      <c r="H65" s="2">
        <v>510</v>
      </c>
      <c r="I65" t="str">
        <f>VLOOKUP(Tabela2[[#This Row],[PAIS]],'[1]nome do paixs'!$A:$B,2,0)</f>
        <v>África do Sul</v>
      </c>
      <c r="J65" t="s">
        <v>11</v>
      </c>
    </row>
    <row r="66" spans="1:10">
      <c r="A66">
        <v>2025</v>
      </c>
      <c r="B66">
        <v>3</v>
      </c>
      <c r="C66">
        <v>8807</v>
      </c>
      <c r="D66">
        <v>756</v>
      </c>
      <c r="E66" t="s">
        <v>10</v>
      </c>
      <c r="F66">
        <v>3454102</v>
      </c>
      <c r="G66" s="1">
        <v>0</v>
      </c>
      <c r="H66" s="2">
        <v>203</v>
      </c>
      <c r="I66" t="str">
        <f>VLOOKUP(Tabela2[[#This Row],[PAIS]],'[1]nome do paixs'!$A:$B,2,0)</f>
        <v>África do Sul</v>
      </c>
      <c r="J66" t="s">
        <v>11</v>
      </c>
    </row>
    <row r="67" spans="1:10">
      <c r="A67">
        <v>2025</v>
      </c>
      <c r="B67">
        <v>2</v>
      </c>
      <c r="C67">
        <v>8807</v>
      </c>
      <c r="D67">
        <v>23</v>
      </c>
      <c r="E67" t="s">
        <v>10</v>
      </c>
      <c r="F67">
        <v>3454102</v>
      </c>
      <c r="G67" s="1">
        <v>58</v>
      </c>
      <c r="H67" s="2">
        <v>195764</v>
      </c>
      <c r="I67" t="str">
        <f>VLOOKUP(Tabela2[[#This Row],[PAIS]],'[1]nome do paixs'!$A:$B,2,0)</f>
        <v>Alemanha</v>
      </c>
      <c r="J67" t="s">
        <v>11</v>
      </c>
    </row>
    <row r="68" spans="1:10">
      <c r="A68">
        <v>2025</v>
      </c>
      <c r="B68">
        <v>7</v>
      </c>
      <c r="C68">
        <v>8807</v>
      </c>
      <c r="D68">
        <v>607</v>
      </c>
      <c r="E68" t="s">
        <v>10</v>
      </c>
      <c r="F68">
        <v>3449904</v>
      </c>
      <c r="G68" s="1">
        <v>82</v>
      </c>
      <c r="H68" s="2">
        <v>206500</v>
      </c>
      <c r="I68" t="str">
        <f>VLOOKUP(Tabela2[[#This Row],[PAIS]],'[1]nome do paixs'!$A:$B,2,0)</f>
        <v>Portugal</v>
      </c>
      <c r="J68" t="s">
        <v>12</v>
      </c>
    </row>
    <row r="69" spans="1:10">
      <c r="A69">
        <v>2025</v>
      </c>
      <c r="B69">
        <v>4</v>
      </c>
      <c r="C69">
        <v>8807</v>
      </c>
      <c r="D69">
        <v>245</v>
      </c>
      <c r="E69" t="s">
        <v>10</v>
      </c>
      <c r="F69">
        <v>3449904</v>
      </c>
      <c r="G69" s="1">
        <v>8604</v>
      </c>
      <c r="H69" s="2">
        <v>5671510</v>
      </c>
      <c r="I69" t="str">
        <f>VLOOKUP(Tabela2[[#This Row],[PAIS]],'[1]nome do paixs'!$A:$B,2,0)</f>
        <v>Espanha</v>
      </c>
      <c r="J69" t="s">
        <v>12</v>
      </c>
    </row>
    <row r="70" spans="1:10">
      <c r="A70">
        <v>2025</v>
      </c>
      <c r="B70">
        <v>6</v>
      </c>
      <c r="C70">
        <v>8807</v>
      </c>
      <c r="D70">
        <v>158</v>
      </c>
      <c r="E70" t="s">
        <v>10</v>
      </c>
      <c r="F70">
        <v>3449904</v>
      </c>
      <c r="G70" s="1">
        <v>12</v>
      </c>
      <c r="H70" s="2">
        <v>50593</v>
      </c>
      <c r="I70" t="str">
        <f>VLOOKUP(Tabela2[[#This Row],[PAIS]],'[1]nome do paixs'!$A:$B,2,0)</f>
        <v>Chile</v>
      </c>
      <c r="J70" t="s">
        <v>12</v>
      </c>
    </row>
    <row r="71" spans="1:10">
      <c r="A71">
        <v>2025</v>
      </c>
      <c r="B71">
        <v>4</v>
      </c>
      <c r="C71">
        <v>8807</v>
      </c>
      <c r="D71">
        <v>247</v>
      </c>
      <c r="E71" t="s">
        <v>10</v>
      </c>
      <c r="F71">
        <v>3449904</v>
      </c>
      <c r="G71" s="1">
        <v>5</v>
      </c>
      <c r="H71" s="2">
        <v>10492</v>
      </c>
      <c r="I71" t="str">
        <f>VLOOKUP(Tabela2[[#This Row],[PAIS]],'[1]nome do paixs'!$A:$B,2,0)</f>
        <v>Eslováquia</v>
      </c>
      <c r="J71" t="s">
        <v>12</v>
      </c>
    </row>
    <row r="72" spans="1:10">
      <c r="A72">
        <v>2025</v>
      </c>
      <c r="B72">
        <v>5</v>
      </c>
      <c r="C72">
        <v>8807</v>
      </c>
      <c r="D72">
        <v>756</v>
      </c>
      <c r="E72" t="s">
        <v>10</v>
      </c>
      <c r="F72">
        <v>3449904</v>
      </c>
      <c r="G72" s="1">
        <v>2</v>
      </c>
      <c r="H72" s="2">
        <v>9428</v>
      </c>
      <c r="I72" t="str">
        <f>VLOOKUP(Tabela2[[#This Row],[PAIS]],'[1]nome do paixs'!$A:$B,2,0)</f>
        <v>África do Sul</v>
      </c>
      <c r="J72" t="s">
        <v>12</v>
      </c>
    </row>
    <row r="73" spans="1:10">
      <c r="A73">
        <v>2025</v>
      </c>
      <c r="B73">
        <v>8</v>
      </c>
      <c r="C73">
        <v>8807</v>
      </c>
      <c r="D73">
        <v>607</v>
      </c>
      <c r="E73" t="s">
        <v>10</v>
      </c>
      <c r="F73">
        <v>3449904</v>
      </c>
      <c r="G73" s="1">
        <v>113</v>
      </c>
      <c r="H73" s="2">
        <v>321030</v>
      </c>
      <c r="I73" t="str">
        <f>VLOOKUP(Tabela2[[#This Row],[PAIS]],'[1]nome do paixs'!$A:$B,2,0)</f>
        <v>Portugal</v>
      </c>
      <c r="J73" t="s">
        <v>12</v>
      </c>
    </row>
    <row r="74" spans="1:10">
      <c r="A74">
        <v>2025</v>
      </c>
      <c r="B74">
        <v>7</v>
      </c>
      <c r="C74">
        <v>8807</v>
      </c>
      <c r="D74">
        <v>247</v>
      </c>
      <c r="E74" t="s">
        <v>10</v>
      </c>
      <c r="F74">
        <v>3449904</v>
      </c>
      <c r="G74" s="1">
        <v>7</v>
      </c>
      <c r="H74" s="2">
        <v>21619</v>
      </c>
      <c r="I74" t="str">
        <f>VLOOKUP(Tabela2[[#This Row],[PAIS]],'[1]nome do paixs'!$A:$B,2,0)</f>
        <v>Eslováquia</v>
      </c>
      <c r="J74" t="s">
        <v>12</v>
      </c>
    </row>
    <row r="75" spans="1:10">
      <c r="A75">
        <v>2025</v>
      </c>
      <c r="B75">
        <v>3</v>
      </c>
      <c r="C75">
        <v>8807</v>
      </c>
      <c r="D75">
        <v>403</v>
      </c>
      <c r="E75" t="s">
        <v>10</v>
      </c>
      <c r="F75">
        <v>3449904</v>
      </c>
      <c r="G75" s="1">
        <v>0</v>
      </c>
      <c r="H75" s="2">
        <v>529</v>
      </c>
      <c r="I75" t="str">
        <f>VLOOKUP(Tabela2[[#This Row],[PAIS]],'[1]nome do paixs'!$A:$B,2,0)</f>
        <v>Jordânia</v>
      </c>
      <c r="J75" t="s">
        <v>12</v>
      </c>
    </row>
    <row r="76" spans="1:10">
      <c r="A76">
        <v>2025</v>
      </c>
      <c r="B76">
        <v>2</v>
      </c>
      <c r="C76">
        <v>8807</v>
      </c>
      <c r="D76">
        <v>23</v>
      </c>
      <c r="E76" t="s">
        <v>10</v>
      </c>
      <c r="F76">
        <v>3449904</v>
      </c>
      <c r="G76" s="1">
        <v>387</v>
      </c>
      <c r="H76" s="2">
        <v>616263</v>
      </c>
      <c r="I76" t="str">
        <f>VLOOKUP(Tabela2[[#This Row],[PAIS]],'[1]nome do paixs'!$A:$B,2,0)</f>
        <v>Alemanha</v>
      </c>
      <c r="J76" t="s">
        <v>12</v>
      </c>
    </row>
    <row r="77" spans="1:10">
      <c r="A77">
        <v>2025</v>
      </c>
      <c r="B77">
        <v>6</v>
      </c>
      <c r="C77">
        <v>8807</v>
      </c>
      <c r="D77">
        <v>355</v>
      </c>
      <c r="E77" t="s">
        <v>10</v>
      </c>
      <c r="F77">
        <v>3449904</v>
      </c>
      <c r="G77" s="1">
        <v>0</v>
      </c>
      <c r="H77" s="2">
        <v>5854</v>
      </c>
      <c r="I77" t="str">
        <f>VLOOKUP(Tabela2[[#This Row],[PAIS]],'[1]nome do paixs'!$A:$B,2,0)</f>
        <v>Hungria</v>
      </c>
      <c r="J77" t="s">
        <v>12</v>
      </c>
    </row>
    <row r="78" spans="1:10">
      <c r="A78">
        <v>2025</v>
      </c>
      <c r="B78">
        <v>1</v>
      </c>
      <c r="C78">
        <v>8807</v>
      </c>
      <c r="D78">
        <v>497</v>
      </c>
      <c r="E78" t="s">
        <v>10</v>
      </c>
      <c r="F78">
        <v>3449904</v>
      </c>
      <c r="G78" s="1">
        <v>1</v>
      </c>
      <c r="H78" s="2">
        <v>11874</v>
      </c>
      <c r="I78" t="str">
        <f>VLOOKUP(Tabela2[[#This Row],[PAIS]],'[1]nome do paixs'!$A:$B,2,0)</f>
        <v>Mongólia</v>
      </c>
      <c r="J78" t="s">
        <v>12</v>
      </c>
    </row>
    <row r="79" spans="1:10">
      <c r="A79">
        <v>2025</v>
      </c>
      <c r="B79">
        <v>3</v>
      </c>
      <c r="C79">
        <v>8807</v>
      </c>
      <c r="D79">
        <v>607</v>
      </c>
      <c r="E79" t="s">
        <v>10</v>
      </c>
      <c r="F79">
        <v>3449904</v>
      </c>
      <c r="G79" s="1">
        <v>76</v>
      </c>
      <c r="H79" s="2">
        <v>162825</v>
      </c>
      <c r="I79" t="str">
        <f>VLOOKUP(Tabela2[[#This Row],[PAIS]],'[1]nome do paixs'!$A:$B,2,0)</f>
        <v>Portugal</v>
      </c>
      <c r="J79" t="s">
        <v>12</v>
      </c>
    </row>
    <row r="80" spans="1:10">
      <c r="A80">
        <v>2025</v>
      </c>
      <c r="B80">
        <v>4</v>
      </c>
      <c r="C80">
        <v>8807</v>
      </c>
      <c r="D80">
        <v>23</v>
      </c>
      <c r="E80" t="s">
        <v>10</v>
      </c>
      <c r="F80">
        <v>3449904</v>
      </c>
      <c r="G80" s="1">
        <v>442</v>
      </c>
      <c r="H80" s="2">
        <v>618051</v>
      </c>
      <c r="I80" t="str">
        <f>VLOOKUP(Tabela2[[#This Row],[PAIS]],'[1]nome do paixs'!$A:$B,2,0)</f>
        <v>Alemanha</v>
      </c>
      <c r="J80" t="s">
        <v>12</v>
      </c>
    </row>
    <row r="81" spans="1:10">
      <c r="A81">
        <v>2025</v>
      </c>
      <c r="B81">
        <v>8</v>
      </c>
      <c r="C81">
        <v>8807</v>
      </c>
      <c r="D81">
        <v>603</v>
      </c>
      <c r="E81" t="s">
        <v>10</v>
      </c>
      <c r="F81">
        <v>3449904</v>
      </c>
      <c r="G81" s="1">
        <v>2</v>
      </c>
      <c r="H81" s="2">
        <v>48652</v>
      </c>
      <c r="I81" t="str">
        <f>VLOOKUP(Tabela2[[#This Row],[PAIS]],'[1]nome do paixs'!$A:$B,2,0)</f>
        <v>Polônia</v>
      </c>
      <c r="J81" t="s">
        <v>12</v>
      </c>
    </row>
    <row r="82" spans="1:10">
      <c r="A82">
        <v>2025</v>
      </c>
      <c r="B82">
        <v>8</v>
      </c>
      <c r="C82">
        <v>8807</v>
      </c>
      <c r="D82">
        <v>249</v>
      </c>
      <c r="E82" t="s">
        <v>10</v>
      </c>
      <c r="F82">
        <v>3449904</v>
      </c>
      <c r="G82" s="1">
        <v>6842</v>
      </c>
      <c r="H82" s="2">
        <v>5082582</v>
      </c>
      <c r="I82" t="str">
        <f>VLOOKUP(Tabela2[[#This Row],[PAIS]],'[1]nome do paixs'!$A:$B,2,0)</f>
        <v>Estados Unidos</v>
      </c>
      <c r="J82" t="s">
        <v>12</v>
      </c>
    </row>
    <row r="83" spans="1:10">
      <c r="A83">
        <v>2025</v>
      </c>
      <c r="B83">
        <v>1</v>
      </c>
      <c r="C83">
        <v>8807</v>
      </c>
      <c r="D83">
        <v>23</v>
      </c>
      <c r="E83" t="s">
        <v>10</v>
      </c>
      <c r="F83">
        <v>3449904</v>
      </c>
      <c r="G83" s="1">
        <v>24</v>
      </c>
      <c r="H83" s="2">
        <v>18867</v>
      </c>
      <c r="I83" t="str">
        <f>VLOOKUP(Tabela2[[#This Row],[PAIS]],'[1]nome do paixs'!$A:$B,2,0)</f>
        <v>Alemanha</v>
      </c>
      <c r="J83" t="s">
        <v>12</v>
      </c>
    </row>
    <row r="84" spans="1:10">
      <c r="A84">
        <v>2025</v>
      </c>
      <c r="B84">
        <v>6</v>
      </c>
      <c r="C84">
        <v>8807</v>
      </c>
      <c r="D84">
        <v>455</v>
      </c>
      <c r="E84" t="s">
        <v>10</v>
      </c>
      <c r="F84">
        <v>3449904</v>
      </c>
      <c r="G84" s="1">
        <v>3</v>
      </c>
      <c r="H84" s="2">
        <v>997</v>
      </c>
      <c r="I84" t="str">
        <f>VLOOKUP(Tabela2[[#This Row],[PAIS]],'[1]nome do paixs'!$A:$B,2,0)</f>
        <v>Malásia</v>
      </c>
      <c r="J84" t="s">
        <v>12</v>
      </c>
    </row>
    <row r="85" spans="1:10">
      <c r="A85">
        <v>2025</v>
      </c>
      <c r="B85">
        <v>5</v>
      </c>
      <c r="C85">
        <v>8807</v>
      </c>
      <c r="D85">
        <v>249</v>
      </c>
      <c r="E85" t="s">
        <v>10</v>
      </c>
      <c r="F85">
        <v>3449904</v>
      </c>
      <c r="G85" s="1">
        <v>6174</v>
      </c>
      <c r="H85" s="2">
        <v>5325223</v>
      </c>
      <c r="I85" t="str">
        <f>VLOOKUP(Tabela2[[#This Row],[PAIS]],'[1]nome do paixs'!$A:$B,2,0)</f>
        <v>Estados Unidos</v>
      </c>
      <c r="J85" t="s">
        <v>12</v>
      </c>
    </row>
    <row r="86" spans="1:10">
      <c r="A86">
        <v>2025</v>
      </c>
      <c r="B86">
        <v>4</v>
      </c>
      <c r="C86">
        <v>8807</v>
      </c>
      <c r="D86">
        <v>169</v>
      </c>
      <c r="E86" t="s">
        <v>10</v>
      </c>
      <c r="F86">
        <v>3449904</v>
      </c>
      <c r="G86" s="1">
        <v>2</v>
      </c>
      <c r="H86" s="2">
        <v>29678</v>
      </c>
      <c r="I86" t="str">
        <f>VLOOKUP(Tabela2[[#This Row],[PAIS]],'[1]nome do paixs'!$A:$B,2,0)</f>
        <v>Colômbia</v>
      </c>
      <c r="J86" t="s">
        <v>12</v>
      </c>
    </row>
    <row r="87" spans="1:10">
      <c r="A87">
        <v>2025</v>
      </c>
      <c r="B87">
        <v>8</v>
      </c>
      <c r="C87">
        <v>8807</v>
      </c>
      <c r="D87">
        <v>169</v>
      </c>
      <c r="E87" t="s">
        <v>10</v>
      </c>
      <c r="F87">
        <v>3449904</v>
      </c>
      <c r="G87" s="1">
        <v>29</v>
      </c>
      <c r="H87" s="2">
        <v>464909</v>
      </c>
      <c r="I87" t="str">
        <f>VLOOKUP(Tabela2[[#This Row],[PAIS]],'[1]nome do paixs'!$A:$B,2,0)</f>
        <v>Colômbia</v>
      </c>
      <c r="J87" t="s">
        <v>12</v>
      </c>
    </row>
    <row r="88" spans="1:10">
      <c r="A88">
        <v>2025</v>
      </c>
      <c r="B88">
        <v>6</v>
      </c>
      <c r="C88">
        <v>8807</v>
      </c>
      <c r="D88">
        <v>427</v>
      </c>
      <c r="E88" t="s">
        <v>10</v>
      </c>
      <c r="F88">
        <v>3449904</v>
      </c>
      <c r="G88" s="1">
        <v>0</v>
      </c>
      <c r="H88" s="2">
        <v>1329</v>
      </c>
      <c r="I88" t="str">
        <f>VLOOKUP(Tabela2[[#This Row],[PAIS]],'[1]nome do paixs'!$A:$B,2,0)</f>
        <v>Letônia</v>
      </c>
      <c r="J88" t="s">
        <v>12</v>
      </c>
    </row>
    <row r="89" spans="1:10">
      <c r="A89">
        <v>2025</v>
      </c>
      <c r="B89">
        <v>1</v>
      </c>
      <c r="C89">
        <v>8807</v>
      </c>
      <c r="D89">
        <v>528</v>
      </c>
      <c r="E89" t="s">
        <v>10</v>
      </c>
      <c r="F89">
        <v>3449904</v>
      </c>
      <c r="G89" s="1">
        <v>2</v>
      </c>
      <c r="H89" s="2">
        <v>26796</v>
      </c>
      <c r="I89" t="str">
        <f>VLOOKUP(Tabela2[[#This Row],[PAIS]],'[1]nome do paixs'!$A:$B,2,0)</f>
        <v>Nigéria</v>
      </c>
      <c r="J89" t="s">
        <v>12</v>
      </c>
    </row>
    <row r="90" spans="1:10">
      <c r="A90">
        <v>2025</v>
      </c>
      <c r="B90">
        <v>8</v>
      </c>
      <c r="C90">
        <v>8807</v>
      </c>
      <c r="D90">
        <v>69</v>
      </c>
      <c r="E90" t="s">
        <v>10</v>
      </c>
      <c r="F90">
        <v>3449904</v>
      </c>
      <c r="G90" s="1">
        <v>1</v>
      </c>
      <c r="H90" s="2">
        <v>5370</v>
      </c>
      <c r="I90" t="str">
        <f>VLOOKUP(Tabela2[[#This Row],[PAIS]],'[1]nome do paixs'!$A:$B,2,0)</f>
        <v>Austrália</v>
      </c>
      <c r="J90" t="s">
        <v>12</v>
      </c>
    </row>
    <row r="91" spans="1:10">
      <c r="A91">
        <v>2025</v>
      </c>
      <c r="B91">
        <v>7</v>
      </c>
      <c r="C91">
        <v>8807</v>
      </c>
      <c r="D91">
        <v>23</v>
      </c>
      <c r="E91" t="s">
        <v>10</v>
      </c>
      <c r="F91">
        <v>3449904</v>
      </c>
      <c r="G91" s="1">
        <v>244</v>
      </c>
      <c r="H91" s="2">
        <v>576144</v>
      </c>
      <c r="I91" t="str">
        <f>VLOOKUP(Tabela2[[#This Row],[PAIS]],'[1]nome do paixs'!$A:$B,2,0)</f>
        <v>Alemanha</v>
      </c>
      <c r="J91" t="s">
        <v>12</v>
      </c>
    </row>
    <row r="92" spans="1:10">
      <c r="A92">
        <v>2025</v>
      </c>
      <c r="B92">
        <v>8</v>
      </c>
      <c r="C92">
        <v>8807</v>
      </c>
      <c r="D92">
        <v>267</v>
      </c>
      <c r="E92" t="s">
        <v>10</v>
      </c>
      <c r="F92">
        <v>3449904</v>
      </c>
      <c r="G92" s="1">
        <v>9</v>
      </c>
      <c r="H92" s="2">
        <v>104461</v>
      </c>
      <c r="I92" t="str">
        <f>VLOOKUP(Tabela2[[#This Row],[PAIS]],'[1]nome do paixs'!$A:$B,2,0)</f>
        <v>Filipinas</v>
      </c>
      <c r="J92" t="s">
        <v>12</v>
      </c>
    </row>
    <row r="93" spans="1:10">
      <c r="A93">
        <v>2025</v>
      </c>
      <c r="B93">
        <v>8</v>
      </c>
      <c r="C93">
        <v>8807</v>
      </c>
      <c r="D93">
        <v>87</v>
      </c>
      <c r="E93" t="s">
        <v>10</v>
      </c>
      <c r="F93">
        <v>3449904</v>
      </c>
      <c r="G93" s="1">
        <v>10093</v>
      </c>
      <c r="H93" s="2">
        <v>5629526</v>
      </c>
      <c r="I93" t="str">
        <f>VLOOKUP(Tabela2[[#This Row],[PAIS]],'[1]nome do paixs'!$A:$B,2,0)</f>
        <v>Bélgica</v>
      </c>
      <c r="J93" t="s">
        <v>12</v>
      </c>
    </row>
    <row r="94" spans="1:10">
      <c r="A94">
        <v>2025</v>
      </c>
      <c r="B94">
        <v>7</v>
      </c>
      <c r="C94">
        <v>8807</v>
      </c>
      <c r="D94">
        <v>245</v>
      </c>
      <c r="E94" t="s">
        <v>10</v>
      </c>
      <c r="F94">
        <v>3449904</v>
      </c>
      <c r="G94" s="1">
        <v>11581</v>
      </c>
      <c r="H94" s="2">
        <v>5973239</v>
      </c>
      <c r="I94" t="str">
        <f>VLOOKUP(Tabela2[[#This Row],[PAIS]],'[1]nome do paixs'!$A:$B,2,0)</f>
        <v>Espanha</v>
      </c>
      <c r="J94" t="s">
        <v>12</v>
      </c>
    </row>
    <row r="95" spans="1:10">
      <c r="A95">
        <v>2025</v>
      </c>
      <c r="B95">
        <v>1</v>
      </c>
      <c r="C95">
        <v>8807</v>
      </c>
      <c r="D95">
        <v>741</v>
      </c>
      <c r="E95" t="s">
        <v>10</v>
      </c>
      <c r="F95">
        <v>3449904</v>
      </c>
      <c r="G95" s="1">
        <v>109</v>
      </c>
      <c r="H95" s="2">
        <v>204920</v>
      </c>
      <c r="I95" t="str">
        <f>VLOOKUP(Tabela2[[#This Row],[PAIS]],'[1]nome do paixs'!$A:$B,2,0)</f>
        <v>Singapura</v>
      </c>
      <c r="J95" t="s">
        <v>12</v>
      </c>
    </row>
    <row r="96" spans="1:10">
      <c r="A96">
        <v>2025</v>
      </c>
      <c r="B96">
        <v>1</v>
      </c>
      <c r="C96">
        <v>8807</v>
      </c>
      <c r="D96">
        <v>498</v>
      </c>
      <c r="E96" t="s">
        <v>10</v>
      </c>
      <c r="F96">
        <v>3449904</v>
      </c>
      <c r="G96" s="1">
        <v>2</v>
      </c>
      <c r="H96" s="2">
        <v>2116</v>
      </c>
      <c r="I96" t="str">
        <f>VLOOKUP(Tabela2[[#This Row],[PAIS]],'[1]nome do paixs'!$A:$B,2,0)</f>
        <v>Montenegro</v>
      </c>
      <c r="J96" t="s">
        <v>12</v>
      </c>
    </row>
    <row r="97" spans="1:10">
      <c r="A97">
        <v>2025</v>
      </c>
      <c r="B97">
        <v>1</v>
      </c>
      <c r="C97">
        <v>8807</v>
      </c>
      <c r="D97">
        <v>275</v>
      </c>
      <c r="E97" t="s">
        <v>10</v>
      </c>
      <c r="F97">
        <v>3449904</v>
      </c>
      <c r="G97" s="1">
        <v>1026</v>
      </c>
      <c r="H97" s="2">
        <v>531403</v>
      </c>
      <c r="I97" t="str">
        <f>VLOOKUP(Tabela2[[#This Row],[PAIS]],'[1]nome do paixs'!$A:$B,2,0)</f>
        <v>França</v>
      </c>
      <c r="J97" t="s">
        <v>12</v>
      </c>
    </row>
    <row r="98" spans="1:10">
      <c r="A98">
        <v>2025</v>
      </c>
      <c r="B98">
        <v>2</v>
      </c>
      <c r="C98">
        <v>8807</v>
      </c>
      <c r="D98">
        <v>149</v>
      </c>
      <c r="E98" t="s">
        <v>10</v>
      </c>
      <c r="F98">
        <v>3449904</v>
      </c>
      <c r="G98" s="1">
        <v>8</v>
      </c>
      <c r="H98" s="2">
        <v>8576</v>
      </c>
      <c r="I98" t="str">
        <f>VLOOKUP(Tabela2[[#This Row],[PAIS]],'[1]nome do paixs'!$A:$B,2,0)</f>
        <v>Canadá</v>
      </c>
      <c r="J98" t="s">
        <v>12</v>
      </c>
    </row>
    <row r="99" spans="1:10">
      <c r="A99">
        <v>2025</v>
      </c>
      <c r="B99">
        <v>8</v>
      </c>
      <c r="C99">
        <v>8807</v>
      </c>
      <c r="D99">
        <v>239</v>
      </c>
      <c r="E99" t="s">
        <v>10</v>
      </c>
      <c r="F99">
        <v>3449904</v>
      </c>
      <c r="G99" s="1">
        <v>9</v>
      </c>
      <c r="H99" s="2">
        <v>37595</v>
      </c>
      <c r="I99" t="str">
        <f>VLOOKUP(Tabela2[[#This Row],[PAIS]],'[1]nome do paixs'!$A:$B,2,0)</f>
        <v>Equador</v>
      </c>
      <c r="J99" t="s">
        <v>12</v>
      </c>
    </row>
    <row r="100" spans="1:10">
      <c r="A100">
        <v>2025</v>
      </c>
      <c r="B100">
        <v>6</v>
      </c>
      <c r="C100">
        <v>8807</v>
      </c>
      <c r="D100">
        <v>275</v>
      </c>
      <c r="E100" t="s">
        <v>10</v>
      </c>
      <c r="F100">
        <v>3449904</v>
      </c>
      <c r="G100" s="1">
        <v>821</v>
      </c>
      <c r="H100" s="2">
        <v>520994</v>
      </c>
      <c r="I100" t="str">
        <f>VLOOKUP(Tabela2[[#This Row],[PAIS]],'[1]nome do paixs'!$A:$B,2,0)</f>
        <v>França</v>
      </c>
      <c r="J100" t="s">
        <v>12</v>
      </c>
    </row>
    <row r="101" spans="1:10">
      <c r="A101">
        <v>2025</v>
      </c>
      <c r="B101">
        <v>1</v>
      </c>
      <c r="C101">
        <v>8807</v>
      </c>
      <c r="D101">
        <v>249</v>
      </c>
      <c r="E101" t="s">
        <v>10</v>
      </c>
      <c r="F101">
        <v>3449904</v>
      </c>
      <c r="G101" s="1">
        <v>2681</v>
      </c>
      <c r="H101" s="2">
        <v>2589763</v>
      </c>
      <c r="I101" t="str">
        <f>VLOOKUP(Tabela2[[#This Row],[PAIS]],'[1]nome do paixs'!$A:$B,2,0)</f>
        <v>Estados Unidos</v>
      </c>
      <c r="J101" t="s">
        <v>12</v>
      </c>
    </row>
    <row r="102" spans="1:10">
      <c r="A102">
        <v>2025</v>
      </c>
      <c r="B102">
        <v>8</v>
      </c>
      <c r="C102">
        <v>8807</v>
      </c>
      <c r="D102">
        <v>741</v>
      </c>
      <c r="E102" t="s">
        <v>10</v>
      </c>
      <c r="F102">
        <v>3449904</v>
      </c>
      <c r="G102" s="1">
        <v>163</v>
      </c>
      <c r="H102" s="2">
        <v>99061</v>
      </c>
      <c r="I102" t="str">
        <f>VLOOKUP(Tabela2[[#This Row],[PAIS]],'[1]nome do paixs'!$A:$B,2,0)</f>
        <v>Singapura</v>
      </c>
      <c r="J102" t="s">
        <v>12</v>
      </c>
    </row>
    <row r="103" spans="1:10">
      <c r="A103">
        <v>2025</v>
      </c>
      <c r="B103">
        <v>4</v>
      </c>
      <c r="C103">
        <v>8807</v>
      </c>
      <c r="D103">
        <v>573</v>
      </c>
      <c r="E103" t="s">
        <v>10</v>
      </c>
      <c r="F103">
        <v>3449904</v>
      </c>
      <c r="G103" s="1">
        <v>1</v>
      </c>
      <c r="H103" s="2">
        <v>1736</v>
      </c>
      <c r="I103" t="str">
        <f>VLOOKUP(Tabela2[[#This Row],[PAIS]],'[1]nome do paixs'!$A:$B,2,0)</f>
        <v>Países Baixos (Holanda)</v>
      </c>
      <c r="J103" t="s">
        <v>12</v>
      </c>
    </row>
    <row r="104" spans="1:10">
      <c r="A104">
        <v>2025</v>
      </c>
      <c r="B104">
        <v>3</v>
      </c>
      <c r="C104">
        <v>8807</v>
      </c>
      <c r="D104">
        <v>244</v>
      </c>
      <c r="E104" t="s">
        <v>10</v>
      </c>
      <c r="F104">
        <v>3449904</v>
      </c>
      <c r="G104" s="1">
        <v>2</v>
      </c>
      <c r="H104" s="2">
        <v>9347</v>
      </c>
      <c r="I104" t="str">
        <f>VLOOKUP(Tabela2[[#This Row],[PAIS]],'[1]nome do paixs'!$A:$B,2,0)</f>
        <v>Emirados Árabes Unidos</v>
      </c>
      <c r="J104" t="s">
        <v>12</v>
      </c>
    </row>
    <row r="105" spans="1:10">
      <c r="A105">
        <v>2025</v>
      </c>
      <c r="B105">
        <v>7</v>
      </c>
      <c r="C105">
        <v>8807</v>
      </c>
      <c r="D105">
        <v>87</v>
      </c>
      <c r="E105" t="s">
        <v>10</v>
      </c>
      <c r="F105">
        <v>3449904</v>
      </c>
      <c r="G105" s="1">
        <v>11218</v>
      </c>
      <c r="H105" s="2">
        <v>5084647</v>
      </c>
      <c r="I105" t="str">
        <f>VLOOKUP(Tabela2[[#This Row],[PAIS]],'[1]nome do paixs'!$A:$B,2,0)</f>
        <v>Bélgica</v>
      </c>
      <c r="J105" t="s">
        <v>12</v>
      </c>
    </row>
    <row r="106" spans="1:10">
      <c r="A106">
        <v>2025</v>
      </c>
      <c r="B106">
        <v>8</v>
      </c>
      <c r="C106">
        <v>8807</v>
      </c>
      <c r="D106">
        <v>149</v>
      </c>
      <c r="E106" t="s">
        <v>10</v>
      </c>
      <c r="F106">
        <v>3449904</v>
      </c>
      <c r="G106" s="1">
        <v>21</v>
      </c>
      <c r="H106" s="2">
        <v>133383</v>
      </c>
      <c r="I106" t="str">
        <f>VLOOKUP(Tabela2[[#This Row],[PAIS]],'[1]nome do paixs'!$A:$B,2,0)</f>
        <v>Canadá</v>
      </c>
      <c r="J106" t="s">
        <v>12</v>
      </c>
    </row>
    <row r="107" spans="1:10">
      <c r="A107">
        <v>2025</v>
      </c>
      <c r="B107">
        <v>8</v>
      </c>
      <c r="C107">
        <v>8807</v>
      </c>
      <c r="D107">
        <v>63</v>
      </c>
      <c r="E107" t="s">
        <v>10</v>
      </c>
      <c r="F107">
        <v>3449904</v>
      </c>
      <c r="G107" s="1">
        <v>75</v>
      </c>
      <c r="H107" s="2">
        <v>5912</v>
      </c>
      <c r="I107" t="str">
        <f>VLOOKUP(Tabela2[[#This Row],[PAIS]],'[1]nome do paixs'!$A:$B,2,0)</f>
        <v>Argentina</v>
      </c>
      <c r="J107" t="s">
        <v>12</v>
      </c>
    </row>
    <row r="108" spans="1:10">
      <c r="A108">
        <v>2025</v>
      </c>
      <c r="B108">
        <v>4</v>
      </c>
      <c r="C108">
        <v>8807</v>
      </c>
      <c r="D108">
        <v>603</v>
      </c>
      <c r="E108" t="s">
        <v>10</v>
      </c>
      <c r="F108">
        <v>3449904</v>
      </c>
      <c r="G108" s="1">
        <v>3</v>
      </c>
      <c r="H108" s="2">
        <v>28985</v>
      </c>
      <c r="I108" t="str">
        <f>VLOOKUP(Tabela2[[#This Row],[PAIS]],'[1]nome do paixs'!$A:$B,2,0)</f>
        <v>Polônia</v>
      </c>
      <c r="J108" t="s">
        <v>12</v>
      </c>
    </row>
    <row r="109" spans="1:10">
      <c r="A109">
        <v>2025</v>
      </c>
      <c r="B109">
        <v>8</v>
      </c>
      <c r="C109">
        <v>8807</v>
      </c>
      <c r="D109">
        <v>160</v>
      </c>
      <c r="E109" t="s">
        <v>10</v>
      </c>
      <c r="F109">
        <v>3449904</v>
      </c>
      <c r="G109" s="1">
        <v>1</v>
      </c>
      <c r="H109" s="2">
        <v>12708</v>
      </c>
      <c r="I109" t="str">
        <f>VLOOKUP(Tabela2[[#This Row],[PAIS]],'[1]nome do paixs'!$A:$B,2,0)</f>
        <v>China</v>
      </c>
      <c r="J109" t="s">
        <v>12</v>
      </c>
    </row>
    <row r="110" spans="1:10">
      <c r="A110">
        <v>2025</v>
      </c>
      <c r="B110">
        <v>7</v>
      </c>
      <c r="C110">
        <v>8807</v>
      </c>
      <c r="D110">
        <v>232</v>
      </c>
      <c r="E110" t="s">
        <v>10</v>
      </c>
      <c r="F110">
        <v>3449904</v>
      </c>
      <c r="G110" s="1">
        <v>0</v>
      </c>
      <c r="H110" s="2">
        <v>5505</v>
      </c>
      <c r="I110" t="str">
        <f>VLOOKUP(Tabela2[[#This Row],[PAIS]],'[1]nome do paixs'!$A:$B,2,0)</f>
        <v>Dinamarca</v>
      </c>
      <c r="J110" t="s">
        <v>12</v>
      </c>
    </row>
    <row r="111" spans="1:10">
      <c r="A111">
        <v>2025</v>
      </c>
      <c r="B111">
        <v>2</v>
      </c>
      <c r="C111">
        <v>8807</v>
      </c>
      <c r="D111">
        <v>239</v>
      </c>
      <c r="E111" t="s">
        <v>10</v>
      </c>
      <c r="F111">
        <v>3449904</v>
      </c>
      <c r="G111" s="1">
        <v>3</v>
      </c>
      <c r="H111" s="2">
        <v>49478</v>
      </c>
      <c r="I111" t="str">
        <f>VLOOKUP(Tabela2[[#This Row],[PAIS]],'[1]nome do paixs'!$A:$B,2,0)</f>
        <v>Equador</v>
      </c>
      <c r="J111" t="s">
        <v>12</v>
      </c>
    </row>
    <row r="112" spans="1:10">
      <c r="A112">
        <v>2025</v>
      </c>
      <c r="B112">
        <v>8</v>
      </c>
      <c r="C112">
        <v>8807</v>
      </c>
      <c r="D112">
        <v>73</v>
      </c>
      <c r="E112" t="s">
        <v>10</v>
      </c>
      <c r="F112">
        <v>3449904</v>
      </c>
      <c r="G112" s="1">
        <v>0</v>
      </c>
      <c r="H112" s="2">
        <v>11011</v>
      </c>
      <c r="I112" t="str">
        <f>VLOOKUP(Tabela2[[#This Row],[PAIS]],'[1]nome do paixs'!$A:$B,2,0)</f>
        <v>Azerbaijão</v>
      </c>
      <c r="J112" t="s">
        <v>12</v>
      </c>
    </row>
    <row r="113" spans="1:10">
      <c r="A113">
        <v>2025</v>
      </c>
      <c r="B113">
        <v>6</v>
      </c>
      <c r="C113">
        <v>8807</v>
      </c>
      <c r="D113">
        <v>493</v>
      </c>
      <c r="E113" t="s">
        <v>10</v>
      </c>
      <c r="F113">
        <v>3449904</v>
      </c>
      <c r="G113" s="1">
        <v>1</v>
      </c>
      <c r="H113" s="2">
        <v>44044</v>
      </c>
      <c r="I113" t="str">
        <f>VLOOKUP(Tabela2[[#This Row],[PAIS]],'[1]nome do paixs'!$A:$B,2,0)</f>
        <v>México</v>
      </c>
      <c r="J113" t="s">
        <v>12</v>
      </c>
    </row>
    <row r="114" spans="1:10">
      <c r="A114">
        <v>2025</v>
      </c>
      <c r="B114">
        <v>3</v>
      </c>
      <c r="C114">
        <v>8807</v>
      </c>
      <c r="D114">
        <v>69</v>
      </c>
      <c r="E114" t="s">
        <v>10</v>
      </c>
      <c r="F114">
        <v>3449904</v>
      </c>
      <c r="G114" s="1">
        <v>45</v>
      </c>
      <c r="H114" s="2">
        <v>6473</v>
      </c>
      <c r="I114" t="str">
        <f>VLOOKUP(Tabela2[[#This Row],[PAIS]],'[1]nome do paixs'!$A:$B,2,0)</f>
        <v>Austrália</v>
      </c>
      <c r="J114" t="s">
        <v>12</v>
      </c>
    </row>
    <row r="115" spans="1:10">
      <c r="A115">
        <v>2025</v>
      </c>
      <c r="B115">
        <v>7</v>
      </c>
      <c r="C115">
        <v>8807</v>
      </c>
      <c r="D115">
        <v>271</v>
      </c>
      <c r="E115" t="s">
        <v>10</v>
      </c>
      <c r="F115">
        <v>3449904</v>
      </c>
      <c r="G115" s="1">
        <v>0</v>
      </c>
      <c r="H115" s="2">
        <v>22021</v>
      </c>
      <c r="I115" t="str">
        <f>VLOOKUP(Tabela2[[#This Row],[PAIS]],'[1]nome do paixs'!$A:$B,2,0)</f>
        <v>Finlândia</v>
      </c>
      <c r="J115" t="s">
        <v>12</v>
      </c>
    </row>
    <row r="116" spans="1:10">
      <c r="A116">
        <v>2025</v>
      </c>
      <c r="B116">
        <v>7</v>
      </c>
      <c r="C116">
        <v>8807</v>
      </c>
      <c r="D116">
        <v>244</v>
      </c>
      <c r="E116" t="s">
        <v>10</v>
      </c>
      <c r="F116">
        <v>3449904</v>
      </c>
      <c r="G116" s="1">
        <v>4</v>
      </c>
      <c r="H116" s="2">
        <v>8951</v>
      </c>
      <c r="I116" t="str">
        <f>VLOOKUP(Tabela2[[#This Row],[PAIS]],'[1]nome do paixs'!$A:$B,2,0)</f>
        <v>Emirados Árabes Unidos</v>
      </c>
      <c r="J116" t="s">
        <v>12</v>
      </c>
    </row>
    <row r="117" spans="1:10">
      <c r="A117">
        <v>2025</v>
      </c>
      <c r="B117">
        <v>1</v>
      </c>
      <c r="C117">
        <v>8807</v>
      </c>
      <c r="D117">
        <v>245</v>
      </c>
      <c r="E117" t="s">
        <v>10</v>
      </c>
      <c r="F117">
        <v>3449904</v>
      </c>
      <c r="G117" s="1">
        <v>4589</v>
      </c>
      <c r="H117" s="2">
        <v>2922780</v>
      </c>
      <c r="I117" t="str">
        <f>VLOOKUP(Tabela2[[#This Row],[PAIS]],'[1]nome do paixs'!$A:$B,2,0)</f>
        <v>Espanha</v>
      </c>
      <c r="J117" t="s">
        <v>12</v>
      </c>
    </row>
    <row r="118" spans="1:10">
      <c r="A118">
        <v>2025</v>
      </c>
      <c r="B118">
        <v>4</v>
      </c>
      <c r="C118">
        <v>8807</v>
      </c>
      <c r="D118">
        <v>149</v>
      </c>
      <c r="E118" t="s">
        <v>10</v>
      </c>
      <c r="F118">
        <v>3449904</v>
      </c>
      <c r="G118" s="1">
        <v>1</v>
      </c>
      <c r="H118" s="2">
        <v>19899</v>
      </c>
      <c r="I118" t="str">
        <f>VLOOKUP(Tabela2[[#This Row],[PAIS]],'[1]nome do paixs'!$A:$B,2,0)</f>
        <v>Canadá</v>
      </c>
      <c r="J118" t="s">
        <v>12</v>
      </c>
    </row>
    <row r="119" spans="1:10">
      <c r="A119">
        <v>2025</v>
      </c>
      <c r="B119">
        <v>5</v>
      </c>
      <c r="C119">
        <v>8807</v>
      </c>
      <c r="D119">
        <v>23</v>
      </c>
      <c r="E119" t="s">
        <v>10</v>
      </c>
      <c r="F119">
        <v>3449904</v>
      </c>
      <c r="G119" s="1">
        <v>430</v>
      </c>
      <c r="H119" s="2">
        <v>632811</v>
      </c>
      <c r="I119" t="str">
        <f>VLOOKUP(Tabela2[[#This Row],[PAIS]],'[1]nome do paixs'!$A:$B,2,0)</f>
        <v>Alemanha</v>
      </c>
      <c r="J119" t="s">
        <v>12</v>
      </c>
    </row>
    <row r="120" spans="1:10">
      <c r="A120">
        <v>2025</v>
      </c>
      <c r="B120">
        <v>7</v>
      </c>
      <c r="C120">
        <v>8807</v>
      </c>
      <c r="D120">
        <v>267</v>
      </c>
      <c r="E120" t="s">
        <v>10</v>
      </c>
      <c r="F120">
        <v>3449904</v>
      </c>
      <c r="G120" s="1">
        <v>0</v>
      </c>
      <c r="H120" s="2">
        <v>1776</v>
      </c>
      <c r="I120" t="str">
        <f>VLOOKUP(Tabela2[[#This Row],[PAIS]],'[1]nome do paixs'!$A:$B,2,0)</f>
        <v>Filipinas</v>
      </c>
      <c r="J120" t="s">
        <v>12</v>
      </c>
    </row>
    <row r="121" spans="1:10">
      <c r="A121">
        <v>2025</v>
      </c>
      <c r="B121">
        <v>5</v>
      </c>
      <c r="C121">
        <v>8807</v>
      </c>
      <c r="D121">
        <v>245</v>
      </c>
      <c r="E121" t="s">
        <v>10</v>
      </c>
      <c r="F121">
        <v>3449904</v>
      </c>
      <c r="G121" s="1">
        <v>7605</v>
      </c>
      <c r="H121" s="2">
        <v>4603633</v>
      </c>
      <c r="I121" t="str">
        <f>VLOOKUP(Tabela2[[#This Row],[PAIS]],'[1]nome do paixs'!$A:$B,2,0)</f>
        <v>Espanha</v>
      </c>
      <c r="J121" t="s">
        <v>12</v>
      </c>
    </row>
    <row r="122" spans="1:10">
      <c r="A122">
        <v>2025</v>
      </c>
      <c r="B122">
        <v>7</v>
      </c>
      <c r="C122">
        <v>8807</v>
      </c>
      <c r="D122">
        <v>741</v>
      </c>
      <c r="E122" t="s">
        <v>10</v>
      </c>
      <c r="F122">
        <v>3449904</v>
      </c>
      <c r="G122" s="1">
        <v>50</v>
      </c>
      <c r="H122" s="2">
        <v>38195</v>
      </c>
      <c r="I122" t="str">
        <f>VLOOKUP(Tabela2[[#This Row],[PAIS]],'[1]nome do paixs'!$A:$B,2,0)</f>
        <v>Singapura</v>
      </c>
      <c r="J122" t="s">
        <v>12</v>
      </c>
    </row>
    <row r="123" spans="1:10">
      <c r="A123">
        <v>2025</v>
      </c>
      <c r="B123">
        <v>5</v>
      </c>
      <c r="C123">
        <v>8807</v>
      </c>
      <c r="D123">
        <v>149</v>
      </c>
      <c r="E123" t="s">
        <v>10</v>
      </c>
      <c r="F123">
        <v>3449904</v>
      </c>
      <c r="G123" s="1">
        <v>1</v>
      </c>
      <c r="H123" s="2">
        <v>4234</v>
      </c>
      <c r="I123" t="str">
        <f>VLOOKUP(Tabela2[[#This Row],[PAIS]],'[1]nome do paixs'!$A:$B,2,0)</f>
        <v>Canadá</v>
      </c>
      <c r="J123" t="s">
        <v>12</v>
      </c>
    </row>
    <row r="124" spans="1:10">
      <c r="A124">
        <v>2025</v>
      </c>
      <c r="B124">
        <v>5</v>
      </c>
      <c r="C124">
        <v>8807</v>
      </c>
      <c r="D124">
        <v>603</v>
      </c>
      <c r="E124" t="s">
        <v>10</v>
      </c>
      <c r="F124">
        <v>3449904</v>
      </c>
      <c r="G124" s="1">
        <v>1</v>
      </c>
      <c r="H124" s="2">
        <v>2364</v>
      </c>
      <c r="I124" t="str">
        <f>VLOOKUP(Tabela2[[#This Row],[PAIS]],'[1]nome do paixs'!$A:$B,2,0)</f>
        <v>Polônia</v>
      </c>
      <c r="J124" t="s">
        <v>12</v>
      </c>
    </row>
    <row r="125" spans="1:10">
      <c r="A125">
        <v>2025</v>
      </c>
      <c r="B125">
        <v>7</v>
      </c>
      <c r="C125">
        <v>8807</v>
      </c>
      <c r="D125">
        <v>63</v>
      </c>
      <c r="E125" t="s">
        <v>10</v>
      </c>
      <c r="F125">
        <v>3449904</v>
      </c>
      <c r="G125" s="1">
        <v>22</v>
      </c>
      <c r="H125" s="2">
        <v>426</v>
      </c>
      <c r="I125" t="str">
        <f>VLOOKUP(Tabela2[[#This Row],[PAIS]],'[1]nome do paixs'!$A:$B,2,0)</f>
        <v>Argentina</v>
      </c>
      <c r="J125" t="s">
        <v>12</v>
      </c>
    </row>
    <row r="126" spans="1:10">
      <c r="A126">
        <v>2025</v>
      </c>
      <c r="B126">
        <v>2</v>
      </c>
      <c r="C126">
        <v>8807</v>
      </c>
      <c r="D126">
        <v>246</v>
      </c>
      <c r="E126" t="s">
        <v>10</v>
      </c>
      <c r="F126">
        <v>3449904</v>
      </c>
      <c r="G126" s="1">
        <v>2</v>
      </c>
      <c r="H126" s="2">
        <v>9120</v>
      </c>
      <c r="I126" t="str">
        <f>VLOOKUP(Tabela2[[#This Row],[PAIS]],'[1]nome do paixs'!$A:$B,2,0)</f>
        <v>Eslovênia</v>
      </c>
      <c r="J126" t="s">
        <v>12</v>
      </c>
    </row>
    <row r="127" spans="1:10">
      <c r="A127">
        <v>2025</v>
      </c>
      <c r="B127">
        <v>5</v>
      </c>
      <c r="C127">
        <v>8807</v>
      </c>
      <c r="D127">
        <v>275</v>
      </c>
      <c r="E127" t="s">
        <v>10</v>
      </c>
      <c r="F127">
        <v>3449904</v>
      </c>
      <c r="G127" s="1">
        <v>458</v>
      </c>
      <c r="H127" s="2">
        <v>273505</v>
      </c>
      <c r="I127" t="str">
        <f>VLOOKUP(Tabela2[[#This Row],[PAIS]],'[1]nome do paixs'!$A:$B,2,0)</f>
        <v>França</v>
      </c>
      <c r="J127" t="s">
        <v>12</v>
      </c>
    </row>
    <row r="128" spans="1:10">
      <c r="A128">
        <v>2025</v>
      </c>
      <c r="B128">
        <v>1</v>
      </c>
      <c r="C128">
        <v>8807</v>
      </c>
      <c r="D128">
        <v>628</v>
      </c>
      <c r="E128" t="s">
        <v>10</v>
      </c>
      <c r="F128">
        <v>3449904</v>
      </c>
      <c r="G128" s="1">
        <v>544</v>
      </c>
      <c r="H128" s="2">
        <v>206996</v>
      </c>
      <c r="I128" t="str">
        <f>VLOOKUP(Tabela2[[#This Row],[PAIS]],'[1]nome do paixs'!$A:$B,2,0)</f>
        <v>Reino Unido</v>
      </c>
      <c r="J128" t="s">
        <v>12</v>
      </c>
    </row>
    <row r="129" spans="1:10">
      <c r="A129">
        <v>2025</v>
      </c>
      <c r="B129">
        <v>2</v>
      </c>
      <c r="C129">
        <v>8807</v>
      </c>
      <c r="D129">
        <v>607</v>
      </c>
      <c r="E129" t="s">
        <v>10</v>
      </c>
      <c r="F129">
        <v>3449904</v>
      </c>
      <c r="G129" s="1">
        <v>78</v>
      </c>
      <c r="H129" s="2">
        <v>260262</v>
      </c>
      <c r="I129" t="str">
        <f>VLOOKUP(Tabela2[[#This Row],[PAIS]],'[1]nome do paixs'!$A:$B,2,0)</f>
        <v>Portugal</v>
      </c>
      <c r="J129" t="s">
        <v>12</v>
      </c>
    </row>
    <row r="130" spans="1:10">
      <c r="A130">
        <v>2025</v>
      </c>
      <c r="B130">
        <v>7</v>
      </c>
      <c r="C130">
        <v>8807</v>
      </c>
      <c r="D130">
        <v>586</v>
      </c>
      <c r="E130" t="s">
        <v>10</v>
      </c>
      <c r="F130">
        <v>3449904</v>
      </c>
      <c r="G130" s="1">
        <v>0</v>
      </c>
      <c r="H130" s="2">
        <v>15712</v>
      </c>
      <c r="I130" t="str">
        <f>VLOOKUP(Tabela2[[#This Row],[PAIS]],'[1]nome do paixs'!$A:$B,2,0)</f>
        <v>Paraguai</v>
      </c>
      <c r="J130" t="s">
        <v>12</v>
      </c>
    </row>
    <row r="131" spans="1:10">
      <c r="A131">
        <v>2025</v>
      </c>
      <c r="B131">
        <v>3</v>
      </c>
      <c r="C131">
        <v>8807</v>
      </c>
      <c r="D131">
        <v>87</v>
      </c>
      <c r="E131" t="s">
        <v>10</v>
      </c>
      <c r="F131">
        <v>3449904</v>
      </c>
      <c r="G131" s="1">
        <v>5843</v>
      </c>
      <c r="H131" s="2">
        <v>3478028</v>
      </c>
      <c r="I131" t="str">
        <f>VLOOKUP(Tabela2[[#This Row],[PAIS]],'[1]nome do paixs'!$A:$B,2,0)</f>
        <v>Bélgica</v>
      </c>
      <c r="J131" t="s">
        <v>12</v>
      </c>
    </row>
    <row r="132" spans="1:10">
      <c r="A132">
        <v>2025</v>
      </c>
      <c r="B132">
        <v>8</v>
      </c>
      <c r="C132">
        <v>8807</v>
      </c>
      <c r="D132">
        <v>355</v>
      </c>
      <c r="E132" t="s">
        <v>10</v>
      </c>
      <c r="F132">
        <v>3449904</v>
      </c>
      <c r="G132" s="1">
        <v>5</v>
      </c>
      <c r="H132" s="2">
        <v>20928</v>
      </c>
      <c r="I132" t="str">
        <f>VLOOKUP(Tabela2[[#This Row],[PAIS]],'[1]nome do paixs'!$A:$B,2,0)</f>
        <v>Hungria</v>
      </c>
      <c r="J132" t="s">
        <v>12</v>
      </c>
    </row>
    <row r="133" spans="1:10">
      <c r="A133">
        <v>2025</v>
      </c>
      <c r="B133">
        <v>6</v>
      </c>
      <c r="C133">
        <v>8807</v>
      </c>
      <c r="D133">
        <v>244</v>
      </c>
      <c r="E133" t="s">
        <v>10</v>
      </c>
      <c r="F133">
        <v>3449904</v>
      </c>
      <c r="G133" s="1">
        <v>4</v>
      </c>
      <c r="H133" s="2">
        <v>9287</v>
      </c>
      <c r="I133" t="str">
        <f>VLOOKUP(Tabela2[[#This Row],[PAIS]],'[1]nome do paixs'!$A:$B,2,0)</f>
        <v>Emirados Árabes Unidos</v>
      </c>
      <c r="J133" t="s">
        <v>12</v>
      </c>
    </row>
    <row r="134" spans="1:10">
      <c r="A134">
        <v>2025</v>
      </c>
      <c r="B134">
        <v>8</v>
      </c>
      <c r="C134">
        <v>8807</v>
      </c>
      <c r="D134">
        <v>386</v>
      </c>
      <c r="E134" t="s">
        <v>10</v>
      </c>
      <c r="F134">
        <v>3449904</v>
      </c>
      <c r="G134" s="1">
        <v>1148</v>
      </c>
      <c r="H134" s="2">
        <v>407349</v>
      </c>
      <c r="I134" t="str">
        <f>VLOOKUP(Tabela2[[#This Row],[PAIS]],'[1]nome do paixs'!$A:$B,2,0)</f>
        <v>Itália</v>
      </c>
      <c r="J134" t="s">
        <v>12</v>
      </c>
    </row>
    <row r="135" spans="1:10">
      <c r="A135">
        <v>2025</v>
      </c>
      <c r="B135">
        <v>6</v>
      </c>
      <c r="C135">
        <v>8807</v>
      </c>
      <c r="D135">
        <v>628</v>
      </c>
      <c r="E135" t="s">
        <v>10</v>
      </c>
      <c r="F135">
        <v>3449904</v>
      </c>
      <c r="G135" s="1">
        <v>857</v>
      </c>
      <c r="H135" s="2">
        <v>271775</v>
      </c>
      <c r="I135" t="str">
        <f>VLOOKUP(Tabela2[[#This Row],[PAIS]],'[1]nome do paixs'!$A:$B,2,0)</f>
        <v>Reino Unido</v>
      </c>
      <c r="J135" t="s">
        <v>12</v>
      </c>
    </row>
    <row r="136" spans="1:10">
      <c r="A136">
        <v>2025</v>
      </c>
      <c r="B136">
        <v>3</v>
      </c>
      <c r="C136">
        <v>8807</v>
      </c>
      <c r="D136">
        <v>623</v>
      </c>
      <c r="E136" t="s">
        <v>10</v>
      </c>
      <c r="F136">
        <v>3449904</v>
      </c>
      <c r="G136" s="1">
        <v>0</v>
      </c>
      <c r="H136" s="2">
        <v>375</v>
      </c>
      <c r="I136" t="str">
        <f>VLOOKUP(Tabela2[[#This Row],[PAIS]],'[1]nome do paixs'!$A:$B,2,0)</f>
        <v>Quênia</v>
      </c>
      <c r="J136" t="s">
        <v>12</v>
      </c>
    </row>
    <row r="137" spans="1:10">
      <c r="A137">
        <v>2025</v>
      </c>
      <c r="B137">
        <v>5</v>
      </c>
      <c r="C137">
        <v>8807</v>
      </c>
      <c r="D137">
        <v>386</v>
      </c>
      <c r="E137" t="s">
        <v>10</v>
      </c>
      <c r="F137">
        <v>3449904</v>
      </c>
      <c r="G137" s="1">
        <v>2430</v>
      </c>
      <c r="H137" s="2">
        <v>869074</v>
      </c>
      <c r="I137" t="str">
        <f>VLOOKUP(Tabela2[[#This Row],[PAIS]],'[1]nome do paixs'!$A:$B,2,0)</f>
        <v>Itália</v>
      </c>
      <c r="J137" t="s">
        <v>12</v>
      </c>
    </row>
    <row r="138" spans="1:10">
      <c r="A138">
        <v>2025</v>
      </c>
      <c r="B138">
        <v>6</v>
      </c>
      <c r="C138">
        <v>8807</v>
      </c>
      <c r="D138">
        <v>647</v>
      </c>
      <c r="E138" t="s">
        <v>10</v>
      </c>
      <c r="F138">
        <v>3449904</v>
      </c>
      <c r="G138" s="1">
        <v>409</v>
      </c>
      <c r="H138" s="2">
        <v>15606</v>
      </c>
      <c r="I138" t="str">
        <f>VLOOKUP(Tabela2[[#This Row],[PAIS]],'[1]nome do paixs'!$A:$B,2,0)</f>
        <v>República Dominicana</v>
      </c>
      <c r="J138" t="s">
        <v>12</v>
      </c>
    </row>
    <row r="139" spans="1:10">
      <c r="A139">
        <v>2025</v>
      </c>
      <c r="B139">
        <v>3</v>
      </c>
      <c r="C139">
        <v>8807</v>
      </c>
      <c r="D139">
        <v>386</v>
      </c>
      <c r="E139" t="s">
        <v>10</v>
      </c>
      <c r="F139">
        <v>3449904</v>
      </c>
      <c r="G139" s="1">
        <v>2215</v>
      </c>
      <c r="H139" s="2">
        <v>809693</v>
      </c>
      <c r="I139" t="str">
        <f>VLOOKUP(Tabela2[[#This Row],[PAIS]],'[1]nome do paixs'!$A:$B,2,0)</f>
        <v>Itália</v>
      </c>
      <c r="J139" t="s">
        <v>12</v>
      </c>
    </row>
    <row r="140" spans="1:10">
      <c r="A140">
        <v>2025</v>
      </c>
      <c r="B140">
        <v>6</v>
      </c>
      <c r="C140">
        <v>8807</v>
      </c>
      <c r="D140">
        <v>87</v>
      </c>
      <c r="E140" t="s">
        <v>10</v>
      </c>
      <c r="F140">
        <v>3449904</v>
      </c>
      <c r="G140" s="1">
        <v>7589</v>
      </c>
      <c r="H140" s="2">
        <v>4279154</v>
      </c>
      <c r="I140" t="str">
        <f>VLOOKUP(Tabela2[[#This Row],[PAIS]],'[1]nome do paixs'!$A:$B,2,0)</f>
        <v>Bélgica</v>
      </c>
      <c r="J140" t="s">
        <v>12</v>
      </c>
    </row>
    <row r="141" spans="1:10">
      <c r="A141">
        <v>2025</v>
      </c>
      <c r="B141">
        <v>5</v>
      </c>
      <c r="C141">
        <v>8807</v>
      </c>
      <c r="D141">
        <v>607</v>
      </c>
      <c r="E141" t="s">
        <v>10</v>
      </c>
      <c r="F141">
        <v>3449904</v>
      </c>
      <c r="G141" s="1">
        <v>70</v>
      </c>
      <c r="H141" s="2">
        <v>207508</v>
      </c>
      <c r="I141" t="str">
        <f>VLOOKUP(Tabela2[[#This Row],[PAIS]],'[1]nome do paixs'!$A:$B,2,0)</f>
        <v>Portugal</v>
      </c>
      <c r="J141" t="s">
        <v>12</v>
      </c>
    </row>
    <row r="142" spans="1:10">
      <c r="A142">
        <v>2025</v>
      </c>
      <c r="B142">
        <v>1</v>
      </c>
      <c r="C142">
        <v>8807</v>
      </c>
      <c r="D142">
        <v>573</v>
      </c>
      <c r="E142" t="s">
        <v>10</v>
      </c>
      <c r="F142">
        <v>3449904</v>
      </c>
      <c r="G142" s="1">
        <v>0</v>
      </c>
      <c r="H142" s="2">
        <v>193</v>
      </c>
      <c r="I142" t="str">
        <f>VLOOKUP(Tabela2[[#This Row],[PAIS]],'[1]nome do paixs'!$A:$B,2,0)</f>
        <v>Países Baixos (Holanda)</v>
      </c>
      <c r="J142" t="s">
        <v>12</v>
      </c>
    </row>
    <row r="143" spans="1:10">
      <c r="A143">
        <v>2025</v>
      </c>
      <c r="B143">
        <v>4</v>
      </c>
      <c r="C143">
        <v>8807</v>
      </c>
      <c r="D143">
        <v>528</v>
      </c>
      <c r="E143" t="s">
        <v>10</v>
      </c>
      <c r="F143">
        <v>3449904</v>
      </c>
      <c r="G143" s="1">
        <v>1</v>
      </c>
      <c r="H143" s="2">
        <v>8451</v>
      </c>
      <c r="I143" t="str">
        <f>VLOOKUP(Tabela2[[#This Row],[PAIS]],'[1]nome do paixs'!$A:$B,2,0)</f>
        <v>Nigéria</v>
      </c>
      <c r="J143" t="s">
        <v>12</v>
      </c>
    </row>
    <row r="144" spans="1:10">
      <c r="A144">
        <v>2025</v>
      </c>
      <c r="B144">
        <v>6</v>
      </c>
      <c r="C144">
        <v>8807</v>
      </c>
      <c r="D144">
        <v>247</v>
      </c>
      <c r="E144" t="s">
        <v>10</v>
      </c>
      <c r="F144">
        <v>3449904</v>
      </c>
      <c r="G144" s="1">
        <v>1</v>
      </c>
      <c r="H144" s="2">
        <v>4308</v>
      </c>
      <c r="I144" t="str">
        <f>VLOOKUP(Tabela2[[#This Row],[PAIS]],'[1]nome do paixs'!$A:$B,2,0)</f>
        <v>Eslováquia</v>
      </c>
      <c r="J144" t="s">
        <v>12</v>
      </c>
    </row>
    <row r="145" spans="1:10">
      <c r="A145">
        <v>2025</v>
      </c>
      <c r="B145">
        <v>6</v>
      </c>
      <c r="C145">
        <v>8807</v>
      </c>
      <c r="D145">
        <v>249</v>
      </c>
      <c r="E145" t="s">
        <v>10</v>
      </c>
      <c r="F145">
        <v>3449904</v>
      </c>
      <c r="G145" s="1">
        <v>8043</v>
      </c>
      <c r="H145" s="2">
        <v>6128489</v>
      </c>
      <c r="I145" t="str">
        <f>VLOOKUP(Tabela2[[#This Row],[PAIS]],'[1]nome do paixs'!$A:$B,2,0)</f>
        <v>Estados Unidos</v>
      </c>
      <c r="J145" t="s">
        <v>12</v>
      </c>
    </row>
    <row r="146" spans="1:10">
      <c r="A146">
        <v>2025</v>
      </c>
      <c r="B146">
        <v>7</v>
      </c>
      <c r="C146">
        <v>8807</v>
      </c>
      <c r="D146">
        <v>249</v>
      </c>
      <c r="E146" t="s">
        <v>10</v>
      </c>
      <c r="F146">
        <v>3449904</v>
      </c>
      <c r="G146" s="1">
        <v>6666</v>
      </c>
      <c r="H146" s="2">
        <v>5086676</v>
      </c>
      <c r="I146" t="str">
        <f>VLOOKUP(Tabela2[[#This Row],[PAIS]],'[1]nome do paixs'!$A:$B,2,0)</f>
        <v>Estados Unidos</v>
      </c>
      <c r="J146" t="s">
        <v>12</v>
      </c>
    </row>
    <row r="147" spans="1:10">
      <c r="A147">
        <v>2025</v>
      </c>
      <c r="B147">
        <v>2</v>
      </c>
      <c r="C147">
        <v>8807</v>
      </c>
      <c r="D147">
        <v>244</v>
      </c>
      <c r="E147" t="s">
        <v>10</v>
      </c>
      <c r="F147">
        <v>3449904</v>
      </c>
      <c r="G147" s="1">
        <v>186</v>
      </c>
      <c r="H147" s="2">
        <v>30629</v>
      </c>
      <c r="I147" t="str">
        <f>VLOOKUP(Tabela2[[#This Row],[PAIS]],'[1]nome do paixs'!$A:$B,2,0)</f>
        <v>Emirados Árabes Unidos</v>
      </c>
      <c r="J147" t="s">
        <v>12</v>
      </c>
    </row>
    <row r="148" spans="1:10">
      <c r="A148">
        <v>2025</v>
      </c>
      <c r="B148">
        <v>6</v>
      </c>
      <c r="C148">
        <v>8807</v>
      </c>
      <c r="D148">
        <v>528</v>
      </c>
      <c r="E148" t="s">
        <v>10</v>
      </c>
      <c r="F148">
        <v>3449904</v>
      </c>
      <c r="G148" s="1">
        <v>2</v>
      </c>
      <c r="H148" s="2">
        <v>6197</v>
      </c>
      <c r="I148" t="str">
        <f>VLOOKUP(Tabela2[[#This Row],[PAIS]],'[1]nome do paixs'!$A:$B,2,0)</f>
        <v>Nigéria</v>
      </c>
      <c r="J148" t="s">
        <v>12</v>
      </c>
    </row>
    <row r="149" spans="1:10">
      <c r="A149">
        <v>2025</v>
      </c>
      <c r="B149">
        <v>2</v>
      </c>
      <c r="C149">
        <v>8807</v>
      </c>
      <c r="D149">
        <v>249</v>
      </c>
      <c r="E149" t="s">
        <v>10</v>
      </c>
      <c r="F149">
        <v>3449904</v>
      </c>
      <c r="G149" s="1">
        <v>6577</v>
      </c>
      <c r="H149" s="2">
        <v>5776524</v>
      </c>
      <c r="I149" t="str">
        <f>VLOOKUP(Tabela2[[#This Row],[PAIS]],'[1]nome do paixs'!$A:$B,2,0)</f>
        <v>Estados Unidos</v>
      </c>
      <c r="J149" t="s">
        <v>12</v>
      </c>
    </row>
    <row r="150" spans="1:10">
      <c r="A150">
        <v>2025</v>
      </c>
      <c r="B150">
        <v>3</v>
      </c>
      <c r="C150">
        <v>8807</v>
      </c>
      <c r="D150">
        <v>245</v>
      </c>
      <c r="E150" t="s">
        <v>10</v>
      </c>
      <c r="F150">
        <v>3449904</v>
      </c>
      <c r="G150" s="1">
        <v>5291</v>
      </c>
      <c r="H150" s="2">
        <v>2692925</v>
      </c>
      <c r="I150" t="str">
        <f>VLOOKUP(Tabela2[[#This Row],[PAIS]],'[1]nome do paixs'!$A:$B,2,0)</f>
        <v>Espanha</v>
      </c>
      <c r="J150" t="s">
        <v>12</v>
      </c>
    </row>
    <row r="151" spans="1:10">
      <c r="A151">
        <v>2025</v>
      </c>
      <c r="B151">
        <v>3</v>
      </c>
      <c r="C151">
        <v>8807</v>
      </c>
      <c r="D151">
        <v>249</v>
      </c>
      <c r="E151" t="s">
        <v>10</v>
      </c>
      <c r="F151">
        <v>3449904</v>
      </c>
      <c r="G151" s="1">
        <v>7782</v>
      </c>
      <c r="H151" s="2">
        <v>6234129</v>
      </c>
      <c r="I151" t="str">
        <f>VLOOKUP(Tabela2[[#This Row],[PAIS]],'[1]nome do paixs'!$A:$B,2,0)</f>
        <v>Estados Unidos</v>
      </c>
      <c r="J151" t="s">
        <v>12</v>
      </c>
    </row>
    <row r="152" spans="1:10">
      <c r="A152">
        <v>2025</v>
      </c>
      <c r="B152">
        <v>6</v>
      </c>
      <c r="C152">
        <v>8807</v>
      </c>
      <c r="D152">
        <v>149</v>
      </c>
      <c r="E152" t="s">
        <v>10</v>
      </c>
      <c r="F152">
        <v>3449904</v>
      </c>
      <c r="G152" s="1">
        <v>22</v>
      </c>
      <c r="H152" s="2">
        <v>79664</v>
      </c>
      <c r="I152" t="str">
        <f>VLOOKUP(Tabela2[[#This Row],[PAIS]],'[1]nome do paixs'!$A:$B,2,0)</f>
        <v>Canadá</v>
      </c>
      <c r="J152" t="s">
        <v>12</v>
      </c>
    </row>
    <row r="153" spans="1:10">
      <c r="A153">
        <v>2025</v>
      </c>
      <c r="B153">
        <v>7</v>
      </c>
      <c r="C153">
        <v>8807</v>
      </c>
      <c r="D153">
        <v>386</v>
      </c>
      <c r="E153" t="s">
        <v>10</v>
      </c>
      <c r="F153">
        <v>3449904</v>
      </c>
      <c r="G153" s="1">
        <v>249</v>
      </c>
      <c r="H153" s="2">
        <v>57168</v>
      </c>
      <c r="I153" t="str">
        <f>VLOOKUP(Tabela2[[#This Row],[PAIS]],'[1]nome do paixs'!$A:$B,2,0)</f>
        <v>Itália</v>
      </c>
      <c r="J153" t="s">
        <v>12</v>
      </c>
    </row>
    <row r="154" spans="1:10">
      <c r="A154">
        <v>2025</v>
      </c>
      <c r="B154">
        <v>4</v>
      </c>
      <c r="C154">
        <v>8807</v>
      </c>
      <c r="D154">
        <v>275</v>
      </c>
      <c r="E154" t="s">
        <v>10</v>
      </c>
      <c r="F154">
        <v>3449904</v>
      </c>
      <c r="G154" s="1">
        <v>301</v>
      </c>
      <c r="H154" s="2">
        <v>445348</v>
      </c>
      <c r="I154" t="str">
        <f>VLOOKUP(Tabela2[[#This Row],[PAIS]],'[1]nome do paixs'!$A:$B,2,0)</f>
        <v>França</v>
      </c>
      <c r="J154" t="s">
        <v>12</v>
      </c>
    </row>
    <row r="155" spans="1:10">
      <c r="A155">
        <v>2025</v>
      </c>
      <c r="B155">
        <v>3</v>
      </c>
      <c r="C155">
        <v>8807</v>
      </c>
      <c r="D155">
        <v>493</v>
      </c>
      <c r="E155" t="s">
        <v>10</v>
      </c>
      <c r="F155">
        <v>3449904</v>
      </c>
      <c r="G155" s="1">
        <v>420</v>
      </c>
      <c r="H155" s="2">
        <v>49904</v>
      </c>
      <c r="I155" t="str">
        <f>VLOOKUP(Tabela2[[#This Row],[PAIS]],'[1]nome do paixs'!$A:$B,2,0)</f>
        <v>México</v>
      </c>
      <c r="J155" t="s">
        <v>12</v>
      </c>
    </row>
    <row r="156" spans="1:10">
      <c r="A156">
        <v>2025</v>
      </c>
      <c r="B156">
        <v>5</v>
      </c>
      <c r="C156">
        <v>8807</v>
      </c>
      <c r="D156">
        <v>244</v>
      </c>
      <c r="E156" t="s">
        <v>10</v>
      </c>
      <c r="F156">
        <v>3449904</v>
      </c>
      <c r="G156" s="1">
        <v>102</v>
      </c>
      <c r="H156" s="2">
        <v>43402</v>
      </c>
      <c r="I156" t="str">
        <f>VLOOKUP(Tabela2[[#This Row],[PAIS]],'[1]nome do paixs'!$A:$B,2,0)</f>
        <v>Emirados Árabes Unidos</v>
      </c>
      <c r="J156" t="s">
        <v>12</v>
      </c>
    </row>
    <row r="157" spans="1:10">
      <c r="A157">
        <v>2025</v>
      </c>
      <c r="B157">
        <v>6</v>
      </c>
      <c r="C157">
        <v>8807</v>
      </c>
      <c r="D157">
        <v>245</v>
      </c>
      <c r="E157" t="s">
        <v>10</v>
      </c>
      <c r="F157">
        <v>3449904</v>
      </c>
      <c r="G157" s="1">
        <v>5441</v>
      </c>
      <c r="H157" s="2">
        <v>2754992</v>
      </c>
      <c r="I157" t="str">
        <f>VLOOKUP(Tabela2[[#This Row],[PAIS]],'[1]nome do paixs'!$A:$B,2,0)</f>
        <v>Espanha</v>
      </c>
      <c r="J157" t="s">
        <v>12</v>
      </c>
    </row>
    <row r="158" spans="1:10">
      <c r="A158">
        <v>2025</v>
      </c>
      <c r="B158">
        <v>1</v>
      </c>
      <c r="C158">
        <v>8807</v>
      </c>
      <c r="D158">
        <v>160</v>
      </c>
      <c r="E158" t="s">
        <v>10</v>
      </c>
      <c r="F158">
        <v>3449904</v>
      </c>
      <c r="G158" s="1">
        <v>12</v>
      </c>
      <c r="H158" s="2">
        <v>10077</v>
      </c>
      <c r="I158" t="str">
        <f>VLOOKUP(Tabela2[[#This Row],[PAIS]],'[1]nome do paixs'!$A:$B,2,0)</f>
        <v>China</v>
      </c>
      <c r="J158" t="s">
        <v>12</v>
      </c>
    </row>
    <row r="159" spans="1:10">
      <c r="A159">
        <v>2025</v>
      </c>
      <c r="B159">
        <v>6</v>
      </c>
      <c r="C159">
        <v>8807</v>
      </c>
      <c r="D159">
        <v>488</v>
      </c>
      <c r="E159" t="s">
        <v>10</v>
      </c>
      <c r="F159">
        <v>3449904</v>
      </c>
      <c r="G159" s="1">
        <v>0</v>
      </c>
      <c r="H159" s="2">
        <v>1150</v>
      </c>
      <c r="I159" t="str">
        <f>VLOOKUP(Tabela2[[#This Row],[PAIS]],'[1]nome do paixs'!$A:$B,2,0)</f>
        <v>Mauritânia</v>
      </c>
      <c r="J159" t="s">
        <v>12</v>
      </c>
    </row>
    <row r="160" spans="1:10">
      <c r="A160">
        <v>2025</v>
      </c>
      <c r="B160">
        <v>5</v>
      </c>
      <c r="C160">
        <v>8807</v>
      </c>
      <c r="D160">
        <v>623</v>
      </c>
      <c r="E160" t="s">
        <v>10</v>
      </c>
      <c r="F160">
        <v>3449904</v>
      </c>
      <c r="G160" s="1">
        <v>10</v>
      </c>
      <c r="H160" s="2">
        <v>202326</v>
      </c>
      <c r="I160" t="str">
        <f>VLOOKUP(Tabela2[[#This Row],[PAIS]],'[1]nome do paixs'!$A:$B,2,0)</f>
        <v>Quênia</v>
      </c>
      <c r="J160" t="s">
        <v>12</v>
      </c>
    </row>
    <row r="161" spans="1:10">
      <c r="A161">
        <v>2025</v>
      </c>
      <c r="B161">
        <v>3</v>
      </c>
      <c r="C161">
        <v>8807</v>
      </c>
      <c r="D161">
        <v>73</v>
      </c>
      <c r="E161" t="s">
        <v>10</v>
      </c>
      <c r="F161">
        <v>3449904</v>
      </c>
      <c r="G161" s="1">
        <v>1</v>
      </c>
      <c r="H161" s="2">
        <v>1587</v>
      </c>
      <c r="I161" t="str">
        <f>VLOOKUP(Tabela2[[#This Row],[PAIS]],'[1]nome do paixs'!$A:$B,2,0)</f>
        <v>Azerbaijão</v>
      </c>
      <c r="J161" t="s">
        <v>12</v>
      </c>
    </row>
    <row r="162" spans="1:10">
      <c r="A162">
        <v>2025</v>
      </c>
      <c r="B162">
        <v>7</v>
      </c>
      <c r="C162">
        <v>8807</v>
      </c>
      <c r="D162">
        <v>603</v>
      </c>
      <c r="E162" t="s">
        <v>10</v>
      </c>
      <c r="F162">
        <v>3449904</v>
      </c>
      <c r="G162" s="1">
        <v>5</v>
      </c>
      <c r="H162" s="2">
        <v>12300</v>
      </c>
      <c r="I162" t="str">
        <f>VLOOKUP(Tabela2[[#This Row],[PAIS]],'[1]nome do paixs'!$A:$B,2,0)</f>
        <v>Polônia</v>
      </c>
      <c r="J162" t="s">
        <v>12</v>
      </c>
    </row>
    <row r="163" spans="1:10">
      <c r="A163">
        <v>2025</v>
      </c>
      <c r="B163">
        <v>8</v>
      </c>
      <c r="C163">
        <v>8807</v>
      </c>
      <c r="D163">
        <v>399</v>
      </c>
      <c r="E163" t="s">
        <v>10</v>
      </c>
      <c r="F163">
        <v>3449904</v>
      </c>
      <c r="G163" s="1">
        <v>0</v>
      </c>
      <c r="H163" s="2">
        <v>895</v>
      </c>
      <c r="I163" t="str">
        <f>VLOOKUP(Tabela2[[#This Row],[PAIS]],'[1]nome do paixs'!$A:$B,2,0)</f>
        <v>Japão</v>
      </c>
      <c r="J163" t="s">
        <v>12</v>
      </c>
    </row>
    <row r="164" spans="1:10">
      <c r="A164">
        <v>2025</v>
      </c>
      <c r="B164">
        <v>1</v>
      </c>
      <c r="C164">
        <v>8807</v>
      </c>
      <c r="D164">
        <v>386</v>
      </c>
      <c r="E164" t="s">
        <v>10</v>
      </c>
      <c r="F164">
        <v>3449904</v>
      </c>
      <c r="G164" s="1">
        <v>2210</v>
      </c>
      <c r="H164" s="2">
        <v>755649</v>
      </c>
      <c r="I164" t="str">
        <f>VLOOKUP(Tabela2[[#This Row],[PAIS]],'[1]nome do paixs'!$A:$B,2,0)</f>
        <v>Itália</v>
      </c>
      <c r="J164" t="s">
        <v>12</v>
      </c>
    </row>
    <row r="165" spans="1:10">
      <c r="A165">
        <v>2025</v>
      </c>
      <c r="B165">
        <v>8</v>
      </c>
      <c r="C165">
        <v>8807</v>
      </c>
      <c r="D165">
        <v>232</v>
      </c>
      <c r="E165" t="s">
        <v>10</v>
      </c>
      <c r="F165">
        <v>3449904</v>
      </c>
      <c r="G165" s="1">
        <v>0</v>
      </c>
      <c r="H165" s="2">
        <v>5505</v>
      </c>
      <c r="I165" t="str">
        <f>VLOOKUP(Tabela2[[#This Row],[PAIS]],'[1]nome do paixs'!$A:$B,2,0)</f>
        <v>Dinamarca</v>
      </c>
      <c r="J165" t="s">
        <v>12</v>
      </c>
    </row>
    <row r="166" spans="1:10">
      <c r="A166">
        <v>2025</v>
      </c>
      <c r="B166">
        <v>1</v>
      </c>
      <c r="C166">
        <v>8807</v>
      </c>
      <c r="D166">
        <v>247</v>
      </c>
      <c r="E166" t="s">
        <v>10</v>
      </c>
      <c r="F166">
        <v>3449904</v>
      </c>
      <c r="G166" s="1">
        <v>3</v>
      </c>
      <c r="H166" s="2">
        <v>4267</v>
      </c>
      <c r="I166" t="str">
        <f>VLOOKUP(Tabela2[[#This Row],[PAIS]],'[1]nome do paixs'!$A:$B,2,0)</f>
        <v>Eslováquia</v>
      </c>
      <c r="J166" t="s">
        <v>12</v>
      </c>
    </row>
    <row r="167" spans="1:10">
      <c r="A167">
        <v>2025</v>
      </c>
      <c r="B167">
        <v>3</v>
      </c>
      <c r="C167">
        <v>8807</v>
      </c>
      <c r="D167">
        <v>160</v>
      </c>
      <c r="E167" t="s">
        <v>10</v>
      </c>
      <c r="F167">
        <v>3449904</v>
      </c>
      <c r="G167" s="1">
        <v>0</v>
      </c>
      <c r="H167" s="2">
        <v>1388</v>
      </c>
      <c r="I167" t="str">
        <f>VLOOKUP(Tabela2[[#This Row],[PAIS]],'[1]nome do paixs'!$A:$B,2,0)</f>
        <v>China</v>
      </c>
      <c r="J167" t="s">
        <v>12</v>
      </c>
    </row>
    <row r="168" spans="1:10">
      <c r="A168">
        <v>2025</v>
      </c>
      <c r="B168">
        <v>1</v>
      </c>
      <c r="C168">
        <v>8807</v>
      </c>
      <c r="D168">
        <v>267</v>
      </c>
      <c r="E168" t="s">
        <v>10</v>
      </c>
      <c r="F168">
        <v>3449904</v>
      </c>
      <c r="G168" s="1">
        <v>307</v>
      </c>
      <c r="H168" s="2">
        <v>616149</v>
      </c>
      <c r="I168" t="str">
        <f>VLOOKUP(Tabela2[[#This Row],[PAIS]],'[1]nome do paixs'!$A:$B,2,0)</f>
        <v>Filipinas</v>
      </c>
      <c r="J168" t="s">
        <v>12</v>
      </c>
    </row>
    <row r="169" spans="1:10">
      <c r="A169">
        <v>2025</v>
      </c>
      <c r="B169">
        <v>7</v>
      </c>
      <c r="C169">
        <v>8807</v>
      </c>
      <c r="D169">
        <v>455</v>
      </c>
      <c r="E169" t="s">
        <v>10</v>
      </c>
      <c r="F169">
        <v>3449904</v>
      </c>
      <c r="G169" s="1">
        <v>3</v>
      </c>
      <c r="H169" s="2">
        <v>997</v>
      </c>
      <c r="I169" t="str">
        <f>VLOOKUP(Tabela2[[#This Row],[PAIS]],'[1]nome do paixs'!$A:$B,2,0)</f>
        <v>Malásia</v>
      </c>
      <c r="J169" t="s">
        <v>12</v>
      </c>
    </row>
    <row r="170" spans="1:10">
      <c r="A170">
        <v>2025</v>
      </c>
      <c r="B170">
        <v>4</v>
      </c>
      <c r="C170">
        <v>8807</v>
      </c>
      <c r="D170">
        <v>160</v>
      </c>
      <c r="E170" t="s">
        <v>10</v>
      </c>
      <c r="F170">
        <v>3449904</v>
      </c>
      <c r="G170" s="1">
        <v>24</v>
      </c>
      <c r="H170" s="2">
        <v>71375</v>
      </c>
      <c r="I170" t="str">
        <f>VLOOKUP(Tabela2[[#This Row],[PAIS]],'[1]nome do paixs'!$A:$B,2,0)</f>
        <v>China</v>
      </c>
      <c r="J170" t="s">
        <v>12</v>
      </c>
    </row>
    <row r="171" spans="1:10">
      <c r="A171">
        <v>2025</v>
      </c>
      <c r="B171">
        <v>7</v>
      </c>
      <c r="C171">
        <v>8807</v>
      </c>
      <c r="D171">
        <v>824</v>
      </c>
      <c r="E171" t="s">
        <v>10</v>
      </c>
      <c r="F171">
        <v>3449904</v>
      </c>
      <c r="G171" s="1">
        <v>0</v>
      </c>
      <c r="H171" s="2">
        <v>1437</v>
      </c>
      <c r="I171" t="str">
        <f>VLOOKUP(Tabela2[[#This Row],[PAIS]],'[1]nome do paixs'!$A:$B,2,0)</f>
        <v>Turcomenistão</v>
      </c>
      <c r="J171" t="s">
        <v>12</v>
      </c>
    </row>
    <row r="172" spans="1:10">
      <c r="A172">
        <v>2025</v>
      </c>
      <c r="B172">
        <v>1</v>
      </c>
      <c r="C172">
        <v>8807</v>
      </c>
      <c r="D172">
        <v>169</v>
      </c>
      <c r="E172" t="s">
        <v>10</v>
      </c>
      <c r="F172">
        <v>3449904</v>
      </c>
      <c r="G172" s="1">
        <v>16</v>
      </c>
      <c r="H172" s="2">
        <v>46545</v>
      </c>
      <c r="I172" t="str">
        <f>VLOOKUP(Tabela2[[#This Row],[PAIS]],'[1]nome do paixs'!$A:$B,2,0)</f>
        <v>Colômbia</v>
      </c>
      <c r="J172" t="s">
        <v>12</v>
      </c>
    </row>
    <row r="173" spans="1:10">
      <c r="A173">
        <v>2025</v>
      </c>
      <c r="B173">
        <v>3</v>
      </c>
      <c r="C173">
        <v>8807</v>
      </c>
      <c r="D173">
        <v>603</v>
      </c>
      <c r="E173" t="s">
        <v>10</v>
      </c>
      <c r="F173">
        <v>3449904</v>
      </c>
      <c r="G173" s="1">
        <v>1</v>
      </c>
      <c r="H173" s="2">
        <v>1587</v>
      </c>
      <c r="I173" t="str">
        <f>VLOOKUP(Tabela2[[#This Row],[PAIS]],'[1]nome do paixs'!$A:$B,2,0)</f>
        <v>Polônia</v>
      </c>
      <c r="J173" t="s">
        <v>12</v>
      </c>
    </row>
    <row r="174" spans="1:10">
      <c r="A174">
        <v>2025</v>
      </c>
      <c r="B174">
        <v>1</v>
      </c>
      <c r="C174">
        <v>8807</v>
      </c>
      <c r="D174">
        <v>493</v>
      </c>
      <c r="E174" t="s">
        <v>10</v>
      </c>
      <c r="F174">
        <v>3449904</v>
      </c>
      <c r="G174" s="1">
        <v>6</v>
      </c>
      <c r="H174" s="2">
        <v>18636</v>
      </c>
      <c r="I174" t="str">
        <f>VLOOKUP(Tabela2[[#This Row],[PAIS]],'[1]nome do paixs'!$A:$B,2,0)</f>
        <v>México</v>
      </c>
      <c r="J174" t="s">
        <v>12</v>
      </c>
    </row>
    <row r="175" spans="1:10">
      <c r="A175">
        <v>2025</v>
      </c>
      <c r="B175">
        <v>5</v>
      </c>
      <c r="C175">
        <v>8807</v>
      </c>
      <c r="D175">
        <v>399</v>
      </c>
      <c r="E175" t="s">
        <v>10</v>
      </c>
      <c r="F175">
        <v>3449904</v>
      </c>
      <c r="G175" s="1">
        <v>1</v>
      </c>
      <c r="H175" s="2">
        <v>1482</v>
      </c>
      <c r="I175" t="str">
        <f>VLOOKUP(Tabela2[[#This Row],[PAIS]],'[1]nome do paixs'!$A:$B,2,0)</f>
        <v>Japão</v>
      </c>
      <c r="J175" t="s">
        <v>12</v>
      </c>
    </row>
    <row r="176" spans="1:10">
      <c r="A176">
        <v>2025</v>
      </c>
      <c r="B176">
        <v>4</v>
      </c>
      <c r="C176">
        <v>8807</v>
      </c>
      <c r="D176">
        <v>498</v>
      </c>
      <c r="E176" t="s">
        <v>10</v>
      </c>
      <c r="F176">
        <v>3449904</v>
      </c>
      <c r="G176" s="1">
        <v>0</v>
      </c>
      <c r="H176" s="2">
        <v>11011</v>
      </c>
      <c r="I176" t="str">
        <f>VLOOKUP(Tabela2[[#This Row],[PAIS]],'[1]nome do paixs'!$A:$B,2,0)</f>
        <v>Montenegro</v>
      </c>
      <c r="J176" t="s">
        <v>12</v>
      </c>
    </row>
    <row r="177" spans="1:10">
      <c r="A177">
        <v>2025</v>
      </c>
      <c r="B177">
        <v>8</v>
      </c>
      <c r="C177">
        <v>8807</v>
      </c>
      <c r="D177">
        <v>247</v>
      </c>
      <c r="E177" t="s">
        <v>10</v>
      </c>
      <c r="F177">
        <v>3449904</v>
      </c>
      <c r="G177" s="1">
        <v>6</v>
      </c>
      <c r="H177" s="2">
        <v>5138</v>
      </c>
      <c r="I177" t="str">
        <f>VLOOKUP(Tabela2[[#This Row],[PAIS]],'[1]nome do paixs'!$A:$B,2,0)</f>
        <v>Eslováquia</v>
      </c>
      <c r="J177" t="s">
        <v>12</v>
      </c>
    </row>
    <row r="178" spans="1:10">
      <c r="A178">
        <v>2025</v>
      </c>
      <c r="B178">
        <v>3</v>
      </c>
      <c r="C178">
        <v>8807</v>
      </c>
      <c r="D178">
        <v>275</v>
      </c>
      <c r="E178" t="s">
        <v>10</v>
      </c>
      <c r="F178">
        <v>3449904</v>
      </c>
      <c r="G178" s="1">
        <v>664</v>
      </c>
      <c r="H178" s="2">
        <v>402559</v>
      </c>
      <c r="I178" t="str">
        <f>VLOOKUP(Tabela2[[#This Row],[PAIS]],'[1]nome do paixs'!$A:$B,2,0)</f>
        <v>França</v>
      </c>
      <c r="J178" t="s">
        <v>12</v>
      </c>
    </row>
    <row r="179" spans="1:10">
      <c r="A179">
        <v>2025</v>
      </c>
      <c r="B179">
        <v>5</v>
      </c>
      <c r="C179">
        <v>8807</v>
      </c>
      <c r="D179">
        <v>573</v>
      </c>
      <c r="E179" t="s">
        <v>10</v>
      </c>
      <c r="F179">
        <v>3449904</v>
      </c>
      <c r="G179" s="1">
        <v>23</v>
      </c>
      <c r="H179" s="2">
        <v>228037</v>
      </c>
      <c r="I179" t="str">
        <f>VLOOKUP(Tabela2[[#This Row],[PAIS]],'[1]nome do paixs'!$A:$B,2,0)</f>
        <v>Países Baixos (Holanda)</v>
      </c>
      <c r="J179" t="s">
        <v>12</v>
      </c>
    </row>
    <row r="180" spans="1:10">
      <c r="A180">
        <v>2025</v>
      </c>
      <c r="B180">
        <v>6</v>
      </c>
      <c r="C180">
        <v>8807</v>
      </c>
      <c r="D180">
        <v>169</v>
      </c>
      <c r="E180" t="s">
        <v>10</v>
      </c>
      <c r="F180">
        <v>3449904</v>
      </c>
      <c r="G180" s="1">
        <v>0</v>
      </c>
      <c r="H180" s="2">
        <v>6899</v>
      </c>
      <c r="I180" t="str">
        <f>VLOOKUP(Tabela2[[#This Row],[PAIS]],'[1]nome do paixs'!$A:$B,2,0)</f>
        <v>Colômbia</v>
      </c>
      <c r="J180" t="s">
        <v>12</v>
      </c>
    </row>
    <row r="181" spans="1:10">
      <c r="A181">
        <v>2025</v>
      </c>
      <c r="B181">
        <v>2</v>
      </c>
      <c r="C181">
        <v>8807</v>
      </c>
      <c r="D181">
        <v>169</v>
      </c>
      <c r="E181" t="s">
        <v>10</v>
      </c>
      <c r="F181">
        <v>3449904</v>
      </c>
      <c r="G181" s="1">
        <v>40</v>
      </c>
      <c r="H181" s="2">
        <v>137672</v>
      </c>
      <c r="I181" t="str">
        <f>VLOOKUP(Tabela2[[#This Row],[PAIS]],'[1]nome do paixs'!$A:$B,2,0)</f>
        <v>Colômbia</v>
      </c>
      <c r="J181" t="s">
        <v>12</v>
      </c>
    </row>
    <row r="182" spans="1:10">
      <c r="A182">
        <v>2025</v>
      </c>
      <c r="B182">
        <v>2</v>
      </c>
      <c r="C182">
        <v>8807</v>
      </c>
      <c r="D182">
        <v>628</v>
      </c>
      <c r="E182" t="s">
        <v>10</v>
      </c>
      <c r="F182">
        <v>3449904</v>
      </c>
      <c r="G182" s="1">
        <v>548</v>
      </c>
      <c r="H182" s="2">
        <v>212942</v>
      </c>
      <c r="I182" t="str">
        <f>VLOOKUP(Tabela2[[#This Row],[PAIS]],'[1]nome do paixs'!$A:$B,2,0)</f>
        <v>Reino Unido</v>
      </c>
      <c r="J182" t="s">
        <v>12</v>
      </c>
    </row>
    <row r="183" spans="1:10">
      <c r="A183">
        <v>2025</v>
      </c>
      <c r="B183">
        <v>2</v>
      </c>
      <c r="C183">
        <v>8807</v>
      </c>
      <c r="D183">
        <v>603</v>
      </c>
      <c r="E183" t="s">
        <v>10</v>
      </c>
      <c r="F183">
        <v>3449904</v>
      </c>
      <c r="G183" s="1">
        <v>303</v>
      </c>
      <c r="H183" s="2">
        <v>71736</v>
      </c>
      <c r="I183" t="str">
        <f>VLOOKUP(Tabela2[[#This Row],[PAIS]],'[1]nome do paixs'!$A:$B,2,0)</f>
        <v>Polônia</v>
      </c>
      <c r="J183" t="s">
        <v>12</v>
      </c>
    </row>
    <row r="184" spans="1:10">
      <c r="A184">
        <v>2025</v>
      </c>
      <c r="B184">
        <v>8</v>
      </c>
      <c r="C184">
        <v>8807</v>
      </c>
      <c r="D184">
        <v>586</v>
      </c>
      <c r="E184" t="s">
        <v>10</v>
      </c>
      <c r="F184">
        <v>3449904</v>
      </c>
      <c r="G184" s="1">
        <v>0</v>
      </c>
      <c r="H184" s="2">
        <v>2282</v>
      </c>
      <c r="I184" t="str">
        <f>VLOOKUP(Tabela2[[#This Row],[PAIS]],'[1]nome do paixs'!$A:$B,2,0)</f>
        <v>Paraguai</v>
      </c>
      <c r="J184" t="s">
        <v>12</v>
      </c>
    </row>
    <row r="185" spans="1:10">
      <c r="A185">
        <v>2025</v>
      </c>
      <c r="B185">
        <v>3</v>
      </c>
      <c r="C185">
        <v>8807</v>
      </c>
      <c r="D185">
        <v>573</v>
      </c>
      <c r="E185" t="s">
        <v>10</v>
      </c>
      <c r="F185">
        <v>3449904</v>
      </c>
      <c r="G185" s="1">
        <v>8</v>
      </c>
      <c r="H185" s="2">
        <v>39894</v>
      </c>
      <c r="I185" t="str">
        <f>VLOOKUP(Tabela2[[#This Row],[PAIS]],'[1]nome do paixs'!$A:$B,2,0)</f>
        <v>Países Baixos (Holanda)</v>
      </c>
      <c r="J185" t="s">
        <v>12</v>
      </c>
    </row>
    <row r="186" spans="1:10">
      <c r="A186">
        <v>2025</v>
      </c>
      <c r="B186">
        <v>3</v>
      </c>
      <c r="C186">
        <v>8807</v>
      </c>
      <c r="D186">
        <v>647</v>
      </c>
      <c r="E186" t="s">
        <v>10</v>
      </c>
      <c r="F186">
        <v>3449904</v>
      </c>
      <c r="G186" s="1">
        <v>580</v>
      </c>
      <c r="H186" s="2">
        <v>61415</v>
      </c>
      <c r="I186" t="str">
        <f>VLOOKUP(Tabela2[[#This Row],[PAIS]],'[1]nome do paixs'!$A:$B,2,0)</f>
        <v>República Dominicana</v>
      </c>
      <c r="J186" t="s">
        <v>12</v>
      </c>
    </row>
    <row r="187" spans="1:10">
      <c r="A187">
        <v>2025</v>
      </c>
      <c r="B187">
        <v>7</v>
      </c>
      <c r="C187">
        <v>8807</v>
      </c>
      <c r="D187">
        <v>275</v>
      </c>
      <c r="E187" t="s">
        <v>10</v>
      </c>
      <c r="F187">
        <v>3449904</v>
      </c>
      <c r="G187" s="1">
        <v>1017</v>
      </c>
      <c r="H187" s="2">
        <v>736690</v>
      </c>
      <c r="I187" t="str">
        <f>VLOOKUP(Tabela2[[#This Row],[PAIS]],'[1]nome do paixs'!$A:$B,2,0)</f>
        <v>França</v>
      </c>
      <c r="J187" t="s">
        <v>12</v>
      </c>
    </row>
    <row r="188" spans="1:10">
      <c r="A188">
        <v>2025</v>
      </c>
      <c r="B188">
        <v>5</v>
      </c>
      <c r="C188">
        <v>8807</v>
      </c>
      <c r="D188">
        <v>87</v>
      </c>
      <c r="E188" t="s">
        <v>10</v>
      </c>
      <c r="F188">
        <v>3449904</v>
      </c>
      <c r="G188" s="1">
        <v>12644</v>
      </c>
      <c r="H188" s="2">
        <v>5847945</v>
      </c>
      <c r="I188" t="str">
        <f>VLOOKUP(Tabela2[[#This Row],[PAIS]],'[1]nome do paixs'!$A:$B,2,0)</f>
        <v>Bélgica</v>
      </c>
      <c r="J188" t="s">
        <v>12</v>
      </c>
    </row>
    <row r="189" spans="1:10">
      <c r="A189">
        <v>2025</v>
      </c>
      <c r="B189">
        <v>2</v>
      </c>
      <c r="C189">
        <v>8807</v>
      </c>
      <c r="D189">
        <v>87</v>
      </c>
      <c r="E189" t="s">
        <v>10</v>
      </c>
      <c r="F189">
        <v>3449904</v>
      </c>
      <c r="G189" s="1">
        <v>7331</v>
      </c>
      <c r="H189" s="2">
        <v>3400885</v>
      </c>
      <c r="I189" t="str">
        <f>VLOOKUP(Tabela2[[#This Row],[PAIS]],'[1]nome do paixs'!$A:$B,2,0)</f>
        <v>Bélgica</v>
      </c>
      <c r="J189" t="s">
        <v>12</v>
      </c>
    </row>
    <row r="190" spans="1:10">
      <c r="A190">
        <v>2025</v>
      </c>
      <c r="B190">
        <v>7</v>
      </c>
      <c r="C190">
        <v>8807</v>
      </c>
      <c r="D190">
        <v>573</v>
      </c>
      <c r="E190" t="s">
        <v>10</v>
      </c>
      <c r="F190">
        <v>3449904</v>
      </c>
      <c r="G190" s="1">
        <v>12</v>
      </c>
      <c r="H190" s="2">
        <v>62085</v>
      </c>
      <c r="I190" t="str">
        <f>VLOOKUP(Tabela2[[#This Row],[PAIS]],'[1]nome do paixs'!$A:$B,2,0)</f>
        <v>Países Baixos (Holanda)</v>
      </c>
      <c r="J190" t="s">
        <v>12</v>
      </c>
    </row>
    <row r="191" spans="1:10">
      <c r="A191">
        <v>2025</v>
      </c>
      <c r="B191">
        <v>2</v>
      </c>
      <c r="C191">
        <v>8807</v>
      </c>
      <c r="D191">
        <v>741</v>
      </c>
      <c r="E191" t="s">
        <v>10</v>
      </c>
      <c r="F191">
        <v>3449904</v>
      </c>
      <c r="G191" s="1">
        <v>14</v>
      </c>
      <c r="H191" s="2">
        <v>13813</v>
      </c>
      <c r="I191" t="str">
        <f>VLOOKUP(Tabela2[[#This Row],[PAIS]],'[1]nome do paixs'!$A:$B,2,0)</f>
        <v>Singapura</v>
      </c>
      <c r="J191" t="s">
        <v>12</v>
      </c>
    </row>
    <row r="192" spans="1:10">
      <c r="A192">
        <v>2025</v>
      </c>
      <c r="B192">
        <v>4</v>
      </c>
      <c r="C192">
        <v>8807</v>
      </c>
      <c r="D192">
        <v>427</v>
      </c>
      <c r="E192" t="s">
        <v>10</v>
      </c>
      <c r="F192">
        <v>3449904</v>
      </c>
      <c r="G192" s="1">
        <v>1</v>
      </c>
      <c r="H192" s="2">
        <v>5762</v>
      </c>
      <c r="I192" t="str">
        <f>VLOOKUP(Tabela2[[#This Row],[PAIS]],'[1]nome do paixs'!$A:$B,2,0)</f>
        <v>Letônia</v>
      </c>
      <c r="J192" t="s">
        <v>12</v>
      </c>
    </row>
    <row r="193" spans="1:10">
      <c r="A193">
        <v>2025</v>
      </c>
      <c r="B193">
        <v>2</v>
      </c>
      <c r="C193">
        <v>8807</v>
      </c>
      <c r="D193">
        <v>538</v>
      </c>
      <c r="E193" t="s">
        <v>10</v>
      </c>
      <c r="F193">
        <v>3449904</v>
      </c>
      <c r="G193" s="1">
        <v>3</v>
      </c>
      <c r="H193" s="2">
        <v>3174</v>
      </c>
      <c r="I193" t="str">
        <f>VLOOKUP(Tabela2[[#This Row],[PAIS]],'[1]nome do paixs'!$A:$B,2,0)</f>
        <v>Noruega</v>
      </c>
      <c r="J193" t="s">
        <v>12</v>
      </c>
    </row>
    <row r="194" spans="1:10">
      <c r="A194">
        <v>2025</v>
      </c>
      <c r="B194">
        <v>6</v>
      </c>
      <c r="C194">
        <v>8807</v>
      </c>
      <c r="D194">
        <v>239</v>
      </c>
      <c r="E194" t="s">
        <v>10</v>
      </c>
      <c r="F194">
        <v>3449904</v>
      </c>
      <c r="G194" s="1">
        <v>0</v>
      </c>
      <c r="H194" s="2">
        <v>5174</v>
      </c>
      <c r="I194" t="str">
        <f>VLOOKUP(Tabela2[[#This Row],[PAIS]],'[1]nome do paixs'!$A:$B,2,0)</f>
        <v>Equador</v>
      </c>
      <c r="J194" t="s">
        <v>12</v>
      </c>
    </row>
    <row r="195" spans="1:10">
      <c r="A195">
        <v>2025</v>
      </c>
      <c r="B195">
        <v>4</v>
      </c>
      <c r="C195">
        <v>8807</v>
      </c>
      <c r="D195">
        <v>69</v>
      </c>
      <c r="E195" t="s">
        <v>10</v>
      </c>
      <c r="F195">
        <v>3449904</v>
      </c>
      <c r="G195" s="1">
        <v>16</v>
      </c>
      <c r="H195" s="2">
        <v>358270</v>
      </c>
      <c r="I195" t="str">
        <f>VLOOKUP(Tabela2[[#This Row],[PAIS]],'[1]nome do paixs'!$A:$B,2,0)</f>
        <v>Austrália</v>
      </c>
      <c r="J195" t="s">
        <v>12</v>
      </c>
    </row>
    <row r="196" spans="1:10">
      <c r="A196">
        <v>2025</v>
      </c>
      <c r="B196">
        <v>6</v>
      </c>
      <c r="C196">
        <v>8807</v>
      </c>
      <c r="D196">
        <v>23</v>
      </c>
      <c r="E196" t="s">
        <v>10</v>
      </c>
      <c r="F196">
        <v>3449904</v>
      </c>
      <c r="G196" s="1">
        <v>359</v>
      </c>
      <c r="H196" s="2">
        <v>685104</v>
      </c>
      <c r="I196" t="str">
        <f>VLOOKUP(Tabela2[[#This Row],[PAIS]],'[1]nome do paixs'!$A:$B,2,0)</f>
        <v>Alemanha</v>
      </c>
      <c r="J196" t="s">
        <v>12</v>
      </c>
    </row>
    <row r="197" spans="1:10">
      <c r="A197">
        <v>2025</v>
      </c>
      <c r="B197">
        <v>5</v>
      </c>
      <c r="C197">
        <v>8807</v>
      </c>
      <c r="D197">
        <v>361</v>
      </c>
      <c r="E197" t="s">
        <v>10</v>
      </c>
      <c r="F197">
        <v>3449904</v>
      </c>
      <c r="G197" s="1">
        <v>1</v>
      </c>
      <c r="H197" s="2">
        <v>1058</v>
      </c>
      <c r="I197" t="str">
        <f>VLOOKUP(Tabela2[[#This Row],[PAIS]],'[1]nome do paixs'!$A:$B,2,0)</f>
        <v>Índia</v>
      </c>
      <c r="J197" t="s">
        <v>12</v>
      </c>
    </row>
    <row r="198" spans="1:10">
      <c r="A198">
        <v>2025</v>
      </c>
      <c r="B198">
        <v>1</v>
      </c>
      <c r="C198">
        <v>8807</v>
      </c>
      <c r="D198">
        <v>756</v>
      </c>
      <c r="E198" t="s">
        <v>10</v>
      </c>
      <c r="F198">
        <v>3449904</v>
      </c>
      <c r="G198" s="1">
        <v>0</v>
      </c>
      <c r="H198" s="2">
        <v>149</v>
      </c>
      <c r="I198" t="str">
        <f>VLOOKUP(Tabela2[[#This Row],[PAIS]],'[1]nome do paixs'!$A:$B,2,0)</f>
        <v>África do Sul</v>
      </c>
      <c r="J198" t="s">
        <v>12</v>
      </c>
    </row>
    <row r="199" spans="1:10">
      <c r="A199">
        <v>2025</v>
      </c>
      <c r="B199">
        <v>7</v>
      </c>
      <c r="C199">
        <v>8807</v>
      </c>
      <c r="D199">
        <v>403</v>
      </c>
      <c r="E199" t="s">
        <v>10</v>
      </c>
      <c r="F199">
        <v>3449904</v>
      </c>
      <c r="G199" s="1">
        <v>0</v>
      </c>
      <c r="H199" s="2">
        <v>529</v>
      </c>
      <c r="I199" t="str">
        <f>VLOOKUP(Tabela2[[#This Row],[PAIS]],'[1]nome do paixs'!$A:$B,2,0)</f>
        <v>Jordânia</v>
      </c>
      <c r="J199" t="s">
        <v>12</v>
      </c>
    </row>
    <row r="200" spans="1:10">
      <c r="A200">
        <v>2025</v>
      </c>
      <c r="B200">
        <v>6</v>
      </c>
      <c r="C200">
        <v>8807</v>
      </c>
      <c r="D200">
        <v>741</v>
      </c>
      <c r="E200" t="s">
        <v>10</v>
      </c>
      <c r="F200">
        <v>3449904</v>
      </c>
      <c r="G200" s="1">
        <v>154</v>
      </c>
      <c r="H200" s="2">
        <v>72046</v>
      </c>
      <c r="I200" t="str">
        <f>VLOOKUP(Tabela2[[#This Row],[PAIS]],'[1]nome do paixs'!$A:$B,2,0)</f>
        <v>Singapura</v>
      </c>
      <c r="J200" t="s">
        <v>12</v>
      </c>
    </row>
    <row r="201" spans="1:10">
      <c r="A201">
        <v>2025</v>
      </c>
      <c r="B201">
        <v>4</v>
      </c>
      <c r="C201">
        <v>8807</v>
      </c>
      <c r="D201">
        <v>628</v>
      </c>
      <c r="E201" t="s">
        <v>10</v>
      </c>
      <c r="F201">
        <v>3449904</v>
      </c>
      <c r="G201" s="1">
        <v>1392</v>
      </c>
      <c r="H201" s="2">
        <v>531370</v>
      </c>
      <c r="I201" t="str">
        <f>VLOOKUP(Tabela2[[#This Row],[PAIS]],'[1]nome do paixs'!$A:$B,2,0)</f>
        <v>Reino Unido</v>
      </c>
      <c r="J201" t="s">
        <v>12</v>
      </c>
    </row>
    <row r="202" spans="1:10">
      <c r="A202">
        <v>2025</v>
      </c>
      <c r="B202">
        <v>2</v>
      </c>
      <c r="C202">
        <v>8807</v>
      </c>
      <c r="D202">
        <v>245</v>
      </c>
      <c r="E202" t="s">
        <v>10</v>
      </c>
      <c r="F202">
        <v>3449904</v>
      </c>
      <c r="G202" s="1">
        <v>4829</v>
      </c>
      <c r="H202" s="2">
        <v>3140555</v>
      </c>
      <c r="I202" t="str">
        <f>VLOOKUP(Tabela2[[#This Row],[PAIS]],'[1]nome do paixs'!$A:$B,2,0)</f>
        <v>Espanha</v>
      </c>
      <c r="J202" t="s">
        <v>12</v>
      </c>
    </row>
    <row r="203" spans="1:10">
      <c r="A203">
        <v>2025</v>
      </c>
      <c r="B203">
        <v>3</v>
      </c>
      <c r="C203">
        <v>8807</v>
      </c>
      <c r="D203">
        <v>628</v>
      </c>
      <c r="E203" t="s">
        <v>10</v>
      </c>
      <c r="F203">
        <v>3449904</v>
      </c>
      <c r="G203" s="1">
        <v>2200</v>
      </c>
      <c r="H203" s="2">
        <v>729663</v>
      </c>
      <c r="I203" t="str">
        <f>VLOOKUP(Tabela2[[#This Row],[PAIS]],'[1]nome do paixs'!$A:$B,2,0)</f>
        <v>Reino Unido</v>
      </c>
      <c r="J203" t="s">
        <v>12</v>
      </c>
    </row>
    <row r="204" spans="1:10">
      <c r="A204">
        <v>2025</v>
      </c>
      <c r="B204">
        <v>4</v>
      </c>
      <c r="C204">
        <v>8807</v>
      </c>
      <c r="D204">
        <v>399</v>
      </c>
      <c r="E204" t="s">
        <v>10</v>
      </c>
      <c r="F204">
        <v>3449904</v>
      </c>
      <c r="G204" s="1">
        <v>1</v>
      </c>
      <c r="H204" s="2">
        <v>4138</v>
      </c>
      <c r="I204" t="str">
        <f>VLOOKUP(Tabela2[[#This Row],[PAIS]],'[1]nome do paixs'!$A:$B,2,0)</f>
        <v>Japão</v>
      </c>
      <c r="J204" t="s">
        <v>12</v>
      </c>
    </row>
    <row r="205" spans="1:10">
      <c r="A205">
        <v>2025</v>
      </c>
      <c r="B205">
        <v>5</v>
      </c>
      <c r="C205">
        <v>8807</v>
      </c>
      <c r="D205">
        <v>160</v>
      </c>
      <c r="E205" t="s">
        <v>10</v>
      </c>
      <c r="F205">
        <v>3449904</v>
      </c>
      <c r="G205" s="1">
        <v>2</v>
      </c>
      <c r="H205" s="2">
        <v>887</v>
      </c>
      <c r="I205" t="str">
        <f>VLOOKUP(Tabela2[[#This Row],[PAIS]],'[1]nome do paixs'!$A:$B,2,0)</f>
        <v>China</v>
      </c>
      <c r="J205" t="s">
        <v>12</v>
      </c>
    </row>
    <row r="206" spans="1:10">
      <c r="A206">
        <v>2025</v>
      </c>
      <c r="B206">
        <v>6</v>
      </c>
      <c r="C206">
        <v>8807</v>
      </c>
      <c r="D206">
        <v>31</v>
      </c>
      <c r="E206" t="s">
        <v>10</v>
      </c>
      <c r="F206">
        <v>3449904</v>
      </c>
      <c r="G206" s="1">
        <v>0</v>
      </c>
      <c r="H206" s="2">
        <v>949</v>
      </c>
      <c r="I206" t="str">
        <f>VLOOKUP(Tabela2[[#This Row],[PAIS]],'[1]nome do paixs'!$A:$B,2,0)</f>
        <v>Burkina Faso</v>
      </c>
      <c r="J206" t="s">
        <v>12</v>
      </c>
    </row>
    <row r="207" spans="1:10">
      <c r="A207">
        <v>2025</v>
      </c>
      <c r="B207">
        <v>6</v>
      </c>
      <c r="C207">
        <v>8807</v>
      </c>
      <c r="D207">
        <v>538</v>
      </c>
      <c r="E207" t="s">
        <v>10</v>
      </c>
      <c r="F207">
        <v>3449904</v>
      </c>
      <c r="G207" s="1">
        <v>0</v>
      </c>
      <c r="H207" s="2">
        <v>568</v>
      </c>
      <c r="I207" t="str">
        <f>VLOOKUP(Tabela2[[#This Row],[PAIS]],'[1]nome do paixs'!$A:$B,2,0)</f>
        <v>Noruega</v>
      </c>
      <c r="J207" t="s">
        <v>12</v>
      </c>
    </row>
    <row r="208" spans="1:10">
      <c r="A208">
        <v>2025</v>
      </c>
      <c r="B208">
        <v>4</v>
      </c>
      <c r="C208">
        <v>8807</v>
      </c>
      <c r="D208">
        <v>756</v>
      </c>
      <c r="E208" t="s">
        <v>10</v>
      </c>
      <c r="F208">
        <v>3449904</v>
      </c>
      <c r="G208" s="1">
        <v>2</v>
      </c>
      <c r="H208" s="2">
        <v>88433</v>
      </c>
      <c r="I208" t="str">
        <f>VLOOKUP(Tabela2[[#This Row],[PAIS]],'[1]nome do paixs'!$A:$B,2,0)</f>
        <v>África do Sul</v>
      </c>
      <c r="J208" t="s">
        <v>12</v>
      </c>
    </row>
    <row r="209" spans="1:10">
      <c r="A209">
        <v>2025</v>
      </c>
      <c r="B209">
        <v>8</v>
      </c>
      <c r="C209">
        <v>8807</v>
      </c>
      <c r="D209">
        <v>628</v>
      </c>
      <c r="E209" t="s">
        <v>10</v>
      </c>
      <c r="F209">
        <v>3449904</v>
      </c>
      <c r="G209" s="1">
        <v>1810</v>
      </c>
      <c r="H209" s="2">
        <v>611073</v>
      </c>
      <c r="I209" t="str">
        <f>VLOOKUP(Tabela2[[#This Row],[PAIS]],'[1]nome do paixs'!$A:$B,2,0)</f>
        <v>Reino Unido</v>
      </c>
      <c r="J209" t="s">
        <v>12</v>
      </c>
    </row>
    <row r="210" spans="1:10">
      <c r="A210">
        <v>2025</v>
      </c>
      <c r="B210">
        <v>7</v>
      </c>
      <c r="C210">
        <v>8807</v>
      </c>
      <c r="D210">
        <v>239</v>
      </c>
      <c r="E210" t="s">
        <v>10</v>
      </c>
      <c r="F210">
        <v>3449904</v>
      </c>
      <c r="G210" s="1">
        <v>0</v>
      </c>
      <c r="H210" s="2">
        <v>2864</v>
      </c>
      <c r="I210" t="str">
        <f>VLOOKUP(Tabela2[[#This Row],[PAIS]],'[1]nome do paixs'!$A:$B,2,0)</f>
        <v>Equador</v>
      </c>
      <c r="J210" t="s">
        <v>12</v>
      </c>
    </row>
    <row r="211" spans="1:10">
      <c r="A211">
        <v>2025</v>
      </c>
      <c r="B211">
        <v>3</v>
      </c>
      <c r="C211">
        <v>8807</v>
      </c>
      <c r="D211">
        <v>232</v>
      </c>
      <c r="E211" t="s">
        <v>10</v>
      </c>
      <c r="F211">
        <v>3449904</v>
      </c>
      <c r="G211" s="1">
        <v>1</v>
      </c>
      <c r="H211" s="2">
        <v>1058</v>
      </c>
      <c r="I211" t="str">
        <f>VLOOKUP(Tabela2[[#This Row],[PAIS]],'[1]nome do paixs'!$A:$B,2,0)</f>
        <v>Dinamarca</v>
      </c>
      <c r="J211" t="s">
        <v>12</v>
      </c>
    </row>
    <row r="212" spans="1:10">
      <c r="A212">
        <v>2025</v>
      </c>
      <c r="B212">
        <v>7</v>
      </c>
      <c r="C212">
        <v>8807</v>
      </c>
      <c r="D212">
        <v>399</v>
      </c>
      <c r="E212" t="s">
        <v>10</v>
      </c>
      <c r="F212">
        <v>3449904</v>
      </c>
      <c r="G212" s="1">
        <v>1</v>
      </c>
      <c r="H212" s="2">
        <v>8345</v>
      </c>
      <c r="I212" t="str">
        <f>VLOOKUP(Tabela2[[#This Row],[PAIS]],'[1]nome do paixs'!$A:$B,2,0)</f>
        <v>Japão</v>
      </c>
      <c r="J212" t="s">
        <v>12</v>
      </c>
    </row>
    <row r="213" spans="1:10">
      <c r="A213">
        <v>2025</v>
      </c>
      <c r="B213">
        <v>5</v>
      </c>
      <c r="C213">
        <v>8807</v>
      </c>
      <c r="D213">
        <v>647</v>
      </c>
      <c r="E213" t="s">
        <v>10</v>
      </c>
      <c r="F213">
        <v>3449904</v>
      </c>
      <c r="G213" s="1">
        <v>401</v>
      </c>
      <c r="H213" s="2">
        <v>31164</v>
      </c>
      <c r="I213" t="str">
        <f>VLOOKUP(Tabela2[[#This Row],[PAIS]],'[1]nome do paixs'!$A:$B,2,0)</f>
        <v>República Dominicana</v>
      </c>
      <c r="J213" t="s">
        <v>12</v>
      </c>
    </row>
    <row r="214" spans="1:10">
      <c r="A214">
        <v>2025</v>
      </c>
      <c r="B214">
        <v>6</v>
      </c>
      <c r="C214">
        <v>8807</v>
      </c>
      <c r="D214">
        <v>160</v>
      </c>
      <c r="E214" t="s">
        <v>10</v>
      </c>
      <c r="F214">
        <v>3449904</v>
      </c>
      <c r="G214" s="1">
        <v>4</v>
      </c>
      <c r="H214" s="2">
        <v>5254</v>
      </c>
      <c r="I214" t="str">
        <f>VLOOKUP(Tabela2[[#This Row],[PAIS]],'[1]nome do paixs'!$A:$B,2,0)</f>
        <v>China</v>
      </c>
      <c r="J214" t="s">
        <v>12</v>
      </c>
    </row>
    <row r="215" spans="1:10">
      <c r="A215">
        <v>2025</v>
      </c>
      <c r="B215">
        <v>5</v>
      </c>
      <c r="C215">
        <v>8807</v>
      </c>
      <c r="D215">
        <v>69</v>
      </c>
      <c r="E215" t="s">
        <v>10</v>
      </c>
      <c r="F215">
        <v>3449904</v>
      </c>
      <c r="G215" s="1">
        <v>2</v>
      </c>
      <c r="H215" s="2">
        <v>35877</v>
      </c>
      <c r="I215" t="str">
        <f>VLOOKUP(Tabela2[[#This Row],[PAIS]],'[1]nome do paixs'!$A:$B,2,0)</f>
        <v>Austrália</v>
      </c>
      <c r="J215" t="s">
        <v>12</v>
      </c>
    </row>
    <row r="216" spans="1:10">
      <c r="A216">
        <v>2025</v>
      </c>
      <c r="B216">
        <v>1</v>
      </c>
      <c r="C216">
        <v>8807</v>
      </c>
      <c r="D216">
        <v>603</v>
      </c>
      <c r="E216" t="s">
        <v>10</v>
      </c>
      <c r="F216">
        <v>3449904</v>
      </c>
      <c r="G216" s="1">
        <v>1</v>
      </c>
      <c r="H216" s="2">
        <v>4778</v>
      </c>
      <c r="I216" t="str">
        <f>VLOOKUP(Tabela2[[#This Row],[PAIS]],'[1]nome do paixs'!$A:$B,2,0)</f>
        <v>Polônia</v>
      </c>
      <c r="J216" t="s">
        <v>12</v>
      </c>
    </row>
    <row r="217" spans="1:10">
      <c r="A217">
        <v>2025</v>
      </c>
      <c r="B217">
        <v>8</v>
      </c>
      <c r="C217">
        <v>8807</v>
      </c>
      <c r="D217">
        <v>756</v>
      </c>
      <c r="E217" t="s">
        <v>10</v>
      </c>
      <c r="F217">
        <v>3449904</v>
      </c>
      <c r="G217" s="1">
        <v>3</v>
      </c>
      <c r="H217" s="2">
        <v>12854</v>
      </c>
      <c r="I217" t="str">
        <f>VLOOKUP(Tabela2[[#This Row],[PAIS]],'[1]nome do paixs'!$A:$B,2,0)</f>
        <v>África do Sul</v>
      </c>
      <c r="J217" t="s">
        <v>12</v>
      </c>
    </row>
    <row r="218" spans="1:10">
      <c r="A218">
        <v>2025</v>
      </c>
      <c r="B218">
        <v>4</v>
      </c>
      <c r="C218">
        <v>8807</v>
      </c>
      <c r="D218">
        <v>538</v>
      </c>
      <c r="E218" t="s">
        <v>10</v>
      </c>
      <c r="F218">
        <v>3449904</v>
      </c>
      <c r="G218" s="1">
        <v>1</v>
      </c>
      <c r="H218" s="2">
        <v>17249</v>
      </c>
      <c r="I218" t="str">
        <f>VLOOKUP(Tabela2[[#This Row],[PAIS]],'[1]nome do paixs'!$A:$B,2,0)</f>
        <v>Noruega</v>
      </c>
      <c r="J218" t="s">
        <v>12</v>
      </c>
    </row>
    <row r="219" spans="1:10">
      <c r="A219">
        <v>2025</v>
      </c>
      <c r="B219">
        <v>7</v>
      </c>
      <c r="C219">
        <v>8807</v>
      </c>
      <c r="D219">
        <v>628</v>
      </c>
      <c r="E219" t="s">
        <v>10</v>
      </c>
      <c r="F219">
        <v>3449904</v>
      </c>
      <c r="G219" s="1">
        <v>2664</v>
      </c>
      <c r="H219" s="2">
        <v>922415</v>
      </c>
      <c r="I219" t="str">
        <f>VLOOKUP(Tabela2[[#This Row],[PAIS]],'[1]nome do paixs'!$A:$B,2,0)</f>
        <v>Reino Unido</v>
      </c>
      <c r="J219" t="s">
        <v>12</v>
      </c>
    </row>
    <row r="220" spans="1:10">
      <c r="A220">
        <v>2025</v>
      </c>
      <c r="B220">
        <v>7</v>
      </c>
      <c r="C220">
        <v>8807</v>
      </c>
      <c r="D220">
        <v>756</v>
      </c>
      <c r="E220" t="s">
        <v>10</v>
      </c>
      <c r="F220">
        <v>3449904</v>
      </c>
      <c r="G220" s="1">
        <v>2</v>
      </c>
      <c r="H220" s="2">
        <v>26484</v>
      </c>
      <c r="I220" t="str">
        <f>VLOOKUP(Tabela2[[#This Row],[PAIS]],'[1]nome do paixs'!$A:$B,2,0)</f>
        <v>África do Sul</v>
      </c>
      <c r="J220" t="s">
        <v>12</v>
      </c>
    </row>
    <row r="221" spans="1:10">
      <c r="A221">
        <v>2025</v>
      </c>
      <c r="B221">
        <v>6</v>
      </c>
      <c r="C221">
        <v>8807</v>
      </c>
      <c r="D221">
        <v>573</v>
      </c>
      <c r="E221" t="s">
        <v>10</v>
      </c>
      <c r="F221">
        <v>3449904</v>
      </c>
      <c r="G221" s="1">
        <v>33</v>
      </c>
      <c r="H221" s="2">
        <v>95846</v>
      </c>
      <c r="I221" t="str">
        <f>VLOOKUP(Tabela2[[#This Row],[PAIS]],'[1]nome do paixs'!$A:$B,2,0)</f>
        <v>Países Baixos (Holanda)</v>
      </c>
      <c r="J221" t="s">
        <v>12</v>
      </c>
    </row>
    <row r="222" spans="1:10">
      <c r="A222">
        <v>2025</v>
      </c>
      <c r="B222">
        <v>4</v>
      </c>
      <c r="C222">
        <v>8807</v>
      </c>
      <c r="D222">
        <v>493</v>
      </c>
      <c r="E222" t="s">
        <v>10</v>
      </c>
      <c r="F222">
        <v>3449904</v>
      </c>
      <c r="G222" s="1">
        <v>4</v>
      </c>
      <c r="H222" s="2">
        <v>116813</v>
      </c>
      <c r="I222" t="str">
        <f>VLOOKUP(Tabela2[[#This Row],[PAIS]],'[1]nome do paixs'!$A:$B,2,0)</f>
        <v>México</v>
      </c>
      <c r="J222" t="s">
        <v>12</v>
      </c>
    </row>
    <row r="223" spans="1:10">
      <c r="A223">
        <v>2025</v>
      </c>
      <c r="B223">
        <v>2</v>
      </c>
      <c r="C223">
        <v>8807</v>
      </c>
      <c r="D223">
        <v>403</v>
      </c>
      <c r="E223" t="s">
        <v>10</v>
      </c>
      <c r="F223">
        <v>3449904</v>
      </c>
      <c r="G223" s="1">
        <v>8</v>
      </c>
      <c r="H223" s="2">
        <v>8991</v>
      </c>
      <c r="I223" t="str">
        <f>VLOOKUP(Tabela2[[#This Row],[PAIS]],'[1]nome do paixs'!$A:$B,2,0)</f>
        <v>Jordânia</v>
      </c>
      <c r="J223" t="s">
        <v>12</v>
      </c>
    </row>
    <row r="224" spans="1:10">
      <c r="A224">
        <v>2025</v>
      </c>
      <c r="B224">
        <v>3</v>
      </c>
      <c r="C224">
        <v>8807</v>
      </c>
      <c r="D224">
        <v>149</v>
      </c>
      <c r="E224" t="s">
        <v>10</v>
      </c>
      <c r="F224">
        <v>3449904</v>
      </c>
      <c r="G224" s="1">
        <v>0</v>
      </c>
      <c r="H224" s="2">
        <v>1787</v>
      </c>
      <c r="I224" t="str">
        <f>VLOOKUP(Tabela2[[#This Row],[PAIS]],'[1]nome do paixs'!$A:$B,2,0)</f>
        <v>Canadá</v>
      </c>
      <c r="J224" t="s">
        <v>12</v>
      </c>
    </row>
    <row r="225" spans="1:10">
      <c r="A225">
        <v>2025</v>
      </c>
      <c r="B225">
        <v>2</v>
      </c>
      <c r="C225">
        <v>8807</v>
      </c>
      <c r="D225">
        <v>386</v>
      </c>
      <c r="E225" t="s">
        <v>10</v>
      </c>
      <c r="F225">
        <v>3449904</v>
      </c>
      <c r="G225" s="1">
        <v>134</v>
      </c>
      <c r="H225" s="2">
        <v>43871</v>
      </c>
      <c r="I225" t="str">
        <f>VLOOKUP(Tabela2[[#This Row],[PAIS]],'[1]nome do paixs'!$A:$B,2,0)</f>
        <v>Itália</v>
      </c>
      <c r="J225" t="s">
        <v>12</v>
      </c>
    </row>
    <row r="226" spans="1:10">
      <c r="A226">
        <v>2025</v>
      </c>
      <c r="B226">
        <v>4</v>
      </c>
      <c r="C226">
        <v>8807</v>
      </c>
      <c r="D226">
        <v>244</v>
      </c>
      <c r="E226" t="s">
        <v>10</v>
      </c>
      <c r="F226">
        <v>3449904</v>
      </c>
      <c r="G226" s="1">
        <v>106</v>
      </c>
      <c r="H226" s="2">
        <v>17932</v>
      </c>
      <c r="I226" t="str">
        <f>VLOOKUP(Tabela2[[#This Row],[PAIS]],'[1]nome do paixs'!$A:$B,2,0)</f>
        <v>Emirados Árabes Unidos</v>
      </c>
      <c r="J226" t="s">
        <v>12</v>
      </c>
    </row>
    <row r="227" spans="1:10">
      <c r="A227">
        <v>2025</v>
      </c>
      <c r="B227">
        <v>7</v>
      </c>
      <c r="C227">
        <v>8807</v>
      </c>
      <c r="D227">
        <v>160</v>
      </c>
      <c r="E227" t="s">
        <v>10</v>
      </c>
      <c r="F227">
        <v>3449904</v>
      </c>
      <c r="G227" s="1">
        <v>8</v>
      </c>
      <c r="H227" s="2">
        <v>19401</v>
      </c>
      <c r="I227" t="str">
        <f>VLOOKUP(Tabela2[[#This Row],[PAIS]],'[1]nome do paixs'!$A:$B,2,0)</f>
        <v>China</v>
      </c>
      <c r="J227" t="s">
        <v>12</v>
      </c>
    </row>
    <row r="228" spans="1:10">
      <c r="A228">
        <v>2025</v>
      </c>
      <c r="B228">
        <v>3</v>
      </c>
      <c r="C228">
        <v>8807</v>
      </c>
      <c r="D228">
        <v>756</v>
      </c>
      <c r="E228" t="s">
        <v>10</v>
      </c>
      <c r="F228">
        <v>3449904</v>
      </c>
      <c r="G228" s="1">
        <v>0</v>
      </c>
      <c r="H228" s="2">
        <v>6026</v>
      </c>
      <c r="I228" t="str">
        <f>VLOOKUP(Tabela2[[#This Row],[PAIS]],'[1]nome do paixs'!$A:$B,2,0)</f>
        <v>África do Sul</v>
      </c>
      <c r="J228" t="s">
        <v>12</v>
      </c>
    </row>
    <row r="229" spans="1:10">
      <c r="A229">
        <v>2025</v>
      </c>
      <c r="B229">
        <v>8</v>
      </c>
      <c r="C229">
        <v>8807</v>
      </c>
      <c r="D229">
        <v>275</v>
      </c>
      <c r="E229" t="s">
        <v>10</v>
      </c>
      <c r="F229">
        <v>3449904</v>
      </c>
      <c r="G229" s="1">
        <v>949</v>
      </c>
      <c r="H229" s="2">
        <v>887845</v>
      </c>
      <c r="I229" t="str">
        <f>VLOOKUP(Tabela2[[#This Row],[PAIS]],'[1]nome do paixs'!$A:$B,2,0)</f>
        <v>França</v>
      </c>
      <c r="J229" t="s">
        <v>12</v>
      </c>
    </row>
    <row r="230" spans="1:10">
      <c r="A230">
        <v>2025</v>
      </c>
      <c r="B230">
        <v>4</v>
      </c>
      <c r="C230">
        <v>8807</v>
      </c>
      <c r="D230">
        <v>301</v>
      </c>
      <c r="E230" t="s">
        <v>10</v>
      </c>
      <c r="F230">
        <v>3449904</v>
      </c>
      <c r="G230" s="1">
        <v>1</v>
      </c>
      <c r="H230" s="2">
        <v>16780</v>
      </c>
      <c r="I230" t="str">
        <f>VLOOKUP(Tabela2[[#This Row],[PAIS]],'[1]nome do paixs'!$A:$B,2,0)</f>
        <v>Grécia</v>
      </c>
      <c r="J230" t="s">
        <v>12</v>
      </c>
    </row>
    <row r="231" spans="1:10">
      <c r="A231">
        <v>2025</v>
      </c>
      <c r="B231">
        <v>7</v>
      </c>
      <c r="C231">
        <v>8807</v>
      </c>
      <c r="D231">
        <v>149</v>
      </c>
      <c r="E231" t="s">
        <v>10</v>
      </c>
      <c r="F231">
        <v>3449904</v>
      </c>
      <c r="G231" s="1">
        <v>92</v>
      </c>
      <c r="H231" s="2">
        <v>128497</v>
      </c>
      <c r="I231" t="str">
        <f>VLOOKUP(Tabela2[[#This Row],[PAIS]],'[1]nome do paixs'!$A:$B,2,0)</f>
        <v>Canadá</v>
      </c>
      <c r="J231" t="s">
        <v>12</v>
      </c>
    </row>
    <row r="232" spans="1:10">
      <c r="A232">
        <v>2025</v>
      </c>
      <c r="B232">
        <v>5</v>
      </c>
      <c r="C232">
        <v>8807</v>
      </c>
      <c r="D232">
        <v>741</v>
      </c>
      <c r="E232" t="s">
        <v>10</v>
      </c>
      <c r="F232">
        <v>3449904</v>
      </c>
      <c r="G232" s="1">
        <v>99</v>
      </c>
      <c r="H232" s="2">
        <v>74683</v>
      </c>
      <c r="I232" t="str">
        <f>VLOOKUP(Tabela2[[#This Row],[PAIS]],'[1]nome do paixs'!$A:$B,2,0)</f>
        <v>Singapura</v>
      </c>
      <c r="J232" t="s">
        <v>12</v>
      </c>
    </row>
    <row r="233" spans="1:10">
      <c r="A233">
        <v>2025</v>
      </c>
      <c r="B233">
        <v>7</v>
      </c>
      <c r="C233">
        <v>8807</v>
      </c>
      <c r="D233">
        <v>767</v>
      </c>
      <c r="E233" t="s">
        <v>10</v>
      </c>
      <c r="F233">
        <v>3449904</v>
      </c>
      <c r="G233" s="1">
        <v>2</v>
      </c>
      <c r="H233" s="2">
        <v>2747</v>
      </c>
      <c r="I233" t="str">
        <f>VLOOKUP(Tabela2[[#This Row],[PAIS]],'[1]nome do paixs'!$A:$B,2,0)</f>
        <v>Suíça</v>
      </c>
      <c r="J233" t="s">
        <v>12</v>
      </c>
    </row>
    <row r="234" spans="1:10">
      <c r="A234">
        <v>2025</v>
      </c>
      <c r="B234">
        <v>2</v>
      </c>
      <c r="C234">
        <v>8807</v>
      </c>
      <c r="D234">
        <v>756</v>
      </c>
      <c r="E234" t="s">
        <v>10</v>
      </c>
      <c r="F234">
        <v>3449904</v>
      </c>
      <c r="G234" s="1">
        <v>14</v>
      </c>
      <c r="H234" s="2">
        <v>43415</v>
      </c>
      <c r="I234" t="str">
        <f>VLOOKUP(Tabela2[[#This Row],[PAIS]],'[1]nome do paixs'!$A:$B,2,0)</f>
        <v>África do Sul</v>
      </c>
      <c r="J234" t="s">
        <v>12</v>
      </c>
    </row>
    <row r="235" spans="1:10">
      <c r="A235">
        <v>2025</v>
      </c>
      <c r="B235">
        <v>4</v>
      </c>
      <c r="C235">
        <v>8807</v>
      </c>
      <c r="D235">
        <v>607</v>
      </c>
      <c r="E235" t="s">
        <v>10</v>
      </c>
      <c r="F235">
        <v>3449904</v>
      </c>
      <c r="G235" s="1">
        <v>128</v>
      </c>
      <c r="H235" s="2">
        <v>352295</v>
      </c>
      <c r="I235" t="str">
        <f>VLOOKUP(Tabela2[[#This Row],[PAIS]],'[1]nome do paixs'!$A:$B,2,0)</f>
        <v>Portugal</v>
      </c>
      <c r="J235" t="s">
        <v>12</v>
      </c>
    </row>
    <row r="236" spans="1:10">
      <c r="A236">
        <v>2025</v>
      </c>
      <c r="B236">
        <v>8</v>
      </c>
      <c r="C236">
        <v>8807</v>
      </c>
      <c r="D236">
        <v>573</v>
      </c>
      <c r="E236" t="s">
        <v>10</v>
      </c>
      <c r="F236">
        <v>3449904</v>
      </c>
      <c r="G236" s="1">
        <v>11</v>
      </c>
      <c r="H236" s="2">
        <v>126119</v>
      </c>
      <c r="I236" t="str">
        <f>VLOOKUP(Tabela2[[#This Row],[PAIS]],'[1]nome do paixs'!$A:$B,2,0)</f>
        <v>Países Baixos (Holanda)</v>
      </c>
      <c r="J236" t="s">
        <v>12</v>
      </c>
    </row>
    <row r="237" spans="1:10">
      <c r="A237">
        <v>2025</v>
      </c>
      <c r="B237">
        <v>3</v>
      </c>
      <c r="C237">
        <v>8807</v>
      </c>
      <c r="D237">
        <v>97</v>
      </c>
      <c r="E237" t="s">
        <v>10</v>
      </c>
      <c r="F237">
        <v>3449904</v>
      </c>
      <c r="G237" s="1">
        <v>1019</v>
      </c>
      <c r="H237" s="2">
        <v>83202</v>
      </c>
      <c r="I237" t="str">
        <f>VLOOKUP(Tabela2[[#This Row],[PAIS]],'[1]nome do paixs'!$A:$B,2,0)</f>
        <v>Bolívia</v>
      </c>
      <c r="J237" t="s">
        <v>12</v>
      </c>
    </row>
    <row r="238" spans="1:10">
      <c r="A238">
        <v>2025</v>
      </c>
      <c r="B238">
        <v>4</v>
      </c>
      <c r="C238">
        <v>8807</v>
      </c>
      <c r="D238">
        <v>647</v>
      </c>
      <c r="E238" t="s">
        <v>10</v>
      </c>
      <c r="F238">
        <v>3449904</v>
      </c>
      <c r="G238" s="1">
        <v>408</v>
      </c>
      <c r="H238" s="2">
        <v>29319</v>
      </c>
      <c r="I238" t="str">
        <f>VLOOKUP(Tabela2[[#This Row],[PAIS]],'[1]nome do paixs'!$A:$B,2,0)</f>
        <v>República Dominicana</v>
      </c>
      <c r="J238" t="s">
        <v>12</v>
      </c>
    </row>
    <row r="239" spans="1:10">
      <c r="A239">
        <v>2025</v>
      </c>
      <c r="B239">
        <v>6</v>
      </c>
      <c r="C239">
        <v>8807</v>
      </c>
      <c r="D239">
        <v>271</v>
      </c>
      <c r="E239" t="s">
        <v>10</v>
      </c>
      <c r="F239">
        <v>3449904</v>
      </c>
      <c r="G239" s="1">
        <v>0</v>
      </c>
      <c r="H239" s="2">
        <v>5505</v>
      </c>
      <c r="I239" t="str">
        <f>VLOOKUP(Tabela2[[#This Row],[PAIS]],'[1]nome do paixs'!$A:$B,2,0)</f>
        <v>Finlândia</v>
      </c>
      <c r="J239" t="s">
        <v>12</v>
      </c>
    </row>
    <row r="240" spans="1:10">
      <c r="A240">
        <v>2025</v>
      </c>
      <c r="B240">
        <v>8</v>
      </c>
      <c r="C240">
        <v>8807</v>
      </c>
      <c r="D240">
        <v>493</v>
      </c>
      <c r="E240" t="s">
        <v>10</v>
      </c>
      <c r="F240">
        <v>3449904</v>
      </c>
      <c r="G240" s="1">
        <v>0</v>
      </c>
      <c r="H240" s="2">
        <v>1559</v>
      </c>
      <c r="I240" t="str">
        <f>VLOOKUP(Tabela2[[#This Row],[PAIS]],'[1]nome do paixs'!$A:$B,2,0)</f>
        <v>México</v>
      </c>
      <c r="J240" t="s">
        <v>12</v>
      </c>
    </row>
    <row r="241" spans="1:10">
      <c r="A241">
        <v>2025</v>
      </c>
      <c r="B241">
        <v>1</v>
      </c>
      <c r="C241">
        <v>8807</v>
      </c>
      <c r="D241">
        <v>87</v>
      </c>
      <c r="E241" t="s">
        <v>10</v>
      </c>
      <c r="F241">
        <v>3449904</v>
      </c>
      <c r="G241" s="1">
        <v>8485</v>
      </c>
      <c r="H241" s="2">
        <v>4035147</v>
      </c>
      <c r="I241" t="str">
        <f>VLOOKUP(Tabela2[[#This Row],[PAIS]],'[1]nome do paixs'!$A:$B,2,0)</f>
        <v>Bélgica</v>
      </c>
      <c r="J241" t="s">
        <v>12</v>
      </c>
    </row>
    <row r="242" spans="1:10">
      <c r="A242">
        <v>2025</v>
      </c>
      <c r="B242">
        <v>4</v>
      </c>
      <c r="C242">
        <v>8807</v>
      </c>
      <c r="D242">
        <v>386</v>
      </c>
      <c r="E242" t="s">
        <v>10</v>
      </c>
      <c r="F242">
        <v>3449904</v>
      </c>
      <c r="G242" s="1">
        <v>60</v>
      </c>
      <c r="H242" s="2">
        <v>31264</v>
      </c>
      <c r="I242" t="str">
        <f>VLOOKUP(Tabela2[[#This Row],[PAIS]],'[1]nome do paixs'!$A:$B,2,0)</f>
        <v>Itália</v>
      </c>
      <c r="J242" t="s">
        <v>12</v>
      </c>
    </row>
    <row r="243" spans="1:10">
      <c r="A243">
        <v>2025</v>
      </c>
      <c r="B243">
        <v>2</v>
      </c>
      <c r="C243">
        <v>8807</v>
      </c>
      <c r="D243">
        <v>375</v>
      </c>
      <c r="E243" t="s">
        <v>10</v>
      </c>
      <c r="F243">
        <v>3449904</v>
      </c>
      <c r="G243" s="1">
        <v>1020</v>
      </c>
      <c r="H243" s="2">
        <v>69306</v>
      </c>
      <c r="I243" t="str">
        <f>VLOOKUP(Tabela2[[#This Row],[PAIS]],'[1]nome do paixs'!$A:$B,2,0)</f>
        <v>Irlanda</v>
      </c>
      <c r="J243" t="s">
        <v>12</v>
      </c>
    </row>
    <row r="244" spans="1:10">
      <c r="A244">
        <v>2025</v>
      </c>
      <c r="B244">
        <v>4</v>
      </c>
      <c r="C244">
        <v>8807</v>
      </c>
      <c r="D244">
        <v>271</v>
      </c>
      <c r="E244" t="s">
        <v>10</v>
      </c>
      <c r="F244">
        <v>3449904</v>
      </c>
      <c r="G244" s="1">
        <v>1</v>
      </c>
      <c r="H244" s="2">
        <v>38538</v>
      </c>
      <c r="I244" t="str">
        <f>VLOOKUP(Tabela2[[#This Row],[PAIS]],'[1]nome do paixs'!$A:$B,2,0)</f>
        <v>Finlândia</v>
      </c>
      <c r="J244" t="s">
        <v>12</v>
      </c>
    </row>
    <row r="245" spans="1:10">
      <c r="A245">
        <v>2025</v>
      </c>
      <c r="B245">
        <v>4</v>
      </c>
      <c r="C245">
        <v>8807</v>
      </c>
      <c r="D245">
        <v>741</v>
      </c>
      <c r="E245" t="s">
        <v>10</v>
      </c>
      <c r="F245">
        <v>3449904</v>
      </c>
      <c r="G245" s="1">
        <v>12</v>
      </c>
      <c r="H245" s="2">
        <v>9638</v>
      </c>
      <c r="I245" t="str">
        <f>VLOOKUP(Tabela2[[#This Row],[PAIS]],'[1]nome do paixs'!$A:$B,2,0)</f>
        <v>Singapura</v>
      </c>
      <c r="J245" t="s">
        <v>12</v>
      </c>
    </row>
    <row r="246" spans="1:10">
      <c r="A246">
        <v>2025</v>
      </c>
      <c r="B246">
        <v>4</v>
      </c>
      <c r="C246">
        <v>8807</v>
      </c>
      <c r="D246">
        <v>403</v>
      </c>
      <c r="E246" t="s">
        <v>10</v>
      </c>
      <c r="F246">
        <v>3449904</v>
      </c>
      <c r="G246" s="1">
        <v>1</v>
      </c>
      <c r="H246" s="2">
        <v>651</v>
      </c>
      <c r="I246" t="str">
        <f>VLOOKUP(Tabela2[[#This Row],[PAIS]],'[1]nome do paixs'!$A:$B,2,0)</f>
        <v>Jordânia</v>
      </c>
      <c r="J246" t="s">
        <v>12</v>
      </c>
    </row>
    <row r="247" spans="1:10">
      <c r="A247">
        <v>2025</v>
      </c>
      <c r="B247">
        <v>5</v>
      </c>
      <c r="C247">
        <v>8807</v>
      </c>
      <c r="D247">
        <v>239</v>
      </c>
      <c r="E247" t="s">
        <v>10</v>
      </c>
      <c r="F247">
        <v>3449904</v>
      </c>
      <c r="G247" s="1">
        <v>5</v>
      </c>
      <c r="H247" s="2">
        <v>11038</v>
      </c>
      <c r="I247" t="str">
        <f>VLOOKUP(Tabela2[[#This Row],[PAIS]],'[1]nome do paixs'!$A:$B,2,0)</f>
        <v>Equador</v>
      </c>
      <c r="J247" t="s">
        <v>12</v>
      </c>
    </row>
    <row r="248" spans="1:10">
      <c r="A248">
        <v>2025</v>
      </c>
      <c r="B248">
        <v>6</v>
      </c>
      <c r="C248">
        <v>8807</v>
      </c>
      <c r="D248">
        <v>603</v>
      </c>
      <c r="E248" t="s">
        <v>10</v>
      </c>
      <c r="F248">
        <v>3449904</v>
      </c>
      <c r="G248" s="1">
        <v>3</v>
      </c>
      <c r="H248" s="2">
        <v>57568</v>
      </c>
      <c r="I248" t="str">
        <f>VLOOKUP(Tabela2[[#This Row],[PAIS]],'[1]nome do paixs'!$A:$B,2,0)</f>
        <v>Polônia</v>
      </c>
      <c r="J248" t="s">
        <v>12</v>
      </c>
    </row>
    <row r="249" spans="1:10">
      <c r="A249">
        <v>2025</v>
      </c>
      <c r="B249">
        <v>8</v>
      </c>
      <c r="C249">
        <v>8807</v>
      </c>
      <c r="D249">
        <v>538</v>
      </c>
      <c r="E249" t="s">
        <v>10</v>
      </c>
      <c r="F249">
        <v>3449904</v>
      </c>
      <c r="G249" s="1">
        <v>50</v>
      </c>
      <c r="H249" s="2">
        <v>46727</v>
      </c>
      <c r="I249" t="str">
        <f>VLOOKUP(Tabela2[[#This Row],[PAIS]],'[1]nome do paixs'!$A:$B,2,0)</f>
        <v>Noruega</v>
      </c>
      <c r="J249" t="s">
        <v>12</v>
      </c>
    </row>
    <row r="250" spans="1:10">
      <c r="A250">
        <v>2025</v>
      </c>
      <c r="B250">
        <v>3</v>
      </c>
      <c r="C250">
        <v>8807</v>
      </c>
      <c r="D250">
        <v>767</v>
      </c>
      <c r="E250" t="s">
        <v>10</v>
      </c>
      <c r="F250">
        <v>3449904</v>
      </c>
      <c r="G250" s="1">
        <v>2</v>
      </c>
      <c r="H250" s="2">
        <v>2688</v>
      </c>
      <c r="I250" t="str">
        <f>VLOOKUP(Tabela2[[#This Row],[PAIS]],'[1]nome do paixs'!$A:$B,2,0)</f>
        <v>Suíça</v>
      </c>
      <c r="J250" t="s">
        <v>12</v>
      </c>
    </row>
    <row r="251" spans="1:10">
      <c r="A251">
        <v>2025</v>
      </c>
      <c r="B251">
        <v>5</v>
      </c>
      <c r="C251">
        <v>8807</v>
      </c>
      <c r="D251">
        <v>628</v>
      </c>
      <c r="E251" t="s">
        <v>10</v>
      </c>
      <c r="F251">
        <v>3449904</v>
      </c>
      <c r="G251" s="1">
        <v>2375</v>
      </c>
      <c r="H251" s="2">
        <v>753397</v>
      </c>
      <c r="I251" t="str">
        <f>VLOOKUP(Tabela2[[#This Row],[PAIS]],'[1]nome do paixs'!$A:$B,2,0)</f>
        <v>Reino Unido</v>
      </c>
      <c r="J251" t="s">
        <v>12</v>
      </c>
    </row>
    <row r="252" spans="1:10">
      <c r="A252">
        <v>2025</v>
      </c>
      <c r="B252">
        <v>4</v>
      </c>
      <c r="C252">
        <v>8807</v>
      </c>
      <c r="D252">
        <v>87</v>
      </c>
      <c r="E252" t="s">
        <v>10</v>
      </c>
      <c r="F252">
        <v>3449904</v>
      </c>
      <c r="G252" s="1">
        <v>13478</v>
      </c>
      <c r="H252" s="2">
        <v>6341380</v>
      </c>
      <c r="I252" t="str">
        <f>VLOOKUP(Tabela2[[#This Row],[PAIS]],'[1]nome do paixs'!$A:$B,2,0)</f>
        <v>Bélgica</v>
      </c>
      <c r="J252" t="s">
        <v>12</v>
      </c>
    </row>
    <row r="253" spans="1:10">
      <c r="A253">
        <v>2025</v>
      </c>
      <c r="B253">
        <v>8</v>
      </c>
      <c r="C253">
        <v>8807</v>
      </c>
      <c r="D253">
        <v>23</v>
      </c>
      <c r="E253" t="s">
        <v>10</v>
      </c>
      <c r="F253">
        <v>3449904</v>
      </c>
      <c r="G253" s="1">
        <v>765</v>
      </c>
      <c r="H253" s="2">
        <v>1187102</v>
      </c>
      <c r="I253" t="str">
        <f>VLOOKUP(Tabela2[[#This Row],[PAIS]],'[1]nome do paixs'!$A:$B,2,0)</f>
        <v>Alemanha</v>
      </c>
      <c r="J253" t="s">
        <v>12</v>
      </c>
    </row>
    <row r="254" spans="1:10">
      <c r="A254">
        <v>2025</v>
      </c>
      <c r="B254">
        <v>2</v>
      </c>
      <c r="C254">
        <v>8807</v>
      </c>
      <c r="D254">
        <v>399</v>
      </c>
      <c r="E254" t="s">
        <v>10</v>
      </c>
      <c r="F254">
        <v>3449904</v>
      </c>
      <c r="G254" s="1">
        <v>1</v>
      </c>
      <c r="H254" s="2">
        <v>3605</v>
      </c>
      <c r="I254" t="str">
        <f>VLOOKUP(Tabela2[[#This Row],[PAIS]],'[1]nome do paixs'!$A:$B,2,0)</f>
        <v>Japão</v>
      </c>
      <c r="J254" t="s">
        <v>12</v>
      </c>
    </row>
    <row r="255" spans="1:10">
      <c r="A255">
        <v>2025</v>
      </c>
      <c r="B255">
        <v>3</v>
      </c>
      <c r="C255">
        <v>8807</v>
      </c>
      <c r="D255">
        <v>741</v>
      </c>
      <c r="E255" t="s">
        <v>10</v>
      </c>
      <c r="F255">
        <v>3449904</v>
      </c>
      <c r="G255" s="1">
        <v>68</v>
      </c>
      <c r="H255" s="2">
        <v>54444</v>
      </c>
      <c r="I255" t="str">
        <f>VLOOKUP(Tabela2[[#This Row],[PAIS]],'[1]nome do paixs'!$A:$B,2,0)</f>
        <v>Singapura</v>
      </c>
      <c r="J255" t="s">
        <v>12</v>
      </c>
    </row>
    <row r="256" spans="1:10">
      <c r="A256">
        <v>2025</v>
      </c>
      <c r="B256">
        <v>1</v>
      </c>
      <c r="C256">
        <v>8807</v>
      </c>
      <c r="D256">
        <v>607</v>
      </c>
      <c r="E256" t="s">
        <v>10</v>
      </c>
      <c r="F256">
        <v>3449904</v>
      </c>
      <c r="G256" s="1">
        <v>82</v>
      </c>
      <c r="H256" s="2">
        <v>216875</v>
      </c>
      <c r="I256" t="str">
        <f>VLOOKUP(Tabela2[[#This Row],[PAIS]],'[1]nome do paixs'!$A:$B,2,0)</f>
        <v>Portugal</v>
      </c>
      <c r="J256" t="s">
        <v>12</v>
      </c>
    </row>
    <row r="257" spans="1:10">
      <c r="A257">
        <v>2025</v>
      </c>
      <c r="B257">
        <v>3</v>
      </c>
      <c r="C257">
        <v>8807</v>
      </c>
      <c r="D257">
        <v>239</v>
      </c>
      <c r="E257" t="s">
        <v>10</v>
      </c>
      <c r="F257">
        <v>3449904</v>
      </c>
      <c r="G257" s="1">
        <v>6</v>
      </c>
      <c r="H257" s="2">
        <v>19695</v>
      </c>
      <c r="I257" t="str">
        <f>VLOOKUP(Tabela2[[#This Row],[PAIS]],'[1]nome do paixs'!$A:$B,2,0)</f>
        <v>Equador</v>
      </c>
      <c r="J257" t="s">
        <v>12</v>
      </c>
    </row>
    <row r="258" spans="1:10">
      <c r="A258">
        <v>2025</v>
      </c>
      <c r="B258">
        <v>3</v>
      </c>
      <c r="C258">
        <v>8807</v>
      </c>
      <c r="D258">
        <v>23</v>
      </c>
      <c r="E258" t="s">
        <v>10</v>
      </c>
      <c r="F258">
        <v>3449904</v>
      </c>
      <c r="G258" s="1">
        <v>594</v>
      </c>
      <c r="H258" s="2">
        <v>1050434</v>
      </c>
      <c r="I258" t="str">
        <f>VLOOKUP(Tabela2[[#This Row],[PAIS]],'[1]nome do paixs'!$A:$B,2,0)</f>
        <v>Alemanha</v>
      </c>
      <c r="J258" t="s">
        <v>12</v>
      </c>
    </row>
    <row r="259" spans="1:10">
      <c r="A259">
        <v>2025</v>
      </c>
      <c r="B259">
        <v>1</v>
      </c>
      <c r="C259">
        <v>8807</v>
      </c>
      <c r="D259">
        <v>97</v>
      </c>
      <c r="E259" t="s">
        <v>10</v>
      </c>
      <c r="F259">
        <v>3449904</v>
      </c>
      <c r="G259" s="1">
        <v>307</v>
      </c>
      <c r="H259" s="2">
        <v>13575</v>
      </c>
      <c r="I259" t="str">
        <f>VLOOKUP(Tabela2[[#This Row],[PAIS]],'[1]nome do paixs'!$A:$B,2,0)</f>
        <v>Bolívia</v>
      </c>
      <c r="J259" t="s">
        <v>12</v>
      </c>
    </row>
    <row r="260" spans="1:10">
      <c r="A260">
        <v>2025</v>
      </c>
      <c r="B260">
        <v>5</v>
      </c>
      <c r="C260">
        <v>8807</v>
      </c>
      <c r="D260">
        <v>271</v>
      </c>
      <c r="E260" t="s">
        <v>10</v>
      </c>
      <c r="F260">
        <v>3449904</v>
      </c>
      <c r="G260" s="1">
        <v>0</v>
      </c>
      <c r="H260" s="2">
        <v>21</v>
      </c>
      <c r="I260" t="str">
        <f>VLOOKUP(Tabela2[[#This Row],[PAIS]],'[1]nome do paixs'!$A:$B,2,0)</f>
        <v>Finlândia</v>
      </c>
      <c r="J260" t="s">
        <v>12</v>
      </c>
    </row>
    <row r="261" spans="1:10">
      <c r="A261">
        <v>2025</v>
      </c>
      <c r="B261">
        <v>6</v>
      </c>
      <c r="C261">
        <v>8807</v>
      </c>
      <c r="D261">
        <v>607</v>
      </c>
      <c r="E261" t="s">
        <v>10</v>
      </c>
      <c r="F261">
        <v>3449904</v>
      </c>
      <c r="G261" s="1">
        <v>28</v>
      </c>
      <c r="H261" s="2">
        <v>70645</v>
      </c>
      <c r="I261" t="str">
        <f>VLOOKUP(Tabela2[[#This Row],[PAIS]],'[1]nome do paixs'!$A:$B,2,0)</f>
        <v>Portugal</v>
      </c>
      <c r="J261" t="s">
        <v>12</v>
      </c>
    </row>
    <row r="262" spans="1:10">
      <c r="A262">
        <v>2025</v>
      </c>
      <c r="B262">
        <v>2</v>
      </c>
      <c r="C262">
        <v>8807</v>
      </c>
      <c r="D262">
        <v>573</v>
      </c>
      <c r="E262" t="s">
        <v>10</v>
      </c>
      <c r="F262">
        <v>3449904</v>
      </c>
      <c r="G262" s="1">
        <v>18</v>
      </c>
      <c r="H262" s="2">
        <v>142626</v>
      </c>
      <c r="I262" t="str">
        <f>VLOOKUP(Tabela2[[#This Row],[PAIS]],'[1]nome do paixs'!$A:$B,2,0)</f>
        <v>Países Baixos (Holanda)</v>
      </c>
      <c r="J262" t="s">
        <v>12</v>
      </c>
    </row>
    <row r="263" spans="1:10">
      <c r="A263">
        <v>2025</v>
      </c>
      <c r="B263">
        <v>1</v>
      </c>
      <c r="C263">
        <v>8807</v>
      </c>
      <c r="D263">
        <v>158</v>
      </c>
      <c r="E263" t="s">
        <v>10</v>
      </c>
      <c r="F263">
        <v>3449904</v>
      </c>
      <c r="G263" s="1">
        <v>30</v>
      </c>
      <c r="H263" s="2">
        <v>66870</v>
      </c>
      <c r="I263" t="str">
        <f>VLOOKUP(Tabela2[[#This Row],[PAIS]],'[1]nome do paixs'!$A:$B,2,0)</f>
        <v>Chile</v>
      </c>
      <c r="J263" t="s">
        <v>12</v>
      </c>
    </row>
    <row r="264" spans="1:10">
      <c r="A264">
        <v>2025</v>
      </c>
      <c r="B264">
        <v>7</v>
      </c>
      <c r="C264">
        <v>8807</v>
      </c>
      <c r="D264">
        <v>474</v>
      </c>
      <c r="E264" t="s">
        <v>10</v>
      </c>
      <c r="F264">
        <v>3449904</v>
      </c>
      <c r="G264" s="1">
        <v>0</v>
      </c>
      <c r="H264" s="2">
        <v>11011</v>
      </c>
      <c r="I264" t="str">
        <f>VLOOKUP(Tabela2[[#This Row],[PAIS]],'[1]nome do paixs'!$A:$B,2,0)</f>
        <v>Marrocos</v>
      </c>
      <c r="J264" t="s">
        <v>12</v>
      </c>
    </row>
    <row r="265" spans="1:10">
      <c r="A265">
        <v>2025</v>
      </c>
      <c r="B265">
        <v>5</v>
      </c>
      <c r="C265">
        <v>8807</v>
      </c>
      <c r="D265">
        <v>158</v>
      </c>
      <c r="E265" t="s">
        <v>10</v>
      </c>
      <c r="F265">
        <v>3449904</v>
      </c>
      <c r="G265" s="1">
        <v>1</v>
      </c>
      <c r="H265" s="2">
        <v>461</v>
      </c>
      <c r="I265" t="str">
        <f>VLOOKUP(Tabela2[[#This Row],[PAIS]],'[1]nome do paixs'!$A:$B,2,0)</f>
        <v>Chile</v>
      </c>
      <c r="J265" t="s">
        <v>12</v>
      </c>
    </row>
    <row r="266" spans="1:10">
      <c r="A266">
        <v>2025</v>
      </c>
      <c r="B266">
        <v>2</v>
      </c>
      <c r="C266">
        <v>8807</v>
      </c>
      <c r="D266">
        <v>97</v>
      </c>
      <c r="E266" t="s">
        <v>10</v>
      </c>
      <c r="F266">
        <v>3449904</v>
      </c>
      <c r="G266" s="1">
        <v>20268</v>
      </c>
      <c r="H266" s="2">
        <v>868018</v>
      </c>
      <c r="I266" t="str">
        <f>VLOOKUP(Tabela2[[#This Row],[PAIS]],'[1]nome do paixs'!$A:$B,2,0)</f>
        <v>Bolívia</v>
      </c>
      <c r="J266" t="s">
        <v>12</v>
      </c>
    </row>
    <row r="267" spans="1:10">
      <c r="A267">
        <v>2025</v>
      </c>
      <c r="B267">
        <v>4</v>
      </c>
      <c r="C267">
        <v>8807</v>
      </c>
      <c r="D267">
        <v>249</v>
      </c>
      <c r="E267" t="s">
        <v>10</v>
      </c>
      <c r="F267">
        <v>3449904</v>
      </c>
      <c r="G267" s="1">
        <v>5534</v>
      </c>
      <c r="H267" s="2">
        <v>4600369</v>
      </c>
      <c r="I267" t="str">
        <f>VLOOKUP(Tabela2[[#This Row],[PAIS]],'[1]nome do paixs'!$A:$B,2,0)</f>
        <v>Estados Unidos</v>
      </c>
      <c r="J267" t="s">
        <v>12</v>
      </c>
    </row>
    <row r="268" spans="1:10">
      <c r="A268">
        <v>2025</v>
      </c>
      <c r="B268">
        <v>2</v>
      </c>
      <c r="C268">
        <v>8807</v>
      </c>
      <c r="D268">
        <v>275</v>
      </c>
      <c r="E268" t="s">
        <v>10</v>
      </c>
      <c r="F268">
        <v>3449904</v>
      </c>
      <c r="G268" s="1">
        <v>607</v>
      </c>
      <c r="H268" s="2">
        <v>322343</v>
      </c>
      <c r="I268" t="str">
        <f>VLOOKUP(Tabela2[[#This Row],[PAIS]],'[1]nome do paixs'!$A:$B,2,0)</f>
        <v>França</v>
      </c>
      <c r="J268" t="s">
        <v>12</v>
      </c>
    </row>
    <row r="269" spans="1:10">
      <c r="A269">
        <v>2025</v>
      </c>
      <c r="B269">
        <v>8</v>
      </c>
      <c r="C269">
        <v>8807</v>
      </c>
      <c r="D269">
        <v>245</v>
      </c>
      <c r="E269" t="s">
        <v>10</v>
      </c>
      <c r="F269">
        <v>3449904</v>
      </c>
      <c r="G269" s="1">
        <v>8809</v>
      </c>
      <c r="H269" s="2">
        <v>4621249</v>
      </c>
      <c r="I269" t="str">
        <f>VLOOKUP(Tabela2[[#This Row],[PAIS]],'[1]nome do paixs'!$A:$B,2,0)</f>
        <v>Espanha</v>
      </c>
      <c r="J269" t="s">
        <v>12</v>
      </c>
    </row>
    <row r="270" spans="1:10">
      <c r="A270">
        <v>2025</v>
      </c>
      <c r="B270">
        <v>1</v>
      </c>
      <c r="C270">
        <v>8807</v>
      </c>
      <c r="D270">
        <v>399</v>
      </c>
      <c r="E270" t="s">
        <v>10</v>
      </c>
      <c r="F270">
        <v>3449904</v>
      </c>
      <c r="G270" s="1">
        <v>1</v>
      </c>
      <c r="H270" s="2">
        <v>1636</v>
      </c>
      <c r="I270" t="str">
        <f>VLOOKUP(Tabela2[[#This Row],[PAIS]],'[1]nome do paixs'!$A:$B,2,0)</f>
        <v>Japão</v>
      </c>
      <c r="J270" t="s">
        <v>12</v>
      </c>
    </row>
    <row r="271" spans="1:10">
      <c r="A271">
        <v>2025</v>
      </c>
      <c r="B271">
        <v>6</v>
      </c>
      <c r="C271">
        <v>8807</v>
      </c>
      <c r="D271">
        <v>386</v>
      </c>
      <c r="E271" t="s">
        <v>10</v>
      </c>
      <c r="F271">
        <v>3449904</v>
      </c>
      <c r="G271" s="1">
        <v>1096</v>
      </c>
      <c r="H271" s="2">
        <v>457903</v>
      </c>
      <c r="I271" t="str">
        <f>VLOOKUP(Tabela2[[#This Row],[PAIS]],'[1]nome do paixs'!$A:$B,2,0)</f>
        <v>Itália</v>
      </c>
      <c r="J271" t="s">
        <v>12</v>
      </c>
    </row>
    <row r="272" spans="1:10">
      <c r="A272">
        <v>2025</v>
      </c>
      <c r="B272">
        <v>7</v>
      </c>
      <c r="C272">
        <v>8807</v>
      </c>
      <c r="D272">
        <v>538</v>
      </c>
      <c r="E272" t="s">
        <v>10</v>
      </c>
      <c r="F272">
        <v>3449904</v>
      </c>
      <c r="G272" s="1">
        <v>1</v>
      </c>
      <c r="H272" s="2">
        <v>2168</v>
      </c>
      <c r="I272" t="str">
        <f>VLOOKUP(Tabela2[[#This Row],[PAIS]],'[1]nome do paixs'!$A:$B,2,0)</f>
        <v>Noruega</v>
      </c>
      <c r="J272" t="s">
        <v>12</v>
      </c>
    </row>
    <row r="273" spans="1:10">
      <c r="A273">
        <v>2025</v>
      </c>
      <c r="B273">
        <v>6</v>
      </c>
      <c r="C273">
        <v>8807</v>
      </c>
      <c r="D273">
        <v>767</v>
      </c>
      <c r="E273" t="s">
        <v>10</v>
      </c>
      <c r="F273">
        <v>3449904</v>
      </c>
      <c r="G273" s="1">
        <v>5</v>
      </c>
      <c r="H273" s="2">
        <v>5494</v>
      </c>
      <c r="I273" t="str">
        <f>VLOOKUP(Tabela2[[#This Row],[PAIS]],'[1]nome do paixs'!$A:$B,2,0)</f>
        <v>Suíça</v>
      </c>
      <c r="J273" t="s">
        <v>12</v>
      </c>
    </row>
    <row r="274" spans="1:10">
      <c r="A274">
        <v>2025</v>
      </c>
      <c r="B274">
        <v>6</v>
      </c>
      <c r="C274">
        <v>8807</v>
      </c>
      <c r="D274">
        <v>756</v>
      </c>
      <c r="E274" t="s">
        <v>10</v>
      </c>
      <c r="F274">
        <v>3449904</v>
      </c>
      <c r="G274" s="1">
        <v>8</v>
      </c>
      <c r="H274" s="2">
        <v>83506</v>
      </c>
      <c r="I274" t="str">
        <f>VLOOKUP(Tabela2[[#This Row],[PAIS]],'[1]nome do paixs'!$A:$B,2,0)</f>
        <v>África do Sul</v>
      </c>
      <c r="J274" t="s">
        <v>12</v>
      </c>
    </row>
    <row r="275" spans="1:10">
      <c r="A275">
        <v>2025</v>
      </c>
      <c r="B275">
        <v>5</v>
      </c>
      <c r="C275">
        <v>8807</v>
      </c>
      <c r="D275">
        <v>247</v>
      </c>
      <c r="E275" t="s">
        <v>10</v>
      </c>
      <c r="F275">
        <v>3449904</v>
      </c>
      <c r="G275" s="1">
        <v>1</v>
      </c>
      <c r="H275" s="2">
        <v>740</v>
      </c>
      <c r="I275" t="str">
        <f>VLOOKUP(Tabela2[[#This Row],[PAIS]],'[1]nome do paixs'!$A:$B,2,0)</f>
        <v>Eslováquia</v>
      </c>
      <c r="J275" t="s">
        <v>12</v>
      </c>
    </row>
    <row r="276" spans="1:10">
      <c r="A276">
        <v>2025</v>
      </c>
      <c r="B276">
        <v>2</v>
      </c>
      <c r="C276">
        <v>8807</v>
      </c>
      <c r="D276">
        <v>160</v>
      </c>
      <c r="E276" t="s">
        <v>10</v>
      </c>
      <c r="F276">
        <v>3449904</v>
      </c>
      <c r="G276" s="1">
        <v>13</v>
      </c>
      <c r="H276" s="2">
        <v>19560</v>
      </c>
      <c r="I276" t="str">
        <f>VLOOKUP(Tabela2[[#This Row],[PAIS]],'[1]nome do paixs'!$A:$B,2,0)</f>
        <v>China</v>
      </c>
      <c r="J276" t="s">
        <v>12</v>
      </c>
    </row>
    <row r="277" spans="1:10">
      <c r="A277">
        <v>2025</v>
      </c>
      <c r="B277">
        <v>6</v>
      </c>
      <c r="C277">
        <v>8807</v>
      </c>
      <c r="D277">
        <v>586</v>
      </c>
      <c r="E277" t="s">
        <v>10</v>
      </c>
      <c r="F277">
        <v>3449904</v>
      </c>
      <c r="G277" s="1">
        <v>1</v>
      </c>
      <c r="H277" s="2">
        <v>4720</v>
      </c>
      <c r="I277" t="str">
        <f>VLOOKUP(Tabela2[[#This Row],[PAIS]],'[1]nome do paixs'!$A:$B,2,0)</f>
        <v>Paraguai</v>
      </c>
      <c r="J277" t="s">
        <v>12</v>
      </c>
    </row>
    <row r="278" spans="1:10">
      <c r="A278">
        <v>2025</v>
      </c>
      <c r="B278">
        <v>1</v>
      </c>
      <c r="C278">
        <v>8807</v>
      </c>
      <c r="D278">
        <v>275</v>
      </c>
      <c r="E278" t="s">
        <v>10</v>
      </c>
      <c r="F278">
        <v>3424402</v>
      </c>
      <c r="G278" s="1">
        <v>8112</v>
      </c>
      <c r="H278" s="2">
        <v>5993629</v>
      </c>
      <c r="I278" t="str">
        <f>VLOOKUP(Tabela2[[#This Row],[PAIS]],'[1]nome do paixs'!$A:$B,2,0)</f>
        <v>França</v>
      </c>
      <c r="J278" t="s">
        <v>13</v>
      </c>
    </row>
    <row r="279" spans="1:10">
      <c r="A279">
        <v>2025</v>
      </c>
      <c r="B279">
        <v>7</v>
      </c>
      <c r="C279">
        <v>8807</v>
      </c>
      <c r="D279">
        <v>275</v>
      </c>
      <c r="E279" t="s">
        <v>10</v>
      </c>
      <c r="F279">
        <v>3424402</v>
      </c>
      <c r="G279" s="1">
        <v>7686</v>
      </c>
      <c r="H279" s="2">
        <v>4554542</v>
      </c>
      <c r="I279" t="str">
        <f>VLOOKUP(Tabela2[[#This Row],[PAIS]],'[1]nome do paixs'!$A:$B,2,0)</f>
        <v>França</v>
      </c>
      <c r="J279" t="s">
        <v>13</v>
      </c>
    </row>
    <row r="280" spans="1:10">
      <c r="A280">
        <v>2025</v>
      </c>
      <c r="B280">
        <v>4</v>
      </c>
      <c r="C280">
        <v>8807</v>
      </c>
      <c r="D280">
        <v>249</v>
      </c>
      <c r="E280" t="s">
        <v>10</v>
      </c>
      <c r="F280">
        <v>3424402</v>
      </c>
      <c r="G280" s="1">
        <v>188</v>
      </c>
      <c r="H280" s="2">
        <v>83513</v>
      </c>
      <c r="I280" t="str">
        <f>VLOOKUP(Tabela2[[#This Row],[PAIS]],'[1]nome do paixs'!$A:$B,2,0)</f>
        <v>Estados Unidos</v>
      </c>
      <c r="J280" t="s">
        <v>13</v>
      </c>
    </row>
    <row r="281" spans="1:10">
      <c r="A281">
        <v>2025</v>
      </c>
      <c r="B281">
        <v>7</v>
      </c>
      <c r="C281">
        <v>8807</v>
      </c>
      <c r="D281">
        <v>249</v>
      </c>
      <c r="E281" t="s">
        <v>10</v>
      </c>
      <c r="F281">
        <v>3424402</v>
      </c>
      <c r="G281" s="1">
        <v>250</v>
      </c>
      <c r="H281" s="2">
        <v>121567</v>
      </c>
      <c r="I281" t="str">
        <f>VLOOKUP(Tabela2[[#This Row],[PAIS]],'[1]nome do paixs'!$A:$B,2,0)</f>
        <v>Estados Unidos</v>
      </c>
      <c r="J281" t="s">
        <v>13</v>
      </c>
    </row>
    <row r="282" spans="1:10">
      <c r="A282">
        <v>2025</v>
      </c>
      <c r="B282">
        <v>8</v>
      </c>
      <c r="C282">
        <v>8807</v>
      </c>
      <c r="D282">
        <v>249</v>
      </c>
      <c r="E282" t="s">
        <v>10</v>
      </c>
      <c r="F282">
        <v>3424402</v>
      </c>
      <c r="G282" s="1">
        <v>149</v>
      </c>
      <c r="H282" s="2">
        <v>67634</v>
      </c>
      <c r="I282" t="str">
        <f>VLOOKUP(Tabela2[[#This Row],[PAIS]],'[1]nome do paixs'!$A:$B,2,0)</f>
        <v>Estados Unidos</v>
      </c>
      <c r="J282" t="s">
        <v>13</v>
      </c>
    </row>
    <row r="283" spans="1:10">
      <c r="A283">
        <v>2025</v>
      </c>
      <c r="B283">
        <v>3</v>
      </c>
      <c r="C283">
        <v>8807</v>
      </c>
      <c r="D283">
        <v>275</v>
      </c>
      <c r="E283" t="s">
        <v>10</v>
      </c>
      <c r="F283">
        <v>3424402</v>
      </c>
      <c r="G283" s="1">
        <v>8608</v>
      </c>
      <c r="H283" s="2">
        <v>6127350</v>
      </c>
      <c r="I283" t="str">
        <f>VLOOKUP(Tabela2[[#This Row],[PAIS]],'[1]nome do paixs'!$A:$B,2,0)</f>
        <v>França</v>
      </c>
      <c r="J283" t="s">
        <v>13</v>
      </c>
    </row>
    <row r="284" spans="1:10">
      <c r="A284">
        <v>2025</v>
      </c>
      <c r="B284">
        <v>2</v>
      </c>
      <c r="C284">
        <v>8807</v>
      </c>
      <c r="D284">
        <v>275</v>
      </c>
      <c r="E284" t="s">
        <v>10</v>
      </c>
      <c r="F284">
        <v>3424402</v>
      </c>
      <c r="G284" s="1">
        <v>5427</v>
      </c>
      <c r="H284" s="2">
        <v>4269436</v>
      </c>
      <c r="I284" t="str">
        <f>VLOOKUP(Tabela2[[#This Row],[PAIS]],'[1]nome do paixs'!$A:$B,2,0)</f>
        <v>França</v>
      </c>
      <c r="J284" t="s">
        <v>13</v>
      </c>
    </row>
    <row r="285" spans="1:10">
      <c r="A285">
        <v>2025</v>
      </c>
      <c r="B285">
        <v>3</v>
      </c>
      <c r="C285">
        <v>8807</v>
      </c>
      <c r="D285">
        <v>249</v>
      </c>
      <c r="E285" t="s">
        <v>10</v>
      </c>
      <c r="F285">
        <v>3424402</v>
      </c>
      <c r="G285" s="1">
        <v>186</v>
      </c>
      <c r="H285" s="2">
        <v>95291</v>
      </c>
      <c r="I285" t="str">
        <f>VLOOKUP(Tabela2[[#This Row],[PAIS]],'[1]nome do paixs'!$A:$B,2,0)</f>
        <v>Estados Unidos</v>
      </c>
      <c r="J285" t="s">
        <v>13</v>
      </c>
    </row>
    <row r="286" spans="1:10">
      <c r="A286">
        <v>2025</v>
      </c>
      <c r="B286">
        <v>6</v>
      </c>
      <c r="C286">
        <v>8807</v>
      </c>
      <c r="D286">
        <v>275</v>
      </c>
      <c r="E286" t="s">
        <v>10</v>
      </c>
      <c r="F286">
        <v>3424402</v>
      </c>
      <c r="G286" s="1">
        <v>7670</v>
      </c>
      <c r="H286" s="2">
        <v>4980458</v>
      </c>
      <c r="I286" t="str">
        <f>VLOOKUP(Tabela2[[#This Row],[PAIS]],'[1]nome do paixs'!$A:$B,2,0)</f>
        <v>França</v>
      </c>
      <c r="J286" t="s">
        <v>13</v>
      </c>
    </row>
    <row r="287" spans="1:10">
      <c r="A287">
        <v>2025</v>
      </c>
      <c r="B287">
        <v>4</v>
      </c>
      <c r="C287">
        <v>8807</v>
      </c>
      <c r="D287">
        <v>275</v>
      </c>
      <c r="E287" t="s">
        <v>10</v>
      </c>
      <c r="F287">
        <v>3424402</v>
      </c>
      <c r="G287" s="1">
        <v>6596</v>
      </c>
      <c r="H287" s="2">
        <v>4757543</v>
      </c>
      <c r="I287" t="str">
        <f>VLOOKUP(Tabela2[[#This Row],[PAIS]],'[1]nome do paixs'!$A:$B,2,0)</f>
        <v>França</v>
      </c>
      <c r="J287" t="s">
        <v>13</v>
      </c>
    </row>
    <row r="288" spans="1:10">
      <c r="A288">
        <v>2025</v>
      </c>
      <c r="B288">
        <v>8</v>
      </c>
      <c r="C288">
        <v>8807</v>
      </c>
      <c r="D288">
        <v>275</v>
      </c>
      <c r="E288" t="s">
        <v>10</v>
      </c>
      <c r="F288">
        <v>3424402</v>
      </c>
      <c r="G288" s="1">
        <v>7143</v>
      </c>
      <c r="H288" s="2">
        <v>4893293</v>
      </c>
      <c r="I288" t="str">
        <f>VLOOKUP(Tabela2[[#This Row],[PAIS]],'[1]nome do paixs'!$A:$B,2,0)</f>
        <v>França</v>
      </c>
      <c r="J288" t="s">
        <v>13</v>
      </c>
    </row>
    <row r="289" spans="1:10">
      <c r="A289">
        <v>2025</v>
      </c>
      <c r="B289">
        <v>6</v>
      </c>
      <c r="C289">
        <v>8807</v>
      </c>
      <c r="D289">
        <v>245</v>
      </c>
      <c r="E289" t="s">
        <v>10</v>
      </c>
      <c r="F289">
        <v>3424402</v>
      </c>
      <c r="G289" s="1">
        <v>32</v>
      </c>
      <c r="H289" s="2">
        <v>11475</v>
      </c>
      <c r="I289" t="str">
        <f>VLOOKUP(Tabela2[[#This Row],[PAIS]],'[1]nome do paixs'!$A:$B,2,0)</f>
        <v>Espanha</v>
      </c>
      <c r="J289" t="s">
        <v>13</v>
      </c>
    </row>
    <row r="290" spans="1:10">
      <c r="A290">
        <v>2025</v>
      </c>
      <c r="B290">
        <v>6</v>
      </c>
      <c r="C290">
        <v>8807</v>
      </c>
      <c r="D290">
        <v>249</v>
      </c>
      <c r="E290" t="s">
        <v>10</v>
      </c>
      <c r="F290">
        <v>3424402</v>
      </c>
      <c r="G290" s="1">
        <v>210</v>
      </c>
      <c r="H290" s="2">
        <v>103114</v>
      </c>
      <c r="I290" t="str">
        <f>VLOOKUP(Tabela2[[#This Row],[PAIS]],'[1]nome do paixs'!$A:$B,2,0)</f>
        <v>Estados Unidos</v>
      </c>
      <c r="J290" t="s">
        <v>13</v>
      </c>
    </row>
    <row r="291" spans="1:10">
      <c r="A291">
        <v>2025</v>
      </c>
      <c r="B291">
        <v>5</v>
      </c>
      <c r="C291">
        <v>8807</v>
      </c>
      <c r="D291">
        <v>249</v>
      </c>
      <c r="E291" t="s">
        <v>10</v>
      </c>
      <c r="F291">
        <v>3424402</v>
      </c>
      <c r="G291" s="1">
        <v>164</v>
      </c>
      <c r="H291" s="2">
        <v>72103</v>
      </c>
      <c r="I291" t="str">
        <f>VLOOKUP(Tabela2[[#This Row],[PAIS]],'[1]nome do paixs'!$A:$B,2,0)</f>
        <v>Estados Unidos</v>
      </c>
      <c r="J291" t="s">
        <v>13</v>
      </c>
    </row>
    <row r="292" spans="1:10">
      <c r="A292">
        <v>2025</v>
      </c>
      <c r="B292">
        <v>5</v>
      </c>
      <c r="C292">
        <v>8807</v>
      </c>
      <c r="D292">
        <v>275</v>
      </c>
      <c r="E292" t="s">
        <v>10</v>
      </c>
      <c r="F292">
        <v>3424402</v>
      </c>
      <c r="G292" s="1">
        <v>7705</v>
      </c>
      <c r="H292" s="2">
        <v>5610203</v>
      </c>
      <c r="I292" t="str">
        <f>VLOOKUP(Tabela2[[#This Row],[PAIS]],'[1]nome do paixs'!$A:$B,2,0)</f>
        <v>França</v>
      </c>
      <c r="J292" t="s">
        <v>13</v>
      </c>
    </row>
    <row r="293" spans="1:10">
      <c r="A293">
        <v>2025</v>
      </c>
      <c r="B293">
        <v>1</v>
      </c>
      <c r="C293">
        <v>8807</v>
      </c>
      <c r="D293">
        <v>249</v>
      </c>
      <c r="E293" t="s">
        <v>10</v>
      </c>
      <c r="F293">
        <v>3424402</v>
      </c>
      <c r="G293" s="1">
        <v>241</v>
      </c>
      <c r="H293" s="2">
        <v>96594</v>
      </c>
      <c r="I293" t="str">
        <f>VLOOKUP(Tabela2[[#This Row],[PAIS]],'[1]nome do paixs'!$A:$B,2,0)</f>
        <v>Estados Unidos</v>
      </c>
      <c r="J293" t="s">
        <v>13</v>
      </c>
    </row>
    <row r="294" spans="1:10">
      <c r="A294">
        <v>2025</v>
      </c>
      <c r="B294">
        <v>2</v>
      </c>
      <c r="C294">
        <v>8807</v>
      </c>
      <c r="D294">
        <v>249</v>
      </c>
      <c r="E294" t="s">
        <v>10</v>
      </c>
      <c r="F294">
        <v>3424402</v>
      </c>
      <c r="G294" s="1">
        <v>200</v>
      </c>
      <c r="H294" s="2">
        <v>92564</v>
      </c>
      <c r="I294" t="str">
        <f>VLOOKUP(Tabela2[[#This Row],[PAIS]],'[1]nome do paixs'!$A:$B,2,0)</f>
        <v>Estados Unidos</v>
      </c>
      <c r="J294" t="s">
        <v>13</v>
      </c>
    </row>
    <row r="295" spans="1:10">
      <c r="A295">
        <v>2025</v>
      </c>
      <c r="B295">
        <v>8</v>
      </c>
      <c r="C295">
        <v>8807</v>
      </c>
      <c r="D295">
        <v>403</v>
      </c>
      <c r="E295" t="s">
        <v>10</v>
      </c>
      <c r="F295">
        <v>3408504</v>
      </c>
      <c r="G295" s="1">
        <v>17</v>
      </c>
      <c r="H295" s="2">
        <v>53407</v>
      </c>
      <c r="I295" t="str">
        <f>VLOOKUP(Tabela2[[#This Row],[PAIS]],'[1]nome do paixs'!$A:$B,2,0)</f>
        <v>Jordânia</v>
      </c>
      <c r="J295" t="s">
        <v>14</v>
      </c>
    </row>
    <row r="296" spans="1:10">
      <c r="A296">
        <v>2025</v>
      </c>
      <c r="B296">
        <v>6</v>
      </c>
      <c r="C296">
        <v>8807</v>
      </c>
      <c r="D296">
        <v>603</v>
      </c>
      <c r="E296" t="s">
        <v>10</v>
      </c>
      <c r="F296">
        <v>3408504</v>
      </c>
      <c r="G296" s="1">
        <v>0</v>
      </c>
      <c r="H296" s="2">
        <v>999</v>
      </c>
      <c r="I296" t="str">
        <f>VLOOKUP(Tabela2[[#This Row],[PAIS]],'[1]nome do paixs'!$A:$B,2,0)</f>
        <v>Polônia</v>
      </c>
      <c r="J296" t="s">
        <v>14</v>
      </c>
    </row>
    <row r="297" spans="1:10">
      <c r="A297">
        <v>2025</v>
      </c>
      <c r="B297">
        <v>8</v>
      </c>
      <c r="C297">
        <v>8807</v>
      </c>
      <c r="D297">
        <v>72</v>
      </c>
      <c r="E297" t="s">
        <v>10</v>
      </c>
      <c r="F297">
        <v>3408504</v>
      </c>
      <c r="G297" s="1">
        <v>1</v>
      </c>
      <c r="H297" s="2">
        <v>13099</v>
      </c>
      <c r="I297" t="str">
        <f>VLOOKUP(Tabela2[[#This Row],[PAIS]],'[1]nome do paixs'!$A:$B,2,0)</f>
        <v>Áustria</v>
      </c>
      <c r="J297" t="s">
        <v>14</v>
      </c>
    </row>
    <row r="298" spans="1:10">
      <c r="A298">
        <v>2025</v>
      </c>
      <c r="B298">
        <v>7</v>
      </c>
      <c r="C298">
        <v>8807</v>
      </c>
      <c r="D298">
        <v>767</v>
      </c>
      <c r="E298" t="s">
        <v>10</v>
      </c>
      <c r="F298">
        <v>3408504</v>
      </c>
      <c r="G298" s="1">
        <v>0</v>
      </c>
      <c r="H298" s="2">
        <v>995</v>
      </c>
      <c r="I298" t="str">
        <f>VLOOKUP(Tabela2[[#This Row],[PAIS]],'[1]nome do paixs'!$A:$B,2,0)</f>
        <v>Suíça</v>
      </c>
      <c r="J298" t="s">
        <v>14</v>
      </c>
    </row>
    <row r="299" spans="1:10">
      <c r="A299">
        <v>2025</v>
      </c>
      <c r="B299">
        <v>5</v>
      </c>
      <c r="C299">
        <v>8807</v>
      </c>
      <c r="D299">
        <v>573</v>
      </c>
      <c r="E299" t="s">
        <v>10</v>
      </c>
      <c r="F299">
        <v>3408504</v>
      </c>
      <c r="G299" s="1">
        <v>0</v>
      </c>
      <c r="H299" s="2">
        <v>236</v>
      </c>
      <c r="I299" t="str">
        <f>VLOOKUP(Tabela2[[#This Row],[PAIS]],'[1]nome do paixs'!$A:$B,2,0)</f>
        <v>Países Baixos (Holanda)</v>
      </c>
      <c r="J299" t="s">
        <v>14</v>
      </c>
    </row>
    <row r="300" spans="1:10">
      <c r="A300">
        <v>2025</v>
      </c>
      <c r="B300">
        <v>6</v>
      </c>
      <c r="C300">
        <v>8807</v>
      </c>
      <c r="D300">
        <v>149</v>
      </c>
      <c r="E300" t="s">
        <v>10</v>
      </c>
      <c r="F300">
        <v>3408504</v>
      </c>
      <c r="G300" s="1">
        <v>0</v>
      </c>
      <c r="H300" s="2">
        <v>1730</v>
      </c>
      <c r="I300" t="str">
        <f>VLOOKUP(Tabela2[[#This Row],[PAIS]],'[1]nome do paixs'!$A:$B,2,0)</f>
        <v>Canadá</v>
      </c>
      <c r="J300" t="s">
        <v>14</v>
      </c>
    </row>
    <row r="301" spans="1:10">
      <c r="A301">
        <v>2025</v>
      </c>
      <c r="B301">
        <v>7</v>
      </c>
      <c r="C301">
        <v>8807</v>
      </c>
      <c r="D301">
        <v>23</v>
      </c>
      <c r="E301" t="s">
        <v>10</v>
      </c>
      <c r="F301">
        <v>3408504</v>
      </c>
      <c r="G301" s="1">
        <v>2</v>
      </c>
      <c r="H301" s="2">
        <v>19256</v>
      </c>
      <c r="I301" t="str">
        <f>VLOOKUP(Tabela2[[#This Row],[PAIS]],'[1]nome do paixs'!$A:$B,2,0)</f>
        <v>Alemanha</v>
      </c>
      <c r="J301" t="s">
        <v>14</v>
      </c>
    </row>
    <row r="302" spans="1:10">
      <c r="A302">
        <v>2025</v>
      </c>
      <c r="B302">
        <v>6</v>
      </c>
      <c r="C302">
        <v>8807</v>
      </c>
      <c r="D302">
        <v>493</v>
      </c>
      <c r="E302" t="s">
        <v>10</v>
      </c>
      <c r="F302">
        <v>3408504</v>
      </c>
      <c r="G302" s="1">
        <v>2</v>
      </c>
      <c r="H302" s="2">
        <v>5172</v>
      </c>
      <c r="I302" t="str">
        <f>VLOOKUP(Tabela2[[#This Row],[PAIS]],'[1]nome do paixs'!$A:$B,2,0)</f>
        <v>México</v>
      </c>
      <c r="J302" t="s">
        <v>14</v>
      </c>
    </row>
    <row r="303" spans="1:10">
      <c r="A303">
        <v>2025</v>
      </c>
      <c r="B303">
        <v>8</v>
      </c>
      <c r="C303">
        <v>8807</v>
      </c>
      <c r="D303">
        <v>160</v>
      </c>
      <c r="E303" t="s">
        <v>10</v>
      </c>
      <c r="F303">
        <v>3408504</v>
      </c>
      <c r="G303" s="1">
        <v>1</v>
      </c>
      <c r="H303" s="2">
        <v>285</v>
      </c>
      <c r="I303" t="str">
        <f>VLOOKUP(Tabela2[[#This Row],[PAIS]],'[1]nome do paixs'!$A:$B,2,0)</f>
        <v>China</v>
      </c>
      <c r="J303" t="s">
        <v>14</v>
      </c>
    </row>
    <row r="304" spans="1:10">
      <c r="A304">
        <v>2025</v>
      </c>
      <c r="B304">
        <v>5</v>
      </c>
      <c r="C304">
        <v>8807</v>
      </c>
      <c r="D304">
        <v>427</v>
      </c>
      <c r="E304" t="s">
        <v>10</v>
      </c>
      <c r="F304">
        <v>3408504</v>
      </c>
      <c r="G304" s="1">
        <v>0</v>
      </c>
      <c r="H304" s="2">
        <v>1809</v>
      </c>
      <c r="I304" t="str">
        <f>VLOOKUP(Tabela2[[#This Row],[PAIS]],'[1]nome do paixs'!$A:$B,2,0)</f>
        <v>Letônia</v>
      </c>
      <c r="J304" t="s">
        <v>14</v>
      </c>
    </row>
    <row r="305" spans="1:10">
      <c r="A305">
        <v>2025</v>
      </c>
      <c r="B305">
        <v>4</v>
      </c>
      <c r="C305">
        <v>8807</v>
      </c>
      <c r="D305">
        <v>275</v>
      </c>
      <c r="E305" t="s">
        <v>10</v>
      </c>
      <c r="F305">
        <v>3408504</v>
      </c>
      <c r="G305" s="1">
        <v>0</v>
      </c>
      <c r="H305" s="2">
        <v>1014</v>
      </c>
      <c r="I305" t="str">
        <f>VLOOKUP(Tabela2[[#This Row],[PAIS]],'[1]nome do paixs'!$A:$B,2,0)</f>
        <v>França</v>
      </c>
      <c r="J305" t="s">
        <v>14</v>
      </c>
    </row>
    <row r="306" spans="1:10">
      <c r="A306">
        <v>2025</v>
      </c>
      <c r="B306">
        <v>7</v>
      </c>
      <c r="C306">
        <v>8807</v>
      </c>
      <c r="D306">
        <v>239</v>
      </c>
      <c r="E306" t="s">
        <v>10</v>
      </c>
      <c r="F306">
        <v>3408504</v>
      </c>
      <c r="G306" s="1">
        <v>1</v>
      </c>
      <c r="H306" s="2">
        <v>2317</v>
      </c>
      <c r="I306" t="str">
        <f>VLOOKUP(Tabela2[[#This Row],[PAIS]],'[1]nome do paixs'!$A:$B,2,0)</f>
        <v>Equador</v>
      </c>
      <c r="J306" t="s">
        <v>14</v>
      </c>
    </row>
    <row r="307" spans="1:10">
      <c r="A307">
        <v>2025</v>
      </c>
      <c r="B307">
        <v>8</v>
      </c>
      <c r="C307">
        <v>8807</v>
      </c>
      <c r="D307">
        <v>741</v>
      </c>
      <c r="E307" t="s">
        <v>10</v>
      </c>
      <c r="F307">
        <v>3408504</v>
      </c>
      <c r="G307" s="1">
        <v>26</v>
      </c>
      <c r="H307" s="2">
        <v>121529</v>
      </c>
      <c r="I307" t="str">
        <f>VLOOKUP(Tabela2[[#This Row],[PAIS]],'[1]nome do paixs'!$A:$B,2,0)</f>
        <v>Singapura</v>
      </c>
      <c r="J307" t="s">
        <v>14</v>
      </c>
    </row>
    <row r="308" spans="1:10">
      <c r="A308">
        <v>2025</v>
      </c>
      <c r="B308">
        <v>7</v>
      </c>
      <c r="C308">
        <v>8807</v>
      </c>
      <c r="D308">
        <v>741</v>
      </c>
      <c r="E308" t="s">
        <v>10</v>
      </c>
      <c r="F308">
        <v>3408504</v>
      </c>
      <c r="G308" s="1">
        <v>1</v>
      </c>
      <c r="H308" s="2">
        <v>1774</v>
      </c>
      <c r="I308" t="str">
        <f>VLOOKUP(Tabela2[[#This Row],[PAIS]],'[1]nome do paixs'!$A:$B,2,0)</f>
        <v>Singapura</v>
      </c>
      <c r="J308" t="s">
        <v>14</v>
      </c>
    </row>
    <row r="309" spans="1:10">
      <c r="A309">
        <v>2025</v>
      </c>
      <c r="B309">
        <v>7</v>
      </c>
      <c r="C309">
        <v>8807</v>
      </c>
      <c r="D309">
        <v>149</v>
      </c>
      <c r="E309" t="s">
        <v>10</v>
      </c>
      <c r="F309">
        <v>3408504</v>
      </c>
      <c r="G309" s="1">
        <v>4</v>
      </c>
      <c r="H309" s="2">
        <v>11788</v>
      </c>
      <c r="I309" t="str">
        <f>VLOOKUP(Tabela2[[#This Row],[PAIS]],'[1]nome do paixs'!$A:$B,2,0)</f>
        <v>Canadá</v>
      </c>
      <c r="J309" t="s">
        <v>14</v>
      </c>
    </row>
    <row r="310" spans="1:10">
      <c r="A310">
        <v>2025</v>
      </c>
      <c r="B310">
        <v>5</v>
      </c>
      <c r="C310">
        <v>8807</v>
      </c>
      <c r="D310">
        <v>169</v>
      </c>
      <c r="E310" t="s">
        <v>10</v>
      </c>
      <c r="F310">
        <v>3408504</v>
      </c>
      <c r="G310" s="1">
        <v>17</v>
      </c>
      <c r="H310" s="2">
        <v>24599</v>
      </c>
      <c r="I310" t="str">
        <f>VLOOKUP(Tabela2[[#This Row],[PAIS]],'[1]nome do paixs'!$A:$B,2,0)</f>
        <v>Colômbia</v>
      </c>
      <c r="J310" t="s">
        <v>14</v>
      </c>
    </row>
    <row r="311" spans="1:10">
      <c r="A311">
        <v>2025</v>
      </c>
      <c r="B311">
        <v>6</v>
      </c>
      <c r="C311">
        <v>8807</v>
      </c>
      <c r="D311">
        <v>573</v>
      </c>
      <c r="E311" t="s">
        <v>10</v>
      </c>
      <c r="F311">
        <v>3408504</v>
      </c>
      <c r="G311" s="1">
        <v>0</v>
      </c>
      <c r="H311" s="2">
        <v>257</v>
      </c>
      <c r="I311" t="str">
        <f>VLOOKUP(Tabela2[[#This Row],[PAIS]],'[1]nome do paixs'!$A:$B,2,0)</f>
        <v>Países Baixos (Holanda)</v>
      </c>
      <c r="J311" t="s">
        <v>14</v>
      </c>
    </row>
    <row r="312" spans="1:10">
      <c r="A312">
        <v>2025</v>
      </c>
      <c r="B312">
        <v>5</v>
      </c>
      <c r="C312">
        <v>8807</v>
      </c>
      <c r="D312">
        <v>603</v>
      </c>
      <c r="E312" t="s">
        <v>10</v>
      </c>
      <c r="F312">
        <v>3408504</v>
      </c>
      <c r="G312" s="1">
        <v>2</v>
      </c>
      <c r="H312" s="2">
        <v>8911</v>
      </c>
      <c r="I312" t="str">
        <f>VLOOKUP(Tabela2[[#This Row],[PAIS]],'[1]nome do paixs'!$A:$B,2,0)</f>
        <v>Polônia</v>
      </c>
      <c r="J312" t="s">
        <v>14</v>
      </c>
    </row>
    <row r="313" spans="1:10">
      <c r="A313">
        <v>2025</v>
      </c>
      <c r="B313">
        <v>7</v>
      </c>
      <c r="C313">
        <v>8807</v>
      </c>
      <c r="D313">
        <v>603</v>
      </c>
      <c r="E313" t="s">
        <v>10</v>
      </c>
      <c r="F313">
        <v>3408504</v>
      </c>
      <c r="G313" s="1">
        <v>4</v>
      </c>
      <c r="H313" s="2">
        <v>10724</v>
      </c>
      <c r="I313" t="str">
        <f>VLOOKUP(Tabela2[[#This Row],[PAIS]],'[1]nome do paixs'!$A:$B,2,0)</f>
        <v>Polônia</v>
      </c>
      <c r="J313" t="s">
        <v>14</v>
      </c>
    </row>
    <row r="314" spans="1:10">
      <c r="A314">
        <v>2025</v>
      </c>
      <c r="B314">
        <v>5</v>
      </c>
      <c r="C314">
        <v>8807</v>
      </c>
      <c r="D314">
        <v>756</v>
      </c>
      <c r="E314" t="s">
        <v>10</v>
      </c>
      <c r="F314">
        <v>3408504</v>
      </c>
      <c r="G314" s="1">
        <v>0</v>
      </c>
      <c r="H314" s="2">
        <v>2787</v>
      </c>
      <c r="I314" t="str">
        <f>VLOOKUP(Tabela2[[#This Row],[PAIS]],'[1]nome do paixs'!$A:$B,2,0)</f>
        <v>África do Sul</v>
      </c>
      <c r="J314" t="s">
        <v>14</v>
      </c>
    </row>
    <row r="315" spans="1:10">
      <c r="A315">
        <v>2025</v>
      </c>
      <c r="B315">
        <v>6</v>
      </c>
      <c r="C315">
        <v>8807</v>
      </c>
      <c r="D315">
        <v>628</v>
      </c>
      <c r="E315" t="s">
        <v>10</v>
      </c>
      <c r="F315">
        <v>3408504</v>
      </c>
      <c r="G315" s="1">
        <v>0</v>
      </c>
      <c r="H315" s="2">
        <v>1818</v>
      </c>
      <c r="I315" t="str">
        <f>VLOOKUP(Tabela2[[#This Row],[PAIS]],'[1]nome do paixs'!$A:$B,2,0)</f>
        <v>Reino Unido</v>
      </c>
      <c r="J315" t="s">
        <v>14</v>
      </c>
    </row>
    <row r="316" spans="1:10">
      <c r="A316">
        <v>2025</v>
      </c>
      <c r="B316">
        <v>8</v>
      </c>
      <c r="C316">
        <v>8807</v>
      </c>
      <c r="D316">
        <v>247</v>
      </c>
      <c r="E316" t="s">
        <v>10</v>
      </c>
      <c r="F316">
        <v>3408504</v>
      </c>
      <c r="G316" s="1">
        <v>2</v>
      </c>
      <c r="H316" s="2">
        <v>6169</v>
      </c>
      <c r="I316" t="str">
        <f>VLOOKUP(Tabela2[[#This Row],[PAIS]],'[1]nome do paixs'!$A:$B,2,0)</f>
        <v>Eslováquia</v>
      </c>
      <c r="J316" t="s">
        <v>14</v>
      </c>
    </row>
    <row r="317" spans="1:10">
      <c r="A317">
        <v>2025</v>
      </c>
      <c r="B317">
        <v>5</v>
      </c>
      <c r="C317">
        <v>8807</v>
      </c>
      <c r="D317">
        <v>158</v>
      </c>
      <c r="E317" t="s">
        <v>10</v>
      </c>
      <c r="F317">
        <v>3408504</v>
      </c>
      <c r="G317" s="1">
        <v>3</v>
      </c>
      <c r="H317" s="2">
        <v>80773</v>
      </c>
      <c r="I317" t="str">
        <f>VLOOKUP(Tabela2[[#This Row],[PAIS]],'[1]nome do paixs'!$A:$B,2,0)</f>
        <v>Chile</v>
      </c>
      <c r="J317" t="s">
        <v>14</v>
      </c>
    </row>
    <row r="318" spans="1:10">
      <c r="A318">
        <v>2025</v>
      </c>
      <c r="B318">
        <v>8</v>
      </c>
      <c r="C318">
        <v>8807</v>
      </c>
      <c r="D318">
        <v>23</v>
      </c>
      <c r="E318" t="s">
        <v>10</v>
      </c>
      <c r="F318">
        <v>3408504</v>
      </c>
      <c r="G318" s="1">
        <v>47</v>
      </c>
      <c r="H318" s="2">
        <v>501468</v>
      </c>
      <c r="I318" t="str">
        <f>VLOOKUP(Tabela2[[#This Row],[PAIS]],'[1]nome do paixs'!$A:$B,2,0)</f>
        <v>Alemanha</v>
      </c>
      <c r="J318" t="s">
        <v>14</v>
      </c>
    </row>
    <row r="319" spans="1:10">
      <c r="A319">
        <v>2025</v>
      </c>
      <c r="B319">
        <v>4</v>
      </c>
      <c r="C319">
        <v>8807</v>
      </c>
      <c r="D319">
        <v>607</v>
      </c>
      <c r="E319" t="s">
        <v>10</v>
      </c>
      <c r="F319">
        <v>3408504</v>
      </c>
      <c r="G319" s="1">
        <v>0</v>
      </c>
      <c r="H319" s="2">
        <v>2240</v>
      </c>
      <c r="I319" t="str">
        <f>VLOOKUP(Tabela2[[#This Row],[PAIS]],'[1]nome do paixs'!$A:$B,2,0)</f>
        <v>Portugal</v>
      </c>
      <c r="J319" t="s">
        <v>14</v>
      </c>
    </row>
    <row r="320" spans="1:10">
      <c r="A320">
        <v>2025</v>
      </c>
      <c r="B320">
        <v>5</v>
      </c>
      <c r="C320">
        <v>8807</v>
      </c>
      <c r="D320">
        <v>247</v>
      </c>
      <c r="E320" t="s">
        <v>10</v>
      </c>
      <c r="F320">
        <v>3408504</v>
      </c>
      <c r="G320" s="1">
        <v>0</v>
      </c>
      <c r="H320" s="2">
        <v>337</v>
      </c>
      <c r="I320" t="str">
        <f>VLOOKUP(Tabela2[[#This Row],[PAIS]],'[1]nome do paixs'!$A:$B,2,0)</f>
        <v>Eslováquia</v>
      </c>
      <c r="J320" t="s">
        <v>14</v>
      </c>
    </row>
    <row r="321" spans="1:10">
      <c r="A321">
        <v>2025</v>
      </c>
      <c r="B321">
        <v>4</v>
      </c>
      <c r="C321">
        <v>8807</v>
      </c>
      <c r="D321">
        <v>427</v>
      </c>
      <c r="E321" t="s">
        <v>10</v>
      </c>
      <c r="F321">
        <v>3408504</v>
      </c>
      <c r="G321" s="1">
        <v>0</v>
      </c>
      <c r="H321" s="2">
        <v>3062</v>
      </c>
      <c r="I321" t="str">
        <f>VLOOKUP(Tabela2[[#This Row],[PAIS]],'[1]nome do paixs'!$A:$B,2,0)</f>
        <v>Letônia</v>
      </c>
      <c r="J321" t="s">
        <v>14</v>
      </c>
    </row>
    <row r="322" spans="1:10">
      <c r="A322">
        <v>2025</v>
      </c>
      <c r="B322">
        <v>7</v>
      </c>
      <c r="C322">
        <v>8807</v>
      </c>
      <c r="D322">
        <v>493</v>
      </c>
      <c r="E322" t="s">
        <v>10</v>
      </c>
      <c r="F322">
        <v>3408504</v>
      </c>
      <c r="G322" s="1">
        <v>1</v>
      </c>
      <c r="H322" s="2">
        <v>302</v>
      </c>
      <c r="I322" t="str">
        <f>VLOOKUP(Tabela2[[#This Row],[PAIS]],'[1]nome do paixs'!$A:$B,2,0)</f>
        <v>México</v>
      </c>
      <c r="J322" t="s">
        <v>14</v>
      </c>
    </row>
    <row r="323" spans="1:10">
      <c r="A323">
        <v>2025</v>
      </c>
      <c r="B323">
        <v>7</v>
      </c>
      <c r="C323">
        <v>8807</v>
      </c>
      <c r="D323">
        <v>249</v>
      </c>
      <c r="E323" t="s">
        <v>10</v>
      </c>
      <c r="F323">
        <v>3408504</v>
      </c>
      <c r="G323" s="1">
        <v>376</v>
      </c>
      <c r="H323" s="2">
        <v>436739</v>
      </c>
      <c r="I323" t="str">
        <f>VLOOKUP(Tabela2[[#This Row],[PAIS]],'[1]nome do paixs'!$A:$B,2,0)</f>
        <v>Estados Unidos</v>
      </c>
      <c r="J323" t="s">
        <v>14</v>
      </c>
    </row>
    <row r="324" spans="1:10">
      <c r="A324">
        <v>2025</v>
      </c>
      <c r="B324">
        <v>7</v>
      </c>
      <c r="C324">
        <v>8807</v>
      </c>
      <c r="D324">
        <v>160</v>
      </c>
      <c r="E324" t="s">
        <v>10</v>
      </c>
      <c r="F324">
        <v>3408504</v>
      </c>
      <c r="G324" s="1">
        <v>1</v>
      </c>
      <c r="H324" s="2">
        <v>177</v>
      </c>
      <c r="I324" t="str">
        <f>VLOOKUP(Tabela2[[#This Row],[PAIS]],'[1]nome do paixs'!$A:$B,2,0)</f>
        <v>China</v>
      </c>
      <c r="J324" t="s">
        <v>14</v>
      </c>
    </row>
    <row r="325" spans="1:10">
      <c r="A325">
        <v>2025</v>
      </c>
      <c r="B325">
        <v>4</v>
      </c>
      <c r="C325">
        <v>8807</v>
      </c>
      <c r="D325">
        <v>249</v>
      </c>
      <c r="E325" t="s">
        <v>10</v>
      </c>
      <c r="F325">
        <v>3408504</v>
      </c>
      <c r="G325" s="1">
        <v>0</v>
      </c>
      <c r="H325" s="2">
        <v>253</v>
      </c>
      <c r="I325" t="str">
        <f>VLOOKUP(Tabela2[[#This Row],[PAIS]],'[1]nome do paixs'!$A:$B,2,0)</f>
        <v>Estados Unidos</v>
      </c>
      <c r="J325" t="s">
        <v>14</v>
      </c>
    </row>
    <row r="326" spans="1:10">
      <c r="A326">
        <v>2025</v>
      </c>
      <c r="B326">
        <v>5</v>
      </c>
      <c r="C326">
        <v>8807</v>
      </c>
      <c r="D326">
        <v>399</v>
      </c>
      <c r="E326" t="s">
        <v>10</v>
      </c>
      <c r="F326">
        <v>3408504</v>
      </c>
      <c r="G326" s="1">
        <v>0</v>
      </c>
      <c r="H326" s="2">
        <v>2679</v>
      </c>
      <c r="I326" t="str">
        <f>VLOOKUP(Tabela2[[#This Row],[PAIS]],'[1]nome do paixs'!$A:$B,2,0)</f>
        <v>Japão</v>
      </c>
      <c r="J326" t="s">
        <v>14</v>
      </c>
    </row>
    <row r="327" spans="1:10">
      <c r="A327">
        <v>2025</v>
      </c>
      <c r="B327">
        <v>6</v>
      </c>
      <c r="C327">
        <v>8807</v>
      </c>
      <c r="D327">
        <v>427</v>
      </c>
      <c r="E327" t="s">
        <v>10</v>
      </c>
      <c r="F327">
        <v>3408504</v>
      </c>
      <c r="G327" s="1">
        <v>0</v>
      </c>
      <c r="H327" s="2">
        <v>1531</v>
      </c>
      <c r="I327" t="str">
        <f>VLOOKUP(Tabela2[[#This Row],[PAIS]],'[1]nome do paixs'!$A:$B,2,0)</f>
        <v>Letônia</v>
      </c>
      <c r="J327" t="s">
        <v>14</v>
      </c>
    </row>
    <row r="328" spans="1:10">
      <c r="A328">
        <v>2025</v>
      </c>
      <c r="B328">
        <v>7</v>
      </c>
      <c r="C328">
        <v>8807</v>
      </c>
      <c r="D328">
        <v>573</v>
      </c>
      <c r="E328" t="s">
        <v>10</v>
      </c>
      <c r="F328">
        <v>3408504</v>
      </c>
      <c r="G328" s="1">
        <v>50</v>
      </c>
      <c r="H328" s="2">
        <v>45568</v>
      </c>
      <c r="I328" t="str">
        <f>VLOOKUP(Tabela2[[#This Row],[PAIS]],'[1]nome do paixs'!$A:$B,2,0)</f>
        <v>Países Baixos (Holanda)</v>
      </c>
      <c r="J328" t="s">
        <v>14</v>
      </c>
    </row>
    <row r="329" spans="1:10">
      <c r="A329">
        <v>2025</v>
      </c>
      <c r="B329">
        <v>8</v>
      </c>
      <c r="C329">
        <v>8807</v>
      </c>
      <c r="D329">
        <v>275</v>
      </c>
      <c r="E329" t="s">
        <v>10</v>
      </c>
      <c r="F329">
        <v>3408504</v>
      </c>
      <c r="G329" s="1">
        <v>131</v>
      </c>
      <c r="H329" s="2">
        <v>94986</v>
      </c>
      <c r="I329" t="str">
        <f>VLOOKUP(Tabela2[[#This Row],[PAIS]],'[1]nome do paixs'!$A:$B,2,0)</f>
        <v>França</v>
      </c>
      <c r="J329" t="s">
        <v>14</v>
      </c>
    </row>
    <row r="330" spans="1:10">
      <c r="A330">
        <v>2025</v>
      </c>
      <c r="B330">
        <v>6</v>
      </c>
      <c r="C330">
        <v>8807</v>
      </c>
      <c r="D330">
        <v>275</v>
      </c>
      <c r="E330" t="s">
        <v>10</v>
      </c>
      <c r="F330">
        <v>3408504</v>
      </c>
      <c r="G330" s="1">
        <v>182</v>
      </c>
      <c r="H330" s="2">
        <v>219449</v>
      </c>
      <c r="I330" t="str">
        <f>VLOOKUP(Tabela2[[#This Row],[PAIS]],'[1]nome do paixs'!$A:$B,2,0)</f>
        <v>França</v>
      </c>
      <c r="J330" t="s">
        <v>14</v>
      </c>
    </row>
    <row r="331" spans="1:10">
      <c r="A331">
        <v>2025</v>
      </c>
      <c r="B331">
        <v>6</v>
      </c>
      <c r="C331">
        <v>8807</v>
      </c>
      <c r="D331">
        <v>239</v>
      </c>
      <c r="E331" t="s">
        <v>10</v>
      </c>
      <c r="F331">
        <v>3408504</v>
      </c>
      <c r="G331" s="1">
        <v>1</v>
      </c>
      <c r="H331" s="2">
        <v>6929</v>
      </c>
      <c r="I331" t="str">
        <f>VLOOKUP(Tabela2[[#This Row],[PAIS]],'[1]nome do paixs'!$A:$B,2,0)</f>
        <v>Equador</v>
      </c>
      <c r="J331" t="s">
        <v>14</v>
      </c>
    </row>
    <row r="332" spans="1:10">
      <c r="A332">
        <v>2025</v>
      </c>
      <c r="B332">
        <v>6</v>
      </c>
      <c r="C332">
        <v>8807</v>
      </c>
      <c r="D332">
        <v>247</v>
      </c>
      <c r="E332" t="s">
        <v>10</v>
      </c>
      <c r="F332">
        <v>3408504</v>
      </c>
      <c r="G332" s="1">
        <v>0</v>
      </c>
      <c r="H332" s="2">
        <v>503</v>
      </c>
      <c r="I332" t="str">
        <f>VLOOKUP(Tabela2[[#This Row],[PAIS]],'[1]nome do paixs'!$A:$B,2,0)</f>
        <v>Eslováquia</v>
      </c>
      <c r="J332" t="s">
        <v>14</v>
      </c>
    </row>
    <row r="333" spans="1:10">
      <c r="A333">
        <v>2025</v>
      </c>
      <c r="B333">
        <v>4</v>
      </c>
      <c r="C333">
        <v>8807</v>
      </c>
      <c r="D333">
        <v>628</v>
      </c>
      <c r="E333" t="s">
        <v>10</v>
      </c>
      <c r="F333">
        <v>3408504</v>
      </c>
      <c r="G333" s="1">
        <v>0</v>
      </c>
      <c r="H333" s="2">
        <v>2321</v>
      </c>
      <c r="I333" t="str">
        <f>VLOOKUP(Tabela2[[#This Row],[PAIS]],'[1]nome do paixs'!$A:$B,2,0)</f>
        <v>Reino Unido</v>
      </c>
      <c r="J333" t="s">
        <v>14</v>
      </c>
    </row>
    <row r="334" spans="1:10">
      <c r="A334">
        <v>2025</v>
      </c>
      <c r="B334">
        <v>6</v>
      </c>
      <c r="C334">
        <v>8807</v>
      </c>
      <c r="D334">
        <v>741</v>
      </c>
      <c r="E334" t="s">
        <v>10</v>
      </c>
      <c r="F334">
        <v>3408504</v>
      </c>
      <c r="G334" s="1">
        <v>3</v>
      </c>
      <c r="H334" s="2">
        <v>4158</v>
      </c>
      <c r="I334" t="str">
        <f>VLOOKUP(Tabela2[[#This Row],[PAIS]],'[1]nome do paixs'!$A:$B,2,0)</f>
        <v>Singapura</v>
      </c>
      <c r="J334" t="s">
        <v>14</v>
      </c>
    </row>
    <row r="335" spans="1:10">
      <c r="A335">
        <v>2025</v>
      </c>
      <c r="B335">
        <v>8</v>
      </c>
      <c r="C335">
        <v>8807</v>
      </c>
      <c r="D335">
        <v>169</v>
      </c>
      <c r="E335" t="s">
        <v>10</v>
      </c>
      <c r="F335">
        <v>3408504</v>
      </c>
      <c r="G335" s="1">
        <v>60</v>
      </c>
      <c r="H335" s="2">
        <v>480303</v>
      </c>
      <c r="I335" t="str">
        <f>VLOOKUP(Tabela2[[#This Row],[PAIS]],'[1]nome do paixs'!$A:$B,2,0)</f>
        <v>Colômbia</v>
      </c>
      <c r="J335" t="s">
        <v>14</v>
      </c>
    </row>
    <row r="336" spans="1:10">
      <c r="A336">
        <v>2025</v>
      </c>
      <c r="B336">
        <v>6</v>
      </c>
      <c r="C336">
        <v>8807</v>
      </c>
      <c r="D336">
        <v>23</v>
      </c>
      <c r="E336" t="s">
        <v>10</v>
      </c>
      <c r="F336">
        <v>3408504</v>
      </c>
      <c r="G336" s="1">
        <v>3</v>
      </c>
      <c r="H336" s="2">
        <v>7012</v>
      </c>
      <c r="I336" t="str">
        <f>VLOOKUP(Tabela2[[#This Row],[PAIS]],'[1]nome do paixs'!$A:$B,2,0)</f>
        <v>Alemanha</v>
      </c>
      <c r="J336" t="s">
        <v>14</v>
      </c>
    </row>
    <row r="337" spans="1:10">
      <c r="A337">
        <v>2025</v>
      </c>
      <c r="B337">
        <v>6</v>
      </c>
      <c r="C337">
        <v>8807</v>
      </c>
      <c r="D337">
        <v>607</v>
      </c>
      <c r="E337" t="s">
        <v>10</v>
      </c>
      <c r="F337">
        <v>3408504</v>
      </c>
      <c r="G337" s="1">
        <v>0</v>
      </c>
      <c r="H337" s="2">
        <v>6723</v>
      </c>
      <c r="I337" t="str">
        <f>VLOOKUP(Tabela2[[#This Row],[PAIS]],'[1]nome do paixs'!$A:$B,2,0)</f>
        <v>Portugal</v>
      </c>
      <c r="J337" t="s">
        <v>14</v>
      </c>
    </row>
    <row r="338" spans="1:10">
      <c r="A338">
        <v>2025</v>
      </c>
      <c r="B338">
        <v>5</v>
      </c>
      <c r="C338">
        <v>8807</v>
      </c>
      <c r="D338">
        <v>493</v>
      </c>
      <c r="E338" t="s">
        <v>10</v>
      </c>
      <c r="F338">
        <v>3408504</v>
      </c>
      <c r="G338" s="1">
        <v>0</v>
      </c>
      <c r="H338" s="2">
        <v>166</v>
      </c>
      <c r="I338" t="str">
        <f>VLOOKUP(Tabela2[[#This Row],[PAIS]],'[1]nome do paixs'!$A:$B,2,0)</f>
        <v>México</v>
      </c>
      <c r="J338" t="s">
        <v>14</v>
      </c>
    </row>
    <row r="339" spans="1:10">
      <c r="A339">
        <v>2025</v>
      </c>
      <c r="B339">
        <v>5</v>
      </c>
      <c r="C339">
        <v>8807</v>
      </c>
      <c r="D339">
        <v>607</v>
      </c>
      <c r="E339" t="s">
        <v>10</v>
      </c>
      <c r="F339">
        <v>3408504</v>
      </c>
      <c r="G339" s="1">
        <v>2</v>
      </c>
      <c r="H339" s="2">
        <v>8719</v>
      </c>
      <c r="I339" t="str">
        <f>VLOOKUP(Tabela2[[#This Row],[PAIS]],'[1]nome do paixs'!$A:$B,2,0)</f>
        <v>Portugal</v>
      </c>
      <c r="J339" t="s">
        <v>14</v>
      </c>
    </row>
    <row r="340" spans="1:10">
      <c r="A340">
        <v>2025</v>
      </c>
      <c r="B340">
        <v>4</v>
      </c>
      <c r="C340">
        <v>8807</v>
      </c>
      <c r="D340">
        <v>603</v>
      </c>
      <c r="E340" t="s">
        <v>10</v>
      </c>
      <c r="F340">
        <v>3408504</v>
      </c>
      <c r="G340" s="1">
        <v>0</v>
      </c>
      <c r="H340" s="2">
        <v>978</v>
      </c>
      <c r="I340" t="str">
        <f>VLOOKUP(Tabela2[[#This Row],[PAIS]],'[1]nome do paixs'!$A:$B,2,0)</f>
        <v>Polônia</v>
      </c>
      <c r="J340" t="s">
        <v>14</v>
      </c>
    </row>
    <row r="341" spans="1:10">
      <c r="A341">
        <v>2025</v>
      </c>
      <c r="B341">
        <v>6</v>
      </c>
      <c r="C341">
        <v>8807</v>
      </c>
      <c r="D341">
        <v>169</v>
      </c>
      <c r="E341" t="s">
        <v>10</v>
      </c>
      <c r="F341">
        <v>3408504</v>
      </c>
      <c r="G341" s="1">
        <v>0</v>
      </c>
      <c r="H341" s="2">
        <v>1200</v>
      </c>
      <c r="I341" t="str">
        <f>VLOOKUP(Tabela2[[#This Row],[PAIS]],'[1]nome do paixs'!$A:$B,2,0)</f>
        <v>Colômbia</v>
      </c>
      <c r="J341" t="s">
        <v>14</v>
      </c>
    </row>
    <row r="342" spans="1:10">
      <c r="A342">
        <v>2025</v>
      </c>
      <c r="B342">
        <v>7</v>
      </c>
      <c r="C342">
        <v>8807</v>
      </c>
      <c r="D342">
        <v>399</v>
      </c>
      <c r="E342" t="s">
        <v>10</v>
      </c>
      <c r="F342">
        <v>3408504</v>
      </c>
      <c r="G342" s="1">
        <v>2</v>
      </c>
      <c r="H342" s="2">
        <v>421</v>
      </c>
      <c r="I342" t="str">
        <f>VLOOKUP(Tabela2[[#This Row],[PAIS]],'[1]nome do paixs'!$A:$B,2,0)</f>
        <v>Japão</v>
      </c>
      <c r="J342" t="s">
        <v>14</v>
      </c>
    </row>
    <row r="343" spans="1:10">
      <c r="A343">
        <v>2025</v>
      </c>
      <c r="B343">
        <v>4</v>
      </c>
      <c r="C343">
        <v>8807</v>
      </c>
      <c r="D343">
        <v>160</v>
      </c>
      <c r="E343" t="s">
        <v>10</v>
      </c>
      <c r="F343">
        <v>3408504</v>
      </c>
      <c r="G343" s="1">
        <v>3</v>
      </c>
      <c r="H343" s="2">
        <v>1223</v>
      </c>
      <c r="I343" t="str">
        <f>VLOOKUP(Tabela2[[#This Row],[PAIS]],'[1]nome do paixs'!$A:$B,2,0)</f>
        <v>China</v>
      </c>
      <c r="J343" t="s">
        <v>14</v>
      </c>
    </row>
    <row r="344" spans="1:10">
      <c r="A344">
        <v>2025</v>
      </c>
      <c r="B344">
        <v>8</v>
      </c>
      <c r="C344">
        <v>8807</v>
      </c>
      <c r="D344">
        <v>607</v>
      </c>
      <c r="E344" t="s">
        <v>10</v>
      </c>
      <c r="F344">
        <v>3408504</v>
      </c>
      <c r="G344" s="1">
        <v>0</v>
      </c>
      <c r="H344" s="2">
        <v>238</v>
      </c>
      <c r="I344" t="str">
        <f>VLOOKUP(Tabela2[[#This Row],[PAIS]],'[1]nome do paixs'!$A:$B,2,0)</f>
        <v>Portugal</v>
      </c>
      <c r="J344" t="s">
        <v>14</v>
      </c>
    </row>
    <row r="345" spans="1:10">
      <c r="A345">
        <v>2025</v>
      </c>
      <c r="B345">
        <v>6</v>
      </c>
      <c r="C345">
        <v>8807</v>
      </c>
      <c r="D345">
        <v>756</v>
      </c>
      <c r="E345" t="s">
        <v>10</v>
      </c>
      <c r="F345">
        <v>3408504</v>
      </c>
      <c r="G345" s="1">
        <v>3</v>
      </c>
      <c r="H345" s="2">
        <v>13535</v>
      </c>
      <c r="I345" t="str">
        <f>VLOOKUP(Tabela2[[#This Row],[PAIS]],'[1]nome do paixs'!$A:$B,2,0)</f>
        <v>África do Sul</v>
      </c>
      <c r="J345" t="s">
        <v>14</v>
      </c>
    </row>
    <row r="346" spans="1:10">
      <c r="A346">
        <v>2025</v>
      </c>
      <c r="B346">
        <v>8</v>
      </c>
      <c r="C346">
        <v>8807</v>
      </c>
      <c r="D346">
        <v>586</v>
      </c>
      <c r="E346" t="s">
        <v>10</v>
      </c>
      <c r="F346">
        <v>3408504</v>
      </c>
      <c r="G346" s="1">
        <v>0</v>
      </c>
      <c r="H346" s="2">
        <v>12213</v>
      </c>
      <c r="I346" t="str">
        <f>VLOOKUP(Tabela2[[#This Row],[PAIS]],'[1]nome do paixs'!$A:$B,2,0)</f>
        <v>Paraguai</v>
      </c>
      <c r="J346" t="s">
        <v>14</v>
      </c>
    </row>
    <row r="347" spans="1:10">
      <c r="A347">
        <v>2025</v>
      </c>
      <c r="B347">
        <v>5</v>
      </c>
      <c r="C347">
        <v>8807</v>
      </c>
      <c r="D347">
        <v>741</v>
      </c>
      <c r="E347" t="s">
        <v>10</v>
      </c>
      <c r="F347">
        <v>3408504</v>
      </c>
      <c r="G347" s="1">
        <v>4</v>
      </c>
      <c r="H347" s="2">
        <v>3445</v>
      </c>
      <c r="I347" t="str">
        <f>VLOOKUP(Tabela2[[#This Row],[PAIS]],'[1]nome do paixs'!$A:$B,2,0)</f>
        <v>Singapura</v>
      </c>
      <c r="J347" t="s">
        <v>14</v>
      </c>
    </row>
    <row r="348" spans="1:10">
      <c r="A348">
        <v>2025</v>
      </c>
      <c r="B348">
        <v>8</v>
      </c>
      <c r="C348">
        <v>8807</v>
      </c>
      <c r="D348">
        <v>603</v>
      </c>
      <c r="E348" t="s">
        <v>10</v>
      </c>
      <c r="F348">
        <v>3408504</v>
      </c>
      <c r="G348" s="1">
        <v>2</v>
      </c>
      <c r="H348" s="2">
        <v>8793</v>
      </c>
      <c r="I348" t="str">
        <f>VLOOKUP(Tabela2[[#This Row],[PAIS]],'[1]nome do paixs'!$A:$B,2,0)</f>
        <v>Polônia</v>
      </c>
      <c r="J348" t="s">
        <v>14</v>
      </c>
    </row>
    <row r="349" spans="1:10">
      <c r="A349">
        <v>2025</v>
      </c>
      <c r="B349">
        <v>5</v>
      </c>
      <c r="C349">
        <v>8807</v>
      </c>
      <c r="D349">
        <v>628</v>
      </c>
      <c r="E349" t="s">
        <v>10</v>
      </c>
      <c r="F349">
        <v>3408504</v>
      </c>
      <c r="G349" s="1">
        <v>3</v>
      </c>
      <c r="H349" s="2">
        <v>6291</v>
      </c>
      <c r="I349" t="str">
        <f>VLOOKUP(Tabela2[[#This Row],[PAIS]],'[1]nome do paixs'!$A:$B,2,0)</f>
        <v>Reino Unido</v>
      </c>
      <c r="J349" t="s">
        <v>14</v>
      </c>
    </row>
    <row r="350" spans="1:10">
      <c r="A350">
        <v>2025</v>
      </c>
      <c r="B350">
        <v>6</v>
      </c>
      <c r="C350">
        <v>8807</v>
      </c>
      <c r="D350">
        <v>538</v>
      </c>
      <c r="E350" t="s">
        <v>10</v>
      </c>
      <c r="F350">
        <v>3408504</v>
      </c>
      <c r="G350" s="1">
        <v>50</v>
      </c>
      <c r="H350" s="2">
        <v>42989</v>
      </c>
      <c r="I350" t="str">
        <f>VLOOKUP(Tabela2[[#This Row],[PAIS]],'[1]nome do paixs'!$A:$B,2,0)</f>
        <v>Noruega</v>
      </c>
      <c r="J350" t="s">
        <v>14</v>
      </c>
    </row>
    <row r="351" spans="1:10">
      <c r="A351">
        <v>2025</v>
      </c>
      <c r="B351">
        <v>6</v>
      </c>
      <c r="C351">
        <v>8807</v>
      </c>
      <c r="D351">
        <v>623</v>
      </c>
      <c r="E351" t="s">
        <v>10</v>
      </c>
      <c r="F351">
        <v>3408504</v>
      </c>
      <c r="G351" s="1">
        <v>0</v>
      </c>
      <c r="H351" s="2">
        <v>281</v>
      </c>
      <c r="I351" t="str">
        <f>VLOOKUP(Tabela2[[#This Row],[PAIS]],'[1]nome do paixs'!$A:$B,2,0)</f>
        <v>Quênia</v>
      </c>
      <c r="J351" t="s">
        <v>14</v>
      </c>
    </row>
    <row r="352" spans="1:10">
      <c r="A352">
        <v>2025</v>
      </c>
      <c r="B352">
        <v>5</v>
      </c>
      <c r="C352">
        <v>8807</v>
      </c>
      <c r="D352">
        <v>249</v>
      </c>
      <c r="E352" t="s">
        <v>10</v>
      </c>
      <c r="F352">
        <v>3408504</v>
      </c>
      <c r="G352" s="1">
        <v>780</v>
      </c>
      <c r="H352" s="2">
        <v>644697</v>
      </c>
      <c r="I352" t="str">
        <f>VLOOKUP(Tabela2[[#This Row],[PAIS]],'[1]nome do paixs'!$A:$B,2,0)</f>
        <v>Estados Unidos</v>
      </c>
      <c r="J352" t="s">
        <v>14</v>
      </c>
    </row>
    <row r="353" spans="1:10">
      <c r="A353">
        <v>2025</v>
      </c>
      <c r="B353">
        <v>6</v>
      </c>
      <c r="C353">
        <v>8807</v>
      </c>
      <c r="D353">
        <v>249</v>
      </c>
      <c r="E353" t="s">
        <v>10</v>
      </c>
      <c r="F353">
        <v>3408504</v>
      </c>
      <c r="G353" s="1">
        <v>365</v>
      </c>
      <c r="H353" s="2">
        <v>252568</v>
      </c>
      <c r="I353" t="str">
        <f>VLOOKUP(Tabela2[[#This Row],[PAIS]],'[1]nome do paixs'!$A:$B,2,0)</f>
        <v>Estados Unidos</v>
      </c>
      <c r="J353" t="s">
        <v>14</v>
      </c>
    </row>
    <row r="354" spans="1:10">
      <c r="A354">
        <v>2025</v>
      </c>
      <c r="B354">
        <v>7</v>
      </c>
      <c r="C354">
        <v>8807</v>
      </c>
      <c r="D354">
        <v>628</v>
      </c>
      <c r="E354" t="s">
        <v>10</v>
      </c>
      <c r="F354">
        <v>3408504</v>
      </c>
      <c r="G354" s="1">
        <v>0</v>
      </c>
      <c r="H354" s="2">
        <v>4891</v>
      </c>
      <c r="I354" t="str">
        <f>VLOOKUP(Tabela2[[#This Row],[PAIS]],'[1]nome do paixs'!$A:$B,2,0)</f>
        <v>Reino Unido</v>
      </c>
      <c r="J354" t="s">
        <v>14</v>
      </c>
    </row>
    <row r="355" spans="1:10">
      <c r="A355">
        <v>2025</v>
      </c>
      <c r="B355">
        <v>5</v>
      </c>
      <c r="C355">
        <v>8807</v>
      </c>
      <c r="D355">
        <v>232</v>
      </c>
      <c r="E355" t="s">
        <v>10</v>
      </c>
      <c r="F355">
        <v>3408504</v>
      </c>
      <c r="G355" s="1">
        <v>1</v>
      </c>
      <c r="H355" s="2">
        <v>7096</v>
      </c>
      <c r="I355" t="str">
        <f>VLOOKUP(Tabela2[[#This Row],[PAIS]],'[1]nome do paixs'!$A:$B,2,0)</f>
        <v>Dinamarca</v>
      </c>
      <c r="J355" t="s">
        <v>14</v>
      </c>
    </row>
    <row r="356" spans="1:10">
      <c r="A356">
        <v>2025</v>
      </c>
      <c r="B356">
        <v>7</v>
      </c>
      <c r="C356">
        <v>8807</v>
      </c>
      <c r="D356">
        <v>756</v>
      </c>
      <c r="E356" t="s">
        <v>10</v>
      </c>
      <c r="F356">
        <v>3408504</v>
      </c>
      <c r="G356" s="1">
        <v>1</v>
      </c>
      <c r="H356" s="2">
        <v>5733</v>
      </c>
      <c r="I356" t="str">
        <f>VLOOKUP(Tabela2[[#This Row],[PAIS]],'[1]nome do paixs'!$A:$B,2,0)</f>
        <v>África do Sul</v>
      </c>
      <c r="J356" t="s">
        <v>14</v>
      </c>
    </row>
    <row r="357" spans="1:10">
      <c r="A357">
        <v>2025</v>
      </c>
      <c r="B357">
        <v>5</v>
      </c>
      <c r="C357">
        <v>8807</v>
      </c>
      <c r="D357">
        <v>275</v>
      </c>
      <c r="E357" t="s">
        <v>10</v>
      </c>
      <c r="F357">
        <v>3408504</v>
      </c>
      <c r="G357" s="1">
        <v>231</v>
      </c>
      <c r="H357" s="2">
        <v>225929</v>
      </c>
      <c r="I357" t="str">
        <f>VLOOKUP(Tabela2[[#This Row],[PAIS]],'[1]nome do paixs'!$A:$B,2,0)</f>
        <v>França</v>
      </c>
      <c r="J357" t="s">
        <v>14</v>
      </c>
    </row>
    <row r="358" spans="1:10">
      <c r="A358">
        <v>2025</v>
      </c>
      <c r="B358">
        <v>7</v>
      </c>
      <c r="C358">
        <v>8807</v>
      </c>
      <c r="D358">
        <v>275</v>
      </c>
      <c r="E358" t="s">
        <v>10</v>
      </c>
      <c r="F358">
        <v>3408504</v>
      </c>
      <c r="G358" s="1">
        <v>79</v>
      </c>
      <c r="H358" s="2">
        <v>61514</v>
      </c>
      <c r="I358" t="str">
        <f>VLOOKUP(Tabela2[[#This Row],[PAIS]],'[1]nome do paixs'!$A:$B,2,0)</f>
        <v>França</v>
      </c>
      <c r="J358" t="s">
        <v>14</v>
      </c>
    </row>
    <row r="359" spans="1:10">
      <c r="A359">
        <v>2025</v>
      </c>
      <c r="B359">
        <v>7</v>
      </c>
      <c r="C359">
        <v>8807</v>
      </c>
      <c r="D359">
        <v>87</v>
      </c>
      <c r="E359" t="s">
        <v>10</v>
      </c>
      <c r="F359">
        <v>3408504</v>
      </c>
      <c r="G359" s="1">
        <v>1</v>
      </c>
      <c r="H359" s="2">
        <v>41932</v>
      </c>
      <c r="I359" t="str">
        <f>VLOOKUP(Tabela2[[#This Row],[PAIS]],'[1]nome do paixs'!$A:$B,2,0)</f>
        <v>Bélgica</v>
      </c>
      <c r="J359" t="s">
        <v>14</v>
      </c>
    </row>
    <row r="360" spans="1:10">
      <c r="A360">
        <v>2025</v>
      </c>
      <c r="B360">
        <v>8</v>
      </c>
      <c r="C360">
        <v>8807</v>
      </c>
      <c r="D360">
        <v>149</v>
      </c>
      <c r="E360" t="s">
        <v>10</v>
      </c>
      <c r="F360">
        <v>3408504</v>
      </c>
      <c r="G360" s="1">
        <v>0</v>
      </c>
      <c r="H360" s="2">
        <v>934</v>
      </c>
      <c r="I360" t="str">
        <f>VLOOKUP(Tabela2[[#This Row],[PAIS]],'[1]nome do paixs'!$A:$B,2,0)</f>
        <v>Canadá</v>
      </c>
      <c r="J360" t="s">
        <v>14</v>
      </c>
    </row>
    <row r="361" spans="1:10">
      <c r="A361">
        <v>2025</v>
      </c>
      <c r="B361">
        <v>8</v>
      </c>
      <c r="C361">
        <v>8807</v>
      </c>
      <c r="D361">
        <v>493</v>
      </c>
      <c r="E361" t="s">
        <v>10</v>
      </c>
      <c r="F361">
        <v>3408504</v>
      </c>
      <c r="G361" s="1">
        <v>0</v>
      </c>
      <c r="H361" s="2">
        <v>281</v>
      </c>
      <c r="I361" t="str">
        <f>VLOOKUP(Tabela2[[#This Row],[PAIS]],'[1]nome do paixs'!$A:$B,2,0)</f>
        <v>México</v>
      </c>
      <c r="J361" t="s">
        <v>14</v>
      </c>
    </row>
    <row r="362" spans="1:10">
      <c r="A362">
        <v>2025</v>
      </c>
      <c r="B362">
        <v>8</v>
      </c>
      <c r="C362">
        <v>8807</v>
      </c>
      <c r="D362">
        <v>628</v>
      </c>
      <c r="E362" t="s">
        <v>10</v>
      </c>
      <c r="F362">
        <v>3408504</v>
      </c>
      <c r="G362" s="1">
        <v>3</v>
      </c>
      <c r="H362" s="2">
        <v>7146</v>
      </c>
      <c r="I362" t="str">
        <f>VLOOKUP(Tabela2[[#This Row],[PAIS]],'[1]nome do paixs'!$A:$B,2,0)</f>
        <v>Reino Unido</v>
      </c>
      <c r="J362" t="s">
        <v>14</v>
      </c>
    </row>
    <row r="363" spans="1:10">
      <c r="A363">
        <v>2025</v>
      </c>
      <c r="B363">
        <v>4</v>
      </c>
      <c r="C363">
        <v>8807</v>
      </c>
      <c r="D363">
        <v>756</v>
      </c>
      <c r="E363" t="s">
        <v>10</v>
      </c>
      <c r="F363">
        <v>3408504</v>
      </c>
      <c r="G363" s="1">
        <v>0</v>
      </c>
      <c r="H363" s="2">
        <v>1667</v>
      </c>
      <c r="I363" t="str">
        <f>VLOOKUP(Tabela2[[#This Row],[PAIS]],'[1]nome do paixs'!$A:$B,2,0)</f>
        <v>África do Sul</v>
      </c>
      <c r="J363" t="s">
        <v>14</v>
      </c>
    </row>
    <row r="364" spans="1:10">
      <c r="A364">
        <v>2025</v>
      </c>
      <c r="B364">
        <v>6</v>
      </c>
      <c r="C364">
        <v>8807</v>
      </c>
      <c r="D364">
        <v>160</v>
      </c>
      <c r="E364" t="s">
        <v>10</v>
      </c>
      <c r="F364">
        <v>3408504</v>
      </c>
      <c r="G364" s="1">
        <v>0</v>
      </c>
      <c r="H364" s="2">
        <v>910</v>
      </c>
      <c r="I364" t="str">
        <f>VLOOKUP(Tabela2[[#This Row],[PAIS]],'[1]nome do paixs'!$A:$B,2,0)</f>
        <v>China</v>
      </c>
      <c r="J364" t="s">
        <v>14</v>
      </c>
    </row>
    <row r="365" spans="1:10">
      <c r="A365">
        <v>2025</v>
      </c>
      <c r="B365">
        <v>7</v>
      </c>
      <c r="C365">
        <v>8807</v>
      </c>
      <c r="D365">
        <v>586</v>
      </c>
      <c r="E365" t="s">
        <v>10</v>
      </c>
      <c r="F365">
        <v>3408504</v>
      </c>
      <c r="G365" s="1">
        <v>1</v>
      </c>
      <c r="H365" s="2">
        <v>22709</v>
      </c>
      <c r="I365" t="str">
        <f>VLOOKUP(Tabela2[[#This Row],[PAIS]],'[1]nome do paixs'!$A:$B,2,0)</f>
        <v>Paraguai</v>
      </c>
      <c r="J365" t="s">
        <v>14</v>
      </c>
    </row>
    <row r="366" spans="1:10">
      <c r="A366">
        <v>2025</v>
      </c>
      <c r="B366">
        <v>8</v>
      </c>
      <c r="C366">
        <v>8807</v>
      </c>
      <c r="D366">
        <v>249</v>
      </c>
      <c r="E366" t="s">
        <v>10</v>
      </c>
      <c r="F366">
        <v>3408504</v>
      </c>
      <c r="G366" s="1">
        <v>445</v>
      </c>
      <c r="H366" s="2">
        <v>363514</v>
      </c>
      <c r="I366" t="str">
        <f>VLOOKUP(Tabela2[[#This Row],[PAIS]],'[1]nome do paixs'!$A:$B,2,0)</f>
        <v>Estados Unidos</v>
      </c>
      <c r="J366" t="s">
        <v>14</v>
      </c>
    </row>
    <row r="367" spans="1:10">
      <c r="A367">
        <v>2025</v>
      </c>
      <c r="B367">
        <v>7</v>
      </c>
      <c r="C367">
        <v>8807</v>
      </c>
      <c r="D367">
        <v>623</v>
      </c>
      <c r="E367" t="s">
        <v>10</v>
      </c>
      <c r="F367">
        <v>3408504</v>
      </c>
      <c r="G367" s="1">
        <v>0</v>
      </c>
      <c r="H367" s="2">
        <v>324</v>
      </c>
      <c r="I367" t="str">
        <f>VLOOKUP(Tabela2[[#This Row],[PAIS]],'[1]nome do paixs'!$A:$B,2,0)</f>
        <v>Quênia</v>
      </c>
      <c r="J367" t="s">
        <v>14</v>
      </c>
    </row>
    <row r="368" spans="1:10">
      <c r="A368">
        <v>2025</v>
      </c>
      <c r="B368">
        <v>8</v>
      </c>
      <c r="C368">
        <v>8807</v>
      </c>
      <c r="D368">
        <v>756</v>
      </c>
      <c r="E368" t="s">
        <v>10</v>
      </c>
      <c r="F368">
        <v>3408504</v>
      </c>
      <c r="G368" s="1">
        <v>0</v>
      </c>
      <c r="H368" s="2">
        <v>2310</v>
      </c>
      <c r="I368" t="str">
        <f>VLOOKUP(Tabela2[[#This Row],[PAIS]],'[1]nome do paixs'!$A:$B,2,0)</f>
        <v>África do Sul</v>
      </c>
      <c r="J368" t="s">
        <v>14</v>
      </c>
    </row>
    <row r="369" spans="1:10">
      <c r="A369">
        <v>2024</v>
      </c>
      <c r="B369">
        <v>3</v>
      </c>
      <c r="C369">
        <v>8807</v>
      </c>
      <c r="D369">
        <v>249</v>
      </c>
      <c r="E369" t="s">
        <v>10</v>
      </c>
      <c r="F369">
        <v>3454102</v>
      </c>
      <c r="G369" s="1">
        <v>1064</v>
      </c>
      <c r="H369" s="2">
        <v>571088</v>
      </c>
      <c r="I369" t="str">
        <f>VLOOKUP(Tabela2[[#This Row],[PAIS]],'[1]nome do paixs'!$A:$B,2,0)</f>
        <v>Estados Unidos</v>
      </c>
      <c r="J369" t="s">
        <v>11</v>
      </c>
    </row>
    <row r="370" spans="1:10">
      <c r="A370">
        <v>2024</v>
      </c>
      <c r="B370">
        <v>1</v>
      </c>
      <c r="C370">
        <v>8807</v>
      </c>
      <c r="D370">
        <v>741</v>
      </c>
      <c r="E370" t="s">
        <v>10</v>
      </c>
      <c r="F370">
        <v>3454102</v>
      </c>
      <c r="G370" s="1">
        <v>5</v>
      </c>
      <c r="H370" s="2">
        <v>16714</v>
      </c>
      <c r="I370" t="str">
        <f>VLOOKUP(Tabela2[[#This Row],[PAIS]],'[1]nome do paixs'!$A:$B,2,0)</f>
        <v>Singapura</v>
      </c>
      <c r="J370" t="s">
        <v>11</v>
      </c>
    </row>
    <row r="371" spans="1:10">
      <c r="A371">
        <v>2024</v>
      </c>
      <c r="B371">
        <v>8</v>
      </c>
      <c r="C371">
        <v>8807</v>
      </c>
      <c r="D371">
        <v>756</v>
      </c>
      <c r="E371" t="s">
        <v>10</v>
      </c>
      <c r="F371">
        <v>3454102</v>
      </c>
      <c r="G371" s="1">
        <v>2</v>
      </c>
      <c r="H371" s="2">
        <v>1785</v>
      </c>
      <c r="I371" t="str">
        <f>VLOOKUP(Tabela2[[#This Row],[PAIS]],'[1]nome do paixs'!$A:$B,2,0)</f>
        <v>África do Sul</v>
      </c>
      <c r="J371" t="s">
        <v>11</v>
      </c>
    </row>
    <row r="372" spans="1:10">
      <c r="A372">
        <v>2024</v>
      </c>
      <c r="B372">
        <v>10</v>
      </c>
      <c r="C372">
        <v>8807</v>
      </c>
      <c r="D372">
        <v>355</v>
      </c>
      <c r="E372" t="s">
        <v>10</v>
      </c>
      <c r="F372">
        <v>3454102</v>
      </c>
      <c r="G372" s="1">
        <v>125</v>
      </c>
      <c r="H372" s="2">
        <v>72258</v>
      </c>
      <c r="I372" t="str">
        <f>VLOOKUP(Tabela2[[#This Row],[PAIS]],'[1]nome do paixs'!$A:$B,2,0)</f>
        <v>Hungria</v>
      </c>
      <c r="J372" t="s">
        <v>11</v>
      </c>
    </row>
    <row r="373" spans="1:10">
      <c r="A373">
        <v>2024</v>
      </c>
      <c r="B373">
        <v>8</v>
      </c>
      <c r="C373">
        <v>8807</v>
      </c>
      <c r="D373">
        <v>72</v>
      </c>
      <c r="E373" t="s">
        <v>10</v>
      </c>
      <c r="F373">
        <v>3454102</v>
      </c>
      <c r="G373" s="1">
        <v>0</v>
      </c>
      <c r="H373" s="2">
        <v>31</v>
      </c>
      <c r="I373" t="str">
        <f>VLOOKUP(Tabela2[[#This Row],[PAIS]],'[1]nome do paixs'!$A:$B,2,0)</f>
        <v>Áustria</v>
      </c>
      <c r="J373" t="s">
        <v>11</v>
      </c>
    </row>
    <row r="374" spans="1:10">
      <c r="A374">
        <v>2024</v>
      </c>
      <c r="B374">
        <v>9</v>
      </c>
      <c r="C374">
        <v>8807</v>
      </c>
      <c r="D374">
        <v>275</v>
      </c>
      <c r="E374" t="s">
        <v>10</v>
      </c>
      <c r="F374">
        <v>3454102</v>
      </c>
      <c r="G374" s="1">
        <v>294</v>
      </c>
      <c r="H374" s="2">
        <v>287910</v>
      </c>
      <c r="I374" t="str">
        <f>VLOOKUP(Tabela2[[#This Row],[PAIS]],'[1]nome do paixs'!$A:$B,2,0)</f>
        <v>França</v>
      </c>
      <c r="J374" t="s">
        <v>11</v>
      </c>
    </row>
    <row r="375" spans="1:10">
      <c r="A375">
        <v>2024</v>
      </c>
      <c r="B375">
        <v>4</v>
      </c>
      <c r="C375">
        <v>8807</v>
      </c>
      <c r="D375">
        <v>756</v>
      </c>
      <c r="E375" t="s">
        <v>10</v>
      </c>
      <c r="F375">
        <v>3454102</v>
      </c>
      <c r="G375" s="1">
        <v>1</v>
      </c>
      <c r="H375" s="2">
        <v>15723</v>
      </c>
      <c r="I375" t="str">
        <f>VLOOKUP(Tabela2[[#This Row],[PAIS]],'[1]nome do paixs'!$A:$B,2,0)</f>
        <v>África do Sul</v>
      </c>
      <c r="J375" t="s">
        <v>11</v>
      </c>
    </row>
    <row r="376" spans="1:10">
      <c r="A376">
        <v>2024</v>
      </c>
      <c r="B376">
        <v>11</v>
      </c>
      <c r="C376">
        <v>8807</v>
      </c>
      <c r="D376">
        <v>628</v>
      </c>
      <c r="E376" t="s">
        <v>10</v>
      </c>
      <c r="F376">
        <v>3454102</v>
      </c>
      <c r="G376" s="1">
        <v>0</v>
      </c>
      <c r="H376" s="2">
        <v>306</v>
      </c>
      <c r="I376" t="str">
        <f>VLOOKUP(Tabela2[[#This Row],[PAIS]],'[1]nome do paixs'!$A:$B,2,0)</f>
        <v>Reino Unido</v>
      </c>
      <c r="J376" t="s">
        <v>11</v>
      </c>
    </row>
    <row r="377" spans="1:10">
      <c r="A377">
        <v>2024</v>
      </c>
      <c r="B377">
        <v>6</v>
      </c>
      <c r="C377">
        <v>8807</v>
      </c>
      <c r="D377">
        <v>756</v>
      </c>
      <c r="E377" t="s">
        <v>10</v>
      </c>
      <c r="F377">
        <v>3454102</v>
      </c>
      <c r="G377" s="1">
        <v>0</v>
      </c>
      <c r="H377" s="2">
        <v>215</v>
      </c>
      <c r="I377" t="str">
        <f>VLOOKUP(Tabela2[[#This Row],[PAIS]],'[1]nome do paixs'!$A:$B,2,0)</f>
        <v>África do Sul</v>
      </c>
      <c r="J377" t="s">
        <v>11</v>
      </c>
    </row>
    <row r="378" spans="1:10">
      <c r="A378">
        <v>2024</v>
      </c>
      <c r="B378">
        <v>5</v>
      </c>
      <c r="C378">
        <v>8807</v>
      </c>
      <c r="D378">
        <v>87</v>
      </c>
      <c r="E378" t="s">
        <v>10</v>
      </c>
      <c r="F378">
        <v>3454102</v>
      </c>
      <c r="G378" s="1">
        <v>82</v>
      </c>
      <c r="H378" s="2">
        <v>210620</v>
      </c>
      <c r="I378" t="str">
        <f>VLOOKUP(Tabela2[[#This Row],[PAIS]],'[1]nome do paixs'!$A:$B,2,0)</f>
        <v>Bélgica</v>
      </c>
      <c r="J378" t="s">
        <v>11</v>
      </c>
    </row>
    <row r="379" spans="1:10">
      <c r="A379">
        <v>2024</v>
      </c>
      <c r="B379">
        <v>10</v>
      </c>
      <c r="C379">
        <v>8807</v>
      </c>
      <c r="D379">
        <v>275</v>
      </c>
      <c r="E379" t="s">
        <v>10</v>
      </c>
      <c r="F379">
        <v>3454102</v>
      </c>
      <c r="G379" s="1">
        <v>196</v>
      </c>
      <c r="H379" s="2">
        <v>137319</v>
      </c>
      <c r="I379" t="str">
        <f>VLOOKUP(Tabela2[[#This Row],[PAIS]],'[1]nome do paixs'!$A:$B,2,0)</f>
        <v>França</v>
      </c>
      <c r="J379" t="s">
        <v>11</v>
      </c>
    </row>
    <row r="380" spans="1:10">
      <c r="A380">
        <v>2024</v>
      </c>
      <c r="B380">
        <v>4</v>
      </c>
      <c r="C380">
        <v>8807</v>
      </c>
      <c r="D380">
        <v>249</v>
      </c>
      <c r="E380" t="s">
        <v>10</v>
      </c>
      <c r="F380">
        <v>3454102</v>
      </c>
      <c r="G380" s="1">
        <v>856</v>
      </c>
      <c r="H380" s="2">
        <v>578022</v>
      </c>
      <c r="I380" t="str">
        <f>VLOOKUP(Tabela2[[#This Row],[PAIS]],'[1]nome do paixs'!$A:$B,2,0)</f>
        <v>Estados Unidos</v>
      </c>
      <c r="J380" t="s">
        <v>11</v>
      </c>
    </row>
    <row r="381" spans="1:10">
      <c r="A381">
        <v>2024</v>
      </c>
      <c r="B381">
        <v>4</v>
      </c>
      <c r="C381">
        <v>8807</v>
      </c>
      <c r="D381">
        <v>623</v>
      </c>
      <c r="E381" t="s">
        <v>10</v>
      </c>
      <c r="F381">
        <v>3454102</v>
      </c>
      <c r="G381" s="1">
        <v>1</v>
      </c>
      <c r="H381" s="2">
        <v>1691</v>
      </c>
      <c r="I381" t="str">
        <f>VLOOKUP(Tabela2[[#This Row],[PAIS]],'[1]nome do paixs'!$A:$B,2,0)</f>
        <v>Quênia</v>
      </c>
      <c r="J381" t="s">
        <v>11</v>
      </c>
    </row>
    <row r="382" spans="1:10">
      <c r="A382">
        <v>2024</v>
      </c>
      <c r="B382">
        <v>4</v>
      </c>
      <c r="C382">
        <v>8807</v>
      </c>
      <c r="D382">
        <v>355</v>
      </c>
      <c r="E382" t="s">
        <v>10</v>
      </c>
      <c r="F382">
        <v>3454102</v>
      </c>
      <c r="G382" s="1">
        <v>6</v>
      </c>
      <c r="H382" s="2">
        <v>30573</v>
      </c>
      <c r="I382" t="str">
        <f>VLOOKUP(Tabela2[[#This Row],[PAIS]],'[1]nome do paixs'!$A:$B,2,0)</f>
        <v>Hungria</v>
      </c>
      <c r="J382" t="s">
        <v>11</v>
      </c>
    </row>
    <row r="383" spans="1:10">
      <c r="A383">
        <v>2024</v>
      </c>
      <c r="B383">
        <v>11</v>
      </c>
      <c r="C383">
        <v>8807</v>
      </c>
      <c r="D383">
        <v>741</v>
      </c>
      <c r="E383" t="s">
        <v>10</v>
      </c>
      <c r="F383">
        <v>3454102</v>
      </c>
      <c r="G383" s="1">
        <v>38</v>
      </c>
      <c r="H383" s="2">
        <v>32618</v>
      </c>
      <c r="I383" t="str">
        <f>VLOOKUP(Tabela2[[#This Row],[PAIS]],'[1]nome do paixs'!$A:$B,2,0)</f>
        <v>Singapura</v>
      </c>
      <c r="J383" t="s">
        <v>11</v>
      </c>
    </row>
    <row r="384" spans="1:10">
      <c r="A384">
        <v>2024</v>
      </c>
      <c r="B384">
        <v>5</v>
      </c>
      <c r="C384">
        <v>8807</v>
      </c>
      <c r="D384">
        <v>493</v>
      </c>
      <c r="E384" t="s">
        <v>10</v>
      </c>
      <c r="F384">
        <v>3454102</v>
      </c>
      <c r="G384" s="1">
        <v>0</v>
      </c>
      <c r="H384" s="2">
        <v>2397</v>
      </c>
      <c r="I384" t="str">
        <f>VLOOKUP(Tabela2[[#This Row],[PAIS]],'[1]nome do paixs'!$A:$B,2,0)</f>
        <v>México</v>
      </c>
      <c r="J384" t="s">
        <v>11</v>
      </c>
    </row>
    <row r="385" spans="1:10">
      <c r="A385">
        <v>2024</v>
      </c>
      <c r="B385">
        <v>11</v>
      </c>
      <c r="C385">
        <v>8807</v>
      </c>
      <c r="D385">
        <v>493</v>
      </c>
      <c r="E385" t="s">
        <v>10</v>
      </c>
      <c r="F385">
        <v>3454102</v>
      </c>
      <c r="G385" s="1">
        <v>1</v>
      </c>
      <c r="H385" s="2">
        <v>5641</v>
      </c>
      <c r="I385" t="str">
        <f>VLOOKUP(Tabela2[[#This Row],[PAIS]],'[1]nome do paixs'!$A:$B,2,0)</f>
        <v>México</v>
      </c>
      <c r="J385" t="s">
        <v>11</v>
      </c>
    </row>
    <row r="386" spans="1:10">
      <c r="A386">
        <v>2024</v>
      </c>
      <c r="B386">
        <v>9</v>
      </c>
      <c r="C386">
        <v>8807</v>
      </c>
      <c r="D386">
        <v>628</v>
      </c>
      <c r="E386" t="s">
        <v>10</v>
      </c>
      <c r="F386">
        <v>3454102</v>
      </c>
      <c r="G386" s="1">
        <v>0</v>
      </c>
      <c r="H386" s="2">
        <v>151</v>
      </c>
      <c r="I386" t="str">
        <f>VLOOKUP(Tabela2[[#This Row],[PAIS]],'[1]nome do paixs'!$A:$B,2,0)</f>
        <v>Reino Unido</v>
      </c>
      <c r="J386" t="s">
        <v>11</v>
      </c>
    </row>
    <row r="387" spans="1:10">
      <c r="A387">
        <v>2024</v>
      </c>
      <c r="B387">
        <v>5</v>
      </c>
      <c r="C387">
        <v>8807</v>
      </c>
      <c r="D387">
        <v>607</v>
      </c>
      <c r="E387" t="s">
        <v>10</v>
      </c>
      <c r="F387">
        <v>3454102</v>
      </c>
      <c r="G387" s="1">
        <v>0</v>
      </c>
      <c r="H387" s="2">
        <v>849</v>
      </c>
      <c r="I387" t="str">
        <f>VLOOKUP(Tabela2[[#This Row],[PAIS]],'[1]nome do paixs'!$A:$B,2,0)</f>
        <v>Portugal</v>
      </c>
      <c r="J387" t="s">
        <v>11</v>
      </c>
    </row>
    <row r="388" spans="1:10">
      <c r="A388">
        <v>2024</v>
      </c>
      <c r="B388">
        <v>12</v>
      </c>
      <c r="C388">
        <v>8807</v>
      </c>
      <c r="D388">
        <v>603</v>
      </c>
      <c r="E388" t="s">
        <v>10</v>
      </c>
      <c r="F388">
        <v>3454102</v>
      </c>
      <c r="G388" s="1">
        <v>2</v>
      </c>
      <c r="H388" s="2">
        <v>508</v>
      </c>
      <c r="I388" t="str">
        <f>VLOOKUP(Tabela2[[#This Row],[PAIS]],'[1]nome do paixs'!$A:$B,2,0)</f>
        <v>Polônia</v>
      </c>
      <c r="J388" t="s">
        <v>11</v>
      </c>
    </row>
    <row r="389" spans="1:10">
      <c r="A389">
        <v>2024</v>
      </c>
      <c r="B389">
        <v>6</v>
      </c>
      <c r="C389">
        <v>8807</v>
      </c>
      <c r="D389">
        <v>603</v>
      </c>
      <c r="E389" t="s">
        <v>10</v>
      </c>
      <c r="F389">
        <v>3454102</v>
      </c>
      <c r="G389" s="1">
        <v>1</v>
      </c>
      <c r="H389" s="2">
        <v>9666</v>
      </c>
      <c r="I389" t="str">
        <f>VLOOKUP(Tabela2[[#This Row],[PAIS]],'[1]nome do paixs'!$A:$B,2,0)</f>
        <v>Polônia</v>
      </c>
      <c r="J389" t="s">
        <v>11</v>
      </c>
    </row>
    <row r="390" spans="1:10">
      <c r="A390">
        <v>2024</v>
      </c>
      <c r="B390">
        <v>8</v>
      </c>
      <c r="C390">
        <v>8807</v>
      </c>
      <c r="D390">
        <v>275</v>
      </c>
      <c r="E390" t="s">
        <v>10</v>
      </c>
      <c r="F390">
        <v>3454102</v>
      </c>
      <c r="G390" s="1">
        <v>304</v>
      </c>
      <c r="H390" s="2">
        <v>247916</v>
      </c>
      <c r="I390" t="str">
        <f>VLOOKUP(Tabela2[[#This Row],[PAIS]],'[1]nome do paixs'!$A:$B,2,0)</f>
        <v>França</v>
      </c>
      <c r="J390" t="s">
        <v>11</v>
      </c>
    </row>
    <row r="391" spans="1:10">
      <c r="A391">
        <v>2024</v>
      </c>
      <c r="B391">
        <v>8</v>
      </c>
      <c r="C391">
        <v>8807</v>
      </c>
      <c r="D391">
        <v>87</v>
      </c>
      <c r="E391" t="s">
        <v>10</v>
      </c>
      <c r="F391">
        <v>3454102</v>
      </c>
      <c r="G391" s="1">
        <v>6</v>
      </c>
      <c r="H391" s="2">
        <v>28298</v>
      </c>
      <c r="I391" t="str">
        <f>VLOOKUP(Tabela2[[#This Row],[PAIS]],'[1]nome do paixs'!$A:$B,2,0)</f>
        <v>Bélgica</v>
      </c>
      <c r="J391" t="s">
        <v>11</v>
      </c>
    </row>
    <row r="392" spans="1:10">
      <c r="A392">
        <v>2024</v>
      </c>
      <c r="B392">
        <v>7</v>
      </c>
      <c r="C392">
        <v>8807</v>
      </c>
      <c r="D392">
        <v>493</v>
      </c>
      <c r="E392" t="s">
        <v>10</v>
      </c>
      <c r="F392">
        <v>3454102</v>
      </c>
      <c r="G392" s="1">
        <v>0</v>
      </c>
      <c r="H392" s="2">
        <v>158</v>
      </c>
      <c r="I392" t="str">
        <f>VLOOKUP(Tabela2[[#This Row],[PAIS]],'[1]nome do paixs'!$A:$B,2,0)</f>
        <v>México</v>
      </c>
      <c r="J392" t="s">
        <v>11</v>
      </c>
    </row>
    <row r="393" spans="1:10">
      <c r="A393">
        <v>2024</v>
      </c>
      <c r="B393">
        <v>11</v>
      </c>
      <c r="C393">
        <v>8807</v>
      </c>
      <c r="D393">
        <v>275</v>
      </c>
      <c r="E393" t="s">
        <v>10</v>
      </c>
      <c r="F393">
        <v>3454102</v>
      </c>
      <c r="G393" s="1">
        <v>295</v>
      </c>
      <c r="H393" s="2">
        <v>326932</v>
      </c>
      <c r="I393" t="str">
        <f>VLOOKUP(Tabela2[[#This Row],[PAIS]],'[1]nome do paixs'!$A:$B,2,0)</f>
        <v>França</v>
      </c>
      <c r="J393" t="s">
        <v>11</v>
      </c>
    </row>
    <row r="394" spans="1:10">
      <c r="A394">
        <v>2024</v>
      </c>
      <c r="B394">
        <v>7</v>
      </c>
      <c r="C394">
        <v>8807</v>
      </c>
      <c r="D394">
        <v>249</v>
      </c>
      <c r="E394" t="s">
        <v>10</v>
      </c>
      <c r="F394">
        <v>3454102</v>
      </c>
      <c r="G394" s="1">
        <v>568</v>
      </c>
      <c r="H394" s="2">
        <v>454804</v>
      </c>
      <c r="I394" t="str">
        <f>VLOOKUP(Tabela2[[#This Row],[PAIS]],'[1]nome do paixs'!$A:$B,2,0)</f>
        <v>Estados Unidos</v>
      </c>
      <c r="J394" t="s">
        <v>11</v>
      </c>
    </row>
    <row r="395" spans="1:10">
      <c r="A395">
        <v>2024</v>
      </c>
      <c r="B395">
        <v>8</v>
      </c>
      <c r="C395">
        <v>8807</v>
      </c>
      <c r="D395">
        <v>628</v>
      </c>
      <c r="E395" t="s">
        <v>10</v>
      </c>
      <c r="F395">
        <v>3454102</v>
      </c>
      <c r="G395" s="1">
        <v>0</v>
      </c>
      <c r="H395" s="2">
        <v>195</v>
      </c>
      <c r="I395" t="str">
        <f>VLOOKUP(Tabela2[[#This Row],[PAIS]],'[1]nome do paixs'!$A:$B,2,0)</f>
        <v>Reino Unido</v>
      </c>
      <c r="J395" t="s">
        <v>11</v>
      </c>
    </row>
    <row r="396" spans="1:10">
      <c r="A396">
        <v>2024</v>
      </c>
      <c r="B396">
        <v>4</v>
      </c>
      <c r="C396">
        <v>8807</v>
      </c>
      <c r="D396">
        <v>158</v>
      </c>
      <c r="E396" t="s">
        <v>10</v>
      </c>
      <c r="F396">
        <v>3454102</v>
      </c>
      <c r="G396" s="1">
        <v>56</v>
      </c>
      <c r="H396" s="2">
        <v>119743</v>
      </c>
      <c r="I396" t="str">
        <f>VLOOKUP(Tabela2[[#This Row],[PAIS]],'[1]nome do paixs'!$A:$B,2,0)</f>
        <v>Chile</v>
      </c>
      <c r="J396" t="s">
        <v>11</v>
      </c>
    </row>
    <row r="397" spans="1:10">
      <c r="A397">
        <v>2024</v>
      </c>
      <c r="B397">
        <v>9</v>
      </c>
      <c r="C397">
        <v>8807</v>
      </c>
      <c r="D397">
        <v>493</v>
      </c>
      <c r="E397" t="s">
        <v>10</v>
      </c>
      <c r="F397">
        <v>3454102</v>
      </c>
      <c r="G397" s="1">
        <v>0</v>
      </c>
      <c r="H397" s="2">
        <v>506</v>
      </c>
      <c r="I397" t="str">
        <f>VLOOKUP(Tabela2[[#This Row],[PAIS]],'[1]nome do paixs'!$A:$B,2,0)</f>
        <v>México</v>
      </c>
      <c r="J397" t="s">
        <v>11</v>
      </c>
    </row>
    <row r="398" spans="1:10">
      <c r="A398">
        <v>2024</v>
      </c>
      <c r="B398">
        <v>7</v>
      </c>
      <c r="C398">
        <v>8807</v>
      </c>
      <c r="D398">
        <v>741</v>
      </c>
      <c r="E398" t="s">
        <v>10</v>
      </c>
      <c r="F398">
        <v>3454102</v>
      </c>
      <c r="G398" s="1">
        <v>3</v>
      </c>
      <c r="H398" s="2">
        <v>1741</v>
      </c>
      <c r="I398" t="str">
        <f>VLOOKUP(Tabela2[[#This Row],[PAIS]],'[1]nome do paixs'!$A:$B,2,0)</f>
        <v>Singapura</v>
      </c>
      <c r="J398" t="s">
        <v>11</v>
      </c>
    </row>
    <row r="399" spans="1:10">
      <c r="A399">
        <v>2024</v>
      </c>
      <c r="B399">
        <v>2</v>
      </c>
      <c r="C399">
        <v>8807</v>
      </c>
      <c r="D399">
        <v>507</v>
      </c>
      <c r="E399" t="s">
        <v>10</v>
      </c>
      <c r="F399">
        <v>3454102</v>
      </c>
      <c r="G399" s="1">
        <v>0</v>
      </c>
      <c r="H399" s="2">
        <v>162</v>
      </c>
      <c r="I399" t="str">
        <f>VLOOKUP(Tabela2[[#This Row],[PAIS]],'[1]nome do paixs'!$A:$B,2,0)</f>
        <v>Namíbia</v>
      </c>
      <c r="J399" t="s">
        <v>11</v>
      </c>
    </row>
    <row r="400" spans="1:10">
      <c r="A400">
        <v>2024</v>
      </c>
      <c r="B400">
        <v>4</v>
      </c>
      <c r="C400">
        <v>8807</v>
      </c>
      <c r="D400">
        <v>160</v>
      </c>
      <c r="E400" t="s">
        <v>10</v>
      </c>
      <c r="F400">
        <v>3454102</v>
      </c>
      <c r="G400" s="1">
        <v>17</v>
      </c>
      <c r="H400" s="2">
        <v>13436</v>
      </c>
      <c r="I400" t="str">
        <f>VLOOKUP(Tabela2[[#This Row],[PAIS]],'[1]nome do paixs'!$A:$B,2,0)</f>
        <v>China</v>
      </c>
      <c r="J400" t="s">
        <v>11</v>
      </c>
    </row>
    <row r="401" spans="1:10">
      <c r="A401">
        <v>2024</v>
      </c>
      <c r="B401">
        <v>10</v>
      </c>
      <c r="C401">
        <v>8807</v>
      </c>
      <c r="D401">
        <v>249</v>
      </c>
      <c r="E401" t="s">
        <v>10</v>
      </c>
      <c r="F401">
        <v>3454102</v>
      </c>
      <c r="G401" s="1">
        <v>589</v>
      </c>
      <c r="H401" s="2">
        <v>428554</v>
      </c>
      <c r="I401" t="str">
        <f>VLOOKUP(Tabela2[[#This Row],[PAIS]],'[1]nome do paixs'!$A:$B,2,0)</f>
        <v>Estados Unidos</v>
      </c>
      <c r="J401" t="s">
        <v>11</v>
      </c>
    </row>
    <row r="402" spans="1:10">
      <c r="A402">
        <v>2024</v>
      </c>
      <c r="B402">
        <v>5</v>
      </c>
      <c r="C402">
        <v>8807</v>
      </c>
      <c r="D402">
        <v>169</v>
      </c>
      <c r="E402" t="s">
        <v>10</v>
      </c>
      <c r="F402">
        <v>3454102</v>
      </c>
      <c r="G402" s="1">
        <v>13</v>
      </c>
      <c r="H402" s="2">
        <v>144305</v>
      </c>
      <c r="I402" t="str">
        <f>VLOOKUP(Tabela2[[#This Row],[PAIS]],'[1]nome do paixs'!$A:$B,2,0)</f>
        <v>Colômbia</v>
      </c>
      <c r="J402" t="s">
        <v>11</v>
      </c>
    </row>
    <row r="403" spans="1:10">
      <c r="A403">
        <v>2024</v>
      </c>
      <c r="B403">
        <v>6</v>
      </c>
      <c r="C403">
        <v>8807</v>
      </c>
      <c r="D403">
        <v>169</v>
      </c>
      <c r="E403" t="s">
        <v>10</v>
      </c>
      <c r="F403">
        <v>3454102</v>
      </c>
      <c r="G403" s="1">
        <v>8</v>
      </c>
      <c r="H403" s="2">
        <v>52377</v>
      </c>
      <c r="I403" t="str">
        <f>VLOOKUP(Tabela2[[#This Row],[PAIS]],'[1]nome do paixs'!$A:$B,2,0)</f>
        <v>Colômbia</v>
      </c>
      <c r="J403" t="s">
        <v>11</v>
      </c>
    </row>
    <row r="404" spans="1:10">
      <c r="A404">
        <v>2024</v>
      </c>
      <c r="B404">
        <v>11</v>
      </c>
      <c r="C404">
        <v>8807</v>
      </c>
      <c r="D404">
        <v>767</v>
      </c>
      <c r="E404" t="s">
        <v>10</v>
      </c>
      <c r="F404">
        <v>3454102</v>
      </c>
      <c r="G404" s="1">
        <v>4</v>
      </c>
      <c r="H404" s="2">
        <v>1621</v>
      </c>
      <c r="I404" t="str">
        <f>VLOOKUP(Tabela2[[#This Row],[PAIS]],'[1]nome do paixs'!$A:$B,2,0)</f>
        <v>Suíça</v>
      </c>
      <c r="J404" t="s">
        <v>11</v>
      </c>
    </row>
    <row r="405" spans="1:10">
      <c r="A405">
        <v>2024</v>
      </c>
      <c r="B405">
        <v>3</v>
      </c>
      <c r="C405">
        <v>8807</v>
      </c>
      <c r="D405">
        <v>442</v>
      </c>
      <c r="E405" t="s">
        <v>10</v>
      </c>
      <c r="F405">
        <v>3454102</v>
      </c>
      <c r="G405" s="1">
        <v>0</v>
      </c>
      <c r="H405" s="2">
        <v>82</v>
      </c>
      <c r="I405" t="str">
        <f>VLOOKUP(Tabela2[[#This Row],[PAIS]],'[1]nome do paixs'!$A:$B,2,0)</f>
        <v>Lituânia</v>
      </c>
      <c r="J405" t="s">
        <v>11</v>
      </c>
    </row>
    <row r="406" spans="1:10">
      <c r="A406">
        <v>2024</v>
      </c>
      <c r="B406">
        <v>10</v>
      </c>
      <c r="C406">
        <v>8807</v>
      </c>
      <c r="D406">
        <v>493</v>
      </c>
      <c r="E406" t="s">
        <v>10</v>
      </c>
      <c r="F406">
        <v>3454102</v>
      </c>
      <c r="G406" s="1">
        <v>0</v>
      </c>
      <c r="H406" s="2">
        <v>1943</v>
      </c>
      <c r="I406" t="str">
        <f>VLOOKUP(Tabela2[[#This Row],[PAIS]],'[1]nome do paixs'!$A:$B,2,0)</f>
        <v>México</v>
      </c>
      <c r="J406" t="s">
        <v>11</v>
      </c>
    </row>
    <row r="407" spans="1:10">
      <c r="A407">
        <v>2024</v>
      </c>
      <c r="B407">
        <v>4</v>
      </c>
      <c r="C407">
        <v>8807</v>
      </c>
      <c r="D407">
        <v>741</v>
      </c>
      <c r="E407" t="s">
        <v>10</v>
      </c>
      <c r="F407">
        <v>3454102</v>
      </c>
      <c r="G407" s="1">
        <v>26</v>
      </c>
      <c r="H407" s="2">
        <v>20671</v>
      </c>
      <c r="I407" t="str">
        <f>VLOOKUP(Tabela2[[#This Row],[PAIS]],'[1]nome do paixs'!$A:$B,2,0)</f>
        <v>Singapura</v>
      </c>
      <c r="J407" t="s">
        <v>11</v>
      </c>
    </row>
    <row r="408" spans="1:10">
      <c r="A408">
        <v>2024</v>
      </c>
      <c r="B408">
        <v>9</v>
      </c>
      <c r="C408">
        <v>8807</v>
      </c>
      <c r="D408">
        <v>87</v>
      </c>
      <c r="E408" t="s">
        <v>10</v>
      </c>
      <c r="F408">
        <v>3454102</v>
      </c>
      <c r="G408" s="1">
        <v>12</v>
      </c>
      <c r="H408" s="2">
        <v>18370</v>
      </c>
      <c r="I408" t="str">
        <f>VLOOKUP(Tabela2[[#This Row],[PAIS]],'[1]nome do paixs'!$A:$B,2,0)</f>
        <v>Bélgica</v>
      </c>
      <c r="J408" t="s">
        <v>11</v>
      </c>
    </row>
    <row r="409" spans="1:10">
      <c r="A409">
        <v>2024</v>
      </c>
      <c r="B409">
        <v>8</v>
      </c>
      <c r="C409">
        <v>8807</v>
      </c>
      <c r="D409">
        <v>741</v>
      </c>
      <c r="E409" t="s">
        <v>10</v>
      </c>
      <c r="F409">
        <v>3454102</v>
      </c>
      <c r="G409" s="1">
        <v>7</v>
      </c>
      <c r="H409" s="2">
        <v>3581</v>
      </c>
      <c r="I409" t="str">
        <f>VLOOKUP(Tabela2[[#This Row],[PAIS]],'[1]nome do paixs'!$A:$B,2,0)</f>
        <v>Singapura</v>
      </c>
      <c r="J409" t="s">
        <v>11</v>
      </c>
    </row>
    <row r="410" spans="1:10">
      <c r="A410">
        <v>2024</v>
      </c>
      <c r="B410">
        <v>12</v>
      </c>
      <c r="C410">
        <v>8807</v>
      </c>
      <c r="D410">
        <v>493</v>
      </c>
      <c r="E410" t="s">
        <v>10</v>
      </c>
      <c r="F410">
        <v>3454102</v>
      </c>
      <c r="G410" s="1">
        <v>0</v>
      </c>
      <c r="H410" s="2">
        <v>4658</v>
      </c>
      <c r="I410" t="str">
        <f>VLOOKUP(Tabela2[[#This Row],[PAIS]],'[1]nome do paixs'!$A:$B,2,0)</f>
        <v>México</v>
      </c>
      <c r="J410" t="s">
        <v>11</v>
      </c>
    </row>
    <row r="411" spans="1:10">
      <c r="A411">
        <v>2024</v>
      </c>
      <c r="B411">
        <v>2</v>
      </c>
      <c r="C411">
        <v>8807</v>
      </c>
      <c r="D411">
        <v>267</v>
      </c>
      <c r="E411" t="s">
        <v>10</v>
      </c>
      <c r="F411">
        <v>3454102</v>
      </c>
      <c r="G411" s="1">
        <v>31</v>
      </c>
      <c r="H411" s="2">
        <v>39899</v>
      </c>
      <c r="I411" t="str">
        <f>VLOOKUP(Tabela2[[#This Row],[PAIS]],'[1]nome do paixs'!$A:$B,2,0)</f>
        <v>Filipinas</v>
      </c>
      <c r="J411" t="s">
        <v>11</v>
      </c>
    </row>
    <row r="412" spans="1:10">
      <c r="A412">
        <v>2024</v>
      </c>
      <c r="B412">
        <v>3</v>
      </c>
      <c r="C412">
        <v>8807</v>
      </c>
      <c r="D412">
        <v>160</v>
      </c>
      <c r="E412" t="s">
        <v>10</v>
      </c>
      <c r="F412">
        <v>3454102</v>
      </c>
      <c r="G412" s="1">
        <v>3</v>
      </c>
      <c r="H412" s="2">
        <v>3017</v>
      </c>
      <c r="I412" t="str">
        <f>VLOOKUP(Tabela2[[#This Row],[PAIS]],'[1]nome do paixs'!$A:$B,2,0)</f>
        <v>China</v>
      </c>
      <c r="J412" t="s">
        <v>11</v>
      </c>
    </row>
    <row r="413" spans="1:10">
      <c r="A413">
        <v>2024</v>
      </c>
      <c r="B413">
        <v>2</v>
      </c>
      <c r="C413">
        <v>8807</v>
      </c>
      <c r="D413">
        <v>399</v>
      </c>
      <c r="E413" t="s">
        <v>10</v>
      </c>
      <c r="F413">
        <v>3454102</v>
      </c>
      <c r="G413" s="1">
        <v>0</v>
      </c>
      <c r="H413" s="2">
        <v>3929</v>
      </c>
      <c r="I413" t="str">
        <f>VLOOKUP(Tabela2[[#This Row],[PAIS]],'[1]nome do paixs'!$A:$B,2,0)</f>
        <v>Japão</v>
      </c>
      <c r="J413" t="s">
        <v>11</v>
      </c>
    </row>
    <row r="414" spans="1:10">
      <c r="A414">
        <v>2024</v>
      </c>
      <c r="B414">
        <v>5</v>
      </c>
      <c r="C414">
        <v>8807</v>
      </c>
      <c r="D414">
        <v>158</v>
      </c>
      <c r="E414" t="s">
        <v>10</v>
      </c>
      <c r="F414">
        <v>3454102</v>
      </c>
      <c r="G414" s="1">
        <v>56</v>
      </c>
      <c r="H414" s="2">
        <v>120080</v>
      </c>
      <c r="I414" t="str">
        <f>VLOOKUP(Tabela2[[#This Row],[PAIS]],'[1]nome do paixs'!$A:$B,2,0)</f>
        <v>Chile</v>
      </c>
      <c r="J414" t="s">
        <v>11</v>
      </c>
    </row>
    <row r="415" spans="1:10">
      <c r="A415">
        <v>2024</v>
      </c>
      <c r="B415">
        <v>1</v>
      </c>
      <c r="C415">
        <v>8807</v>
      </c>
      <c r="D415">
        <v>247</v>
      </c>
      <c r="E415" t="s">
        <v>10</v>
      </c>
      <c r="F415">
        <v>3454102</v>
      </c>
      <c r="G415" s="1">
        <v>3</v>
      </c>
      <c r="H415" s="2">
        <v>10872</v>
      </c>
      <c r="I415" t="str">
        <f>VLOOKUP(Tabela2[[#This Row],[PAIS]],'[1]nome do paixs'!$A:$B,2,0)</f>
        <v>Eslováquia</v>
      </c>
      <c r="J415" t="s">
        <v>11</v>
      </c>
    </row>
    <row r="416" spans="1:10">
      <c r="A416">
        <v>2024</v>
      </c>
      <c r="B416">
        <v>4</v>
      </c>
      <c r="C416">
        <v>8807</v>
      </c>
      <c r="D416">
        <v>607</v>
      </c>
      <c r="E416" t="s">
        <v>10</v>
      </c>
      <c r="F416">
        <v>3454102</v>
      </c>
      <c r="G416" s="1">
        <v>7</v>
      </c>
      <c r="H416" s="2">
        <v>5333</v>
      </c>
      <c r="I416" t="str">
        <f>VLOOKUP(Tabela2[[#This Row],[PAIS]],'[1]nome do paixs'!$A:$B,2,0)</f>
        <v>Portugal</v>
      </c>
      <c r="J416" t="s">
        <v>11</v>
      </c>
    </row>
    <row r="417" spans="1:10">
      <c r="A417">
        <v>2024</v>
      </c>
      <c r="B417">
        <v>5</v>
      </c>
      <c r="C417">
        <v>8807</v>
      </c>
      <c r="D417">
        <v>196</v>
      </c>
      <c r="E417" t="s">
        <v>10</v>
      </c>
      <c r="F417">
        <v>3454102</v>
      </c>
      <c r="G417" s="1">
        <v>1</v>
      </c>
      <c r="H417" s="2">
        <v>1624</v>
      </c>
      <c r="I417" t="str">
        <f>VLOOKUP(Tabela2[[#This Row],[PAIS]],'[1]nome do paixs'!$A:$B,2,0)</f>
        <v>Costa Rica</v>
      </c>
      <c r="J417" t="s">
        <v>11</v>
      </c>
    </row>
    <row r="418" spans="1:10">
      <c r="A418">
        <v>2024</v>
      </c>
      <c r="B418">
        <v>4</v>
      </c>
      <c r="C418">
        <v>8807</v>
      </c>
      <c r="D418">
        <v>87</v>
      </c>
      <c r="E418" t="s">
        <v>10</v>
      </c>
      <c r="F418">
        <v>3454102</v>
      </c>
      <c r="G418" s="1">
        <v>50</v>
      </c>
      <c r="H418" s="2">
        <v>52478</v>
      </c>
      <c r="I418" t="str">
        <f>VLOOKUP(Tabela2[[#This Row],[PAIS]],'[1]nome do paixs'!$A:$B,2,0)</f>
        <v>Bélgica</v>
      </c>
      <c r="J418" t="s">
        <v>11</v>
      </c>
    </row>
    <row r="419" spans="1:10">
      <c r="A419">
        <v>2024</v>
      </c>
      <c r="B419">
        <v>6</v>
      </c>
      <c r="C419">
        <v>8807</v>
      </c>
      <c r="D419">
        <v>355</v>
      </c>
      <c r="E419" t="s">
        <v>10</v>
      </c>
      <c r="F419">
        <v>3454102</v>
      </c>
      <c r="G419" s="1">
        <v>86</v>
      </c>
      <c r="H419" s="2">
        <v>257623</v>
      </c>
      <c r="I419" t="str">
        <f>VLOOKUP(Tabela2[[#This Row],[PAIS]],'[1]nome do paixs'!$A:$B,2,0)</f>
        <v>Hungria</v>
      </c>
      <c r="J419" t="s">
        <v>11</v>
      </c>
    </row>
    <row r="420" spans="1:10">
      <c r="A420">
        <v>2024</v>
      </c>
      <c r="B420">
        <v>1</v>
      </c>
      <c r="C420">
        <v>8807</v>
      </c>
      <c r="D420">
        <v>493</v>
      </c>
      <c r="E420" t="s">
        <v>10</v>
      </c>
      <c r="F420">
        <v>3454102</v>
      </c>
      <c r="G420" s="1">
        <v>10</v>
      </c>
      <c r="H420" s="2">
        <v>10348</v>
      </c>
      <c r="I420" t="str">
        <f>VLOOKUP(Tabela2[[#This Row],[PAIS]],'[1]nome do paixs'!$A:$B,2,0)</f>
        <v>México</v>
      </c>
      <c r="J420" t="s">
        <v>11</v>
      </c>
    </row>
    <row r="421" spans="1:10">
      <c r="A421">
        <v>2024</v>
      </c>
      <c r="B421">
        <v>2</v>
      </c>
      <c r="C421">
        <v>8807</v>
      </c>
      <c r="D421">
        <v>87</v>
      </c>
      <c r="E421" t="s">
        <v>10</v>
      </c>
      <c r="F421">
        <v>3454102</v>
      </c>
      <c r="G421" s="1">
        <v>6</v>
      </c>
      <c r="H421" s="2">
        <v>15341</v>
      </c>
      <c r="I421" t="str">
        <f>VLOOKUP(Tabela2[[#This Row],[PAIS]],'[1]nome do paixs'!$A:$B,2,0)</f>
        <v>Bélgica</v>
      </c>
      <c r="J421" t="s">
        <v>11</v>
      </c>
    </row>
    <row r="422" spans="1:10">
      <c r="A422">
        <v>2024</v>
      </c>
      <c r="B422">
        <v>3</v>
      </c>
      <c r="C422">
        <v>8807</v>
      </c>
      <c r="D422">
        <v>403</v>
      </c>
      <c r="E422" t="s">
        <v>10</v>
      </c>
      <c r="F422">
        <v>3454102</v>
      </c>
      <c r="G422" s="1">
        <v>0</v>
      </c>
      <c r="H422" s="2">
        <v>173</v>
      </c>
      <c r="I422" t="str">
        <f>VLOOKUP(Tabela2[[#This Row],[PAIS]],'[1]nome do paixs'!$A:$B,2,0)</f>
        <v>Jordânia</v>
      </c>
      <c r="J422" t="s">
        <v>11</v>
      </c>
    </row>
    <row r="423" spans="1:10">
      <c r="A423">
        <v>2024</v>
      </c>
      <c r="B423">
        <v>3</v>
      </c>
      <c r="C423">
        <v>8807</v>
      </c>
      <c r="D423">
        <v>23</v>
      </c>
      <c r="E423" t="s">
        <v>10</v>
      </c>
      <c r="F423">
        <v>3454102</v>
      </c>
      <c r="G423" s="1">
        <v>0</v>
      </c>
      <c r="H423" s="2">
        <v>881</v>
      </c>
      <c r="I423" t="str">
        <f>VLOOKUP(Tabela2[[#This Row],[PAIS]],'[1]nome do paixs'!$A:$B,2,0)</f>
        <v>Alemanha</v>
      </c>
      <c r="J423" t="s">
        <v>11</v>
      </c>
    </row>
    <row r="424" spans="1:10">
      <c r="A424">
        <v>2024</v>
      </c>
      <c r="B424">
        <v>1</v>
      </c>
      <c r="C424">
        <v>8807</v>
      </c>
      <c r="D424">
        <v>399</v>
      </c>
      <c r="E424" t="s">
        <v>10</v>
      </c>
      <c r="F424">
        <v>3454102</v>
      </c>
      <c r="G424" s="1">
        <v>0</v>
      </c>
      <c r="H424" s="2">
        <v>199</v>
      </c>
      <c r="I424" t="str">
        <f>VLOOKUP(Tabela2[[#This Row],[PAIS]],'[1]nome do paixs'!$A:$B,2,0)</f>
        <v>Japão</v>
      </c>
      <c r="J424" t="s">
        <v>11</v>
      </c>
    </row>
    <row r="425" spans="1:10">
      <c r="A425">
        <v>2024</v>
      </c>
      <c r="B425">
        <v>10</v>
      </c>
      <c r="C425">
        <v>8807</v>
      </c>
      <c r="D425">
        <v>267</v>
      </c>
      <c r="E425" t="s">
        <v>10</v>
      </c>
      <c r="F425">
        <v>3454102</v>
      </c>
      <c r="G425" s="1">
        <v>2</v>
      </c>
      <c r="H425" s="2">
        <v>5241</v>
      </c>
      <c r="I425" t="str">
        <f>VLOOKUP(Tabela2[[#This Row],[PAIS]],'[1]nome do paixs'!$A:$B,2,0)</f>
        <v>Filipinas</v>
      </c>
      <c r="J425" t="s">
        <v>11</v>
      </c>
    </row>
    <row r="426" spans="1:10">
      <c r="A426">
        <v>2024</v>
      </c>
      <c r="B426">
        <v>6</v>
      </c>
      <c r="C426">
        <v>8807</v>
      </c>
      <c r="D426">
        <v>386</v>
      </c>
      <c r="E426" t="s">
        <v>10</v>
      </c>
      <c r="F426">
        <v>3454102</v>
      </c>
      <c r="G426" s="1">
        <v>5</v>
      </c>
      <c r="H426" s="2">
        <v>3325</v>
      </c>
      <c r="I426" t="str">
        <f>VLOOKUP(Tabela2[[#This Row],[PAIS]],'[1]nome do paixs'!$A:$B,2,0)</f>
        <v>Itália</v>
      </c>
      <c r="J426" t="s">
        <v>11</v>
      </c>
    </row>
    <row r="427" spans="1:10">
      <c r="A427">
        <v>2024</v>
      </c>
      <c r="B427">
        <v>6</v>
      </c>
      <c r="C427">
        <v>8807</v>
      </c>
      <c r="D427">
        <v>249</v>
      </c>
      <c r="E427" t="s">
        <v>10</v>
      </c>
      <c r="F427">
        <v>3454102</v>
      </c>
      <c r="G427" s="1">
        <v>369</v>
      </c>
      <c r="H427" s="2">
        <v>347226</v>
      </c>
      <c r="I427" t="str">
        <f>VLOOKUP(Tabela2[[#This Row],[PAIS]],'[1]nome do paixs'!$A:$B,2,0)</f>
        <v>Estados Unidos</v>
      </c>
      <c r="J427" t="s">
        <v>11</v>
      </c>
    </row>
    <row r="428" spans="1:10">
      <c r="A428">
        <v>2024</v>
      </c>
      <c r="B428">
        <v>6</v>
      </c>
      <c r="C428">
        <v>8807</v>
      </c>
      <c r="D428">
        <v>158</v>
      </c>
      <c r="E428" t="s">
        <v>10</v>
      </c>
      <c r="F428">
        <v>3454102</v>
      </c>
      <c r="G428" s="1">
        <v>8</v>
      </c>
      <c r="H428" s="2">
        <v>7159</v>
      </c>
      <c r="I428" t="str">
        <f>VLOOKUP(Tabela2[[#This Row],[PAIS]],'[1]nome do paixs'!$A:$B,2,0)</f>
        <v>Chile</v>
      </c>
      <c r="J428" t="s">
        <v>11</v>
      </c>
    </row>
    <row r="429" spans="1:10">
      <c r="A429">
        <v>2024</v>
      </c>
      <c r="B429">
        <v>7</v>
      </c>
      <c r="C429">
        <v>8807</v>
      </c>
      <c r="D429">
        <v>607</v>
      </c>
      <c r="E429" t="s">
        <v>10</v>
      </c>
      <c r="F429">
        <v>3454102</v>
      </c>
      <c r="G429" s="1">
        <v>1</v>
      </c>
      <c r="H429" s="2">
        <v>238</v>
      </c>
      <c r="I429" t="str">
        <f>VLOOKUP(Tabela2[[#This Row],[PAIS]],'[1]nome do paixs'!$A:$B,2,0)</f>
        <v>Portugal</v>
      </c>
      <c r="J429" t="s">
        <v>11</v>
      </c>
    </row>
    <row r="430" spans="1:10">
      <c r="A430">
        <v>2024</v>
      </c>
      <c r="B430">
        <v>5</v>
      </c>
      <c r="C430">
        <v>8807</v>
      </c>
      <c r="D430">
        <v>160</v>
      </c>
      <c r="E430" t="s">
        <v>10</v>
      </c>
      <c r="F430">
        <v>3454102</v>
      </c>
      <c r="G430" s="1">
        <v>1</v>
      </c>
      <c r="H430" s="2">
        <v>1001</v>
      </c>
      <c r="I430" t="str">
        <f>VLOOKUP(Tabela2[[#This Row],[PAIS]],'[1]nome do paixs'!$A:$B,2,0)</f>
        <v>China</v>
      </c>
      <c r="J430" t="s">
        <v>11</v>
      </c>
    </row>
    <row r="431" spans="1:10">
      <c r="A431">
        <v>2024</v>
      </c>
      <c r="B431">
        <v>6</v>
      </c>
      <c r="C431">
        <v>8807</v>
      </c>
      <c r="D431">
        <v>160</v>
      </c>
      <c r="E431" t="s">
        <v>10</v>
      </c>
      <c r="F431">
        <v>3454102</v>
      </c>
      <c r="G431" s="1">
        <v>4</v>
      </c>
      <c r="H431" s="2">
        <v>2427</v>
      </c>
      <c r="I431" t="str">
        <f>VLOOKUP(Tabela2[[#This Row],[PAIS]],'[1]nome do paixs'!$A:$B,2,0)</f>
        <v>China</v>
      </c>
      <c r="J431" t="s">
        <v>11</v>
      </c>
    </row>
    <row r="432" spans="1:10">
      <c r="A432">
        <v>2024</v>
      </c>
      <c r="B432">
        <v>2</v>
      </c>
      <c r="C432">
        <v>8807</v>
      </c>
      <c r="D432">
        <v>756</v>
      </c>
      <c r="E432" t="s">
        <v>10</v>
      </c>
      <c r="F432">
        <v>3454102</v>
      </c>
      <c r="G432" s="1">
        <v>5</v>
      </c>
      <c r="H432" s="2">
        <v>5935</v>
      </c>
      <c r="I432" t="str">
        <f>VLOOKUP(Tabela2[[#This Row],[PAIS]],'[1]nome do paixs'!$A:$B,2,0)</f>
        <v>África do Sul</v>
      </c>
      <c r="J432" t="s">
        <v>11</v>
      </c>
    </row>
    <row r="433" spans="1:10">
      <c r="A433">
        <v>2024</v>
      </c>
      <c r="B433">
        <v>3</v>
      </c>
      <c r="C433">
        <v>8807</v>
      </c>
      <c r="D433">
        <v>399</v>
      </c>
      <c r="E433" t="s">
        <v>10</v>
      </c>
      <c r="F433">
        <v>3454102</v>
      </c>
      <c r="G433" s="1">
        <v>0</v>
      </c>
      <c r="H433" s="2">
        <v>356</v>
      </c>
      <c r="I433" t="str">
        <f>VLOOKUP(Tabela2[[#This Row],[PAIS]],'[1]nome do paixs'!$A:$B,2,0)</f>
        <v>Japão</v>
      </c>
      <c r="J433" t="s">
        <v>11</v>
      </c>
    </row>
    <row r="434" spans="1:10">
      <c r="A434">
        <v>2024</v>
      </c>
      <c r="B434">
        <v>1</v>
      </c>
      <c r="C434">
        <v>8807</v>
      </c>
      <c r="D434">
        <v>249</v>
      </c>
      <c r="E434" t="s">
        <v>10</v>
      </c>
      <c r="F434">
        <v>3454102</v>
      </c>
      <c r="G434" s="1">
        <v>485</v>
      </c>
      <c r="H434" s="2">
        <v>566654</v>
      </c>
      <c r="I434" t="str">
        <f>VLOOKUP(Tabela2[[#This Row],[PAIS]],'[1]nome do paixs'!$A:$B,2,0)</f>
        <v>Estados Unidos</v>
      </c>
      <c r="J434" t="s">
        <v>11</v>
      </c>
    </row>
    <row r="435" spans="1:10">
      <c r="A435">
        <v>2024</v>
      </c>
      <c r="B435">
        <v>1</v>
      </c>
      <c r="C435">
        <v>8807</v>
      </c>
      <c r="D435">
        <v>442</v>
      </c>
      <c r="E435" t="s">
        <v>10</v>
      </c>
      <c r="F435">
        <v>3454102</v>
      </c>
      <c r="G435" s="1">
        <v>2</v>
      </c>
      <c r="H435" s="2">
        <v>6079</v>
      </c>
      <c r="I435" t="str">
        <f>VLOOKUP(Tabela2[[#This Row],[PAIS]],'[1]nome do paixs'!$A:$B,2,0)</f>
        <v>Lituânia</v>
      </c>
      <c r="J435" t="s">
        <v>11</v>
      </c>
    </row>
    <row r="436" spans="1:10">
      <c r="A436">
        <v>2024</v>
      </c>
      <c r="B436">
        <v>5</v>
      </c>
      <c r="C436">
        <v>8807</v>
      </c>
      <c r="D436">
        <v>741</v>
      </c>
      <c r="E436" t="s">
        <v>10</v>
      </c>
      <c r="F436">
        <v>3454102</v>
      </c>
      <c r="G436" s="1">
        <v>38</v>
      </c>
      <c r="H436" s="2">
        <v>42754</v>
      </c>
      <c r="I436" t="str">
        <f>VLOOKUP(Tabela2[[#This Row],[PAIS]],'[1]nome do paixs'!$A:$B,2,0)</f>
        <v>Singapura</v>
      </c>
      <c r="J436" t="s">
        <v>11</v>
      </c>
    </row>
    <row r="437" spans="1:10">
      <c r="A437">
        <v>2024</v>
      </c>
      <c r="B437">
        <v>2</v>
      </c>
      <c r="C437">
        <v>8807</v>
      </c>
      <c r="D437">
        <v>603</v>
      </c>
      <c r="E437" t="s">
        <v>10</v>
      </c>
      <c r="F437">
        <v>3454102</v>
      </c>
      <c r="G437" s="1">
        <v>6</v>
      </c>
      <c r="H437" s="2">
        <v>7666</v>
      </c>
      <c r="I437" t="str">
        <f>VLOOKUP(Tabela2[[#This Row],[PAIS]],'[1]nome do paixs'!$A:$B,2,0)</f>
        <v>Polônia</v>
      </c>
      <c r="J437" t="s">
        <v>11</v>
      </c>
    </row>
    <row r="438" spans="1:10">
      <c r="A438">
        <v>2024</v>
      </c>
      <c r="B438">
        <v>7</v>
      </c>
      <c r="C438">
        <v>8807</v>
      </c>
      <c r="D438">
        <v>160</v>
      </c>
      <c r="E438" t="s">
        <v>10</v>
      </c>
      <c r="F438">
        <v>3454102</v>
      </c>
      <c r="G438" s="1">
        <v>2</v>
      </c>
      <c r="H438" s="2">
        <v>4581</v>
      </c>
      <c r="I438" t="str">
        <f>VLOOKUP(Tabela2[[#This Row],[PAIS]],'[1]nome do paixs'!$A:$B,2,0)</f>
        <v>China</v>
      </c>
      <c r="J438" t="s">
        <v>11</v>
      </c>
    </row>
    <row r="439" spans="1:10">
      <c r="A439">
        <v>2024</v>
      </c>
      <c r="B439">
        <v>3</v>
      </c>
      <c r="C439">
        <v>8807</v>
      </c>
      <c r="D439">
        <v>741</v>
      </c>
      <c r="E439" t="s">
        <v>10</v>
      </c>
      <c r="F439">
        <v>3454102</v>
      </c>
      <c r="G439" s="1">
        <v>5</v>
      </c>
      <c r="H439" s="2">
        <v>3423</v>
      </c>
      <c r="I439" t="str">
        <f>VLOOKUP(Tabela2[[#This Row],[PAIS]],'[1]nome do paixs'!$A:$B,2,0)</f>
        <v>Singapura</v>
      </c>
      <c r="J439" t="s">
        <v>11</v>
      </c>
    </row>
    <row r="440" spans="1:10">
      <c r="A440">
        <v>2024</v>
      </c>
      <c r="B440">
        <v>12</v>
      </c>
      <c r="C440">
        <v>8807</v>
      </c>
      <c r="D440">
        <v>628</v>
      </c>
      <c r="E440" t="s">
        <v>10</v>
      </c>
      <c r="F440">
        <v>3454102</v>
      </c>
      <c r="G440" s="1">
        <v>0</v>
      </c>
      <c r="H440" s="2">
        <v>270</v>
      </c>
      <c r="I440" t="str">
        <f>VLOOKUP(Tabela2[[#This Row],[PAIS]],'[1]nome do paixs'!$A:$B,2,0)</f>
        <v>Reino Unido</v>
      </c>
      <c r="J440" t="s">
        <v>11</v>
      </c>
    </row>
    <row r="441" spans="1:10">
      <c r="A441">
        <v>2024</v>
      </c>
      <c r="B441">
        <v>2</v>
      </c>
      <c r="C441">
        <v>8807</v>
      </c>
      <c r="D441">
        <v>403</v>
      </c>
      <c r="E441" t="s">
        <v>10</v>
      </c>
      <c r="F441">
        <v>3454102</v>
      </c>
      <c r="G441" s="1">
        <v>2</v>
      </c>
      <c r="H441" s="2">
        <v>3784</v>
      </c>
      <c r="I441" t="str">
        <f>VLOOKUP(Tabela2[[#This Row],[PAIS]],'[1]nome do paixs'!$A:$B,2,0)</f>
        <v>Jordânia</v>
      </c>
      <c r="J441" t="s">
        <v>11</v>
      </c>
    </row>
    <row r="442" spans="1:10">
      <c r="A442">
        <v>2024</v>
      </c>
      <c r="B442">
        <v>10</v>
      </c>
      <c r="C442">
        <v>8807</v>
      </c>
      <c r="D442">
        <v>741</v>
      </c>
      <c r="E442" t="s">
        <v>10</v>
      </c>
      <c r="F442">
        <v>3454102</v>
      </c>
      <c r="G442" s="1">
        <v>5</v>
      </c>
      <c r="H442" s="2">
        <v>6625</v>
      </c>
      <c r="I442" t="str">
        <f>VLOOKUP(Tabela2[[#This Row],[PAIS]],'[1]nome do paixs'!$A:$B,2,0)</f>
        <v>Singapura</v>
      </c>
      <c r="J442" t="s">
        <v>11</v>
      </c>
    </row>
    <row r="443" spans="1:10">
      <c r="A443">
        <v>2024</v>
      </c>
      <c r="B443">
        <v>3</v>
      </c>
      <c r="C443">
        <v>8807</v>
      </c>
      <c r="D443">
        <v>603</v>
      </c>
      <c r="E443" t="s">
        <v>10</v>
      </c>
      <c r="F443">
        <v>3454102</v>
      </c>
      <c r="G443" s="1">
        <v>19</v>
      </c>
      <c r="H443" s="2">
        <v>21935</v>
      </c>
      <c r="I443" t="str">
        <f>VLOOKUP(Tabela2[[#This Row],[PAIS]],'[1]nome do paixs'!$A:$B,2,0)</f>
        <v>Polônia</v>
      </c>
      <c r="J443" t="s">
        <v>11</v>
      </c>
    </row>
    <row r="444" spans="1:10">
      <c r="A444">
        <v>2024</v>
      </c>
      <c r="B444">
        <v>9</v>
      </c>
      <c r="C444">
        <v>8807</v>
      </c>
      <c r="D444">
        <v>603</v>
      </c>
      <c r="E444" t="s">
        <v>10</v>
      </c>
      <c r="F444">
        <v>3454102</v>
      </c>
      <c r="G444" s="1">
        <v>11</v>
      </c>
      <c r="H444" s="2">
        <v>16028</v>
      </c>
      <c r="I444" t="str">
        <f>VLOOKUP(Tabela2[[#This Row],[PAIS]],'[1]nome do paixs'!$A:$B,2,0)</f>
        <v>Polônia</v>
      </c>
      <c r="J444" t="s">
        <v>11</v>
      </c>
    </row>
    <row r="445" spans="1:10">
      <c r="A445">
        <v>2024</v>
      </c>
      <c r="B445">
        <v>11</v>
      </c>
      <c r="C445">
        <v>8807</v>
      </c>
      <c r="D445">
        <v>249</v>
      </c>
      <c r="E445" t="s">
        <v>10</v>
      </c>
      <c r="F445">
        <v>3454102</v>
      </c>
      <c r="G445" s="1">
        <v>588</v>
      </c>
      <c r="H445" s="2">
        <v>488991</v>
      </c>
      <c r="I445" t="str">
        <f>VLOOKUP(Tabela2[[#This Row],[PAIS]],'[1]nome do paixs'!$A:$B,2,0)</f>
        <v>Estados Unidos</v>
      </c>
      <c r="J445" t="s">
        <v>11</v>
      </c>
    </row>
    <row r="446" spans="1:10">
      <c r="A446">
        <v>2024</v>
      </c>
      <c r="B446">
        <v>8</v>
      </c>
      <c r="C446">
        <v>8807</v>
      </c>
      <c r="D446">
        <v>160</v>
      </c>
      <c r="E446" t="s">
        <v>10</v>
      </c>
      <c r="F446">
        <v>3454102</v>
      </c>
      <c r="G446" s="1">
        <v>0</v>
      </c>
      <c r="H446" s="2">
        <v>280</v>
      </c>
      <c r="I446" t="str">
        <f>VLOOKUP(Tabela2[[#This Row],[PAIS]],'[1]nome do paixs'!$A:$B,2,0)</f>
        <v>China</v>
      </c>
      <c r="J446" t="s">
        <v>11</v>
      </c>
    </row>
    <row r="447" spans="1:10">
      <c r="A447">
        <v>2024</v>
      </c>
      <c r="B447">
        <v>9</v>
      </c>
      <c r="C447">
        <v>8807</v>
      </c>
      <c r="D447">
        <v>355</v>
      </c>
      <c r="E447" t="s">
        <v>10</v>
      </c>
      <c r="F447">
        <v>3454102</v>
      </c>
      <c r="G447" s="1">
        <v>205</v>
      </c>
      <c r="H447" s="2">
        <v>160906</v>
      </c>
      <c r="I447" t="str">
        <f>VLOOKUP(Tabela2[[#This Row],[PAIS]],'[1]nome do paixs'!$A:$B,2,0)</f>
        <v>Hungria</v>
      </c>
      <c r="J447" t="s">
        <v>11</v>
      </c>
    </row>
    <row r="448" spans="1:10">
      <c r="A448">
        <v>2024</v>
      </c>
      <c r="B448">
        <v>12</v>
      </c>
      <c r="C448">
        <v>8807</v>
      </c>
      <c r="D448">
        <v>69</v>
      </c>
      <c r="E448" t="s">
        <v>10</v>
      </c>
      <c r="F448">
        <v>3454102</v>
      </c>
      <c r="G448" s="1">
        <v>0</v>
      </c>
      <c r="H448" s="2">
        <v>2767</v>
      </c>
      <c r="I448" t="str">
        <f>VLOOKUP(Tabela2[[#This Row],[PAIS]],'[1]nome do paixs'!$A:$B,2,0)</f>
        <v>Austrália</v>
      </c>
      <c r="J448" t="s">
        <v>11</v>
      </c>
    </row>
    <row r="449" spans="1:10">
      <c r="A449">
        <v>2024</v>
      </c>
      <c r="B449">
        <v>2</v>
      </c>
      <c r="C449">
        <v>8807</v>
      </c>
      <c r="D449">
        <v>493</v>
      </c>
      <c r="E449" t="s">
        <v>10</v>
      </c>
      <c r="F449">
        <v>3454102</v>
      </c>
      <c r="G449" s="1">
        <v>8</v>
      </c>
      <c r="H449" s="2">
        <v>16116</v>
      </c>
      <c r="I449" t="str">
        <f>VLOOKUP(Tabela2[[#This Row],[PAIS]],'[1]nome do paixs'!$A:$B,2,0)</f>
        <v>México</v>
      </c>
      <c r="J449" t="s">
        <v>11</v>
      </c>
    </row>
    <row r="450" spans="1:10">
      <c r="A450">
        <v>2024</v>
      </c>
      <c r="B450">
        <v>8</v>
      </c>
      <c r="C450">
        <v>8807</v>
      </c>
      <c r="D450">
        <v>603</v>
      </c>
      <c r="E450" t="s">
        <v>10</v>
      </c>
      <c r="F450">
        <v>3454102</v>
      </c>
      <c r="G450" s="1">
        <v>0</v>
      </c>
      <c r="H450" s="2">
        <v>661</v>
      </c>
      <c r="I450" t="str">
        <f>VLOOKUP(Tabela2[[#This Row],[PAIS]],'[1]nome do paixs'!$A:$B,2,0)</f>
        <v>Polônia</v>
      </c>
      <c r="J450" t="s">
        <v>11</v>
      </c>
    </row>
    <row r="451" spans="1:10">
      <c r="A451">
        <v>2024</v>
      </c>
      <c r="B451">
        <v>3</v>
      </c>
      <c r="C451">
        <v>8807</v>
      </c>
      <c r="D451">
        <v>275</v>
      </c>
      <c r="E451" t="s">
        <v>10</v>
      </c>
      <c r="F451">
        <v>3454102</v>
      </c>
      <c r="G451" s="1">
        <v>712</v>
      </c>
      <c r="H451" s="2">
        <v>344488</v>
      </c>
      <c r="I451" t="str">
        <f>VLOOKUP(Tabela2[[#This Row],[PAIS]],'[1]nome do paixs'!$A:$B,2,0)</f>
        <v>França</v>
      </c>
      <c r="J451" t="s">
        <v>11</v>
      </c>
    </row>
    <row r="452" spans="1:10">
      <c r="A452">
        <v>2024</v>
      </c>
      <c r="B452">
        <v>9</v>
      </c>
      <c r="C452">
        <v>8807</v>
      </c>
      <c r="D452">
        <v>442</v>
      </c>
      <c r="E452" t="s">
        <v>10</v>
      </c>
      <c r="F452">
        <v>3454102</v>
      </c>
      <c r="G452" s="1">
        <v>0</v>
      </c>
      <c r="H452" s="2">
        <v>911</v>
      </c>
      <c r="I452" t="str">
        <f>VLOOKUP(Tabela2[[#This Row],[PAIS]],'[1]nome do paixs'!$A:$B,2,0)</f>
        <v>Lituânia</v>
      </c>
      <c r="J452" t="s">
        <v>11</v>
      </c>
    </row>
    <row r="453" spans="1:10">
      <c r="A453">
        <v>2024</v>
      </c>
      <c r="B453">
        <v>9</v>
      </c>
      <c r="C453">
        <v>8807</v>
      </c>
      <c r="D453">
        <v>249</v>
      </c>
      <c r="E453" t="s">
        <v>10</v>
      </c>
      <c r="F453">
        <v>3454102</v>
      </c>
      <c r="G453" s="1">
        <v>635</v>
      </c>
      <c r="H453" s="2">
        <v>397110</v>
      </c>
      <c r="I453" t="str">
        <f>VLOOKUP(Tabela2[[#This Row],[PAIS]],'[1]nome do paixs'!$A:$B,2,0)</f>
        <v>Estados Unidos</v>
      </c>
      <c r="J453" t="s">
        <v>11</v>
      </c>
    </row>
    <row r="454" spans="1:10">
      <c r="A454">
        <v>2024</v>
      </c>
      <c r="B454">
        <v>2</v>
      </c>
      <c r="C454">
        <v>8807</v>
      </c>
      <c r="D454">
        <v>741</v>
      </c>
      <c r="E454" t="s">
        <v>10</v>
      </c>
      <c r="F454">
        <v>3454102</v>
      </c>
      <c r="G454" s="1">
        <v>3</v>
      </c>
      <c r="H454" s="2">
        <v>8234</v>
      </c>
      <c r="I454" t="str">
        <f>VLOOKUP(Tabela2[[#This Row],[PAIS]],'[1]nome do paixs'!$A:$B,2,0)</f>
        <v>Singapura</v>
      </c>
      <c r="J454" t="s">
        <v>11</v>
      </c>
    </row>
    <row r="455" spans="1:10">
      <c r="A455">
        <v>2024</v>
      </c>
      <c r="B455">
        <v>8</v>
      </c>
      <c r="C455">
        <v>8807</v>
      </c>
      <c r="D455">
        <v>149</v>
      </c>
      <c r="E455" t="s">
        <v>10</v>
      </c>
      <c r="F455">
        <v>3454102</v>
      </c>
      <c r="G455" s="1">
        <v>5</v>
      </c>
      <c r="H455" s="2">
        <v>5689</v>
      </c>
      <c r="I455" t="str">
        <f>VLOOKUP(Tabela2[[#This Row],[PAIS]],'[1]nome do paixs'!$A:$B,2,0)</f>
        <v>Canadá</v>
      </c>
      <c r="J455" t="s">
        <v>11</v>
      </c>
    </row>
    <row r="456" spans="1:10">
      <c r="A456">
        <v>2024</v>
      </c>
      <c r="B456">
        <v>4</v>
      </c>
      <c r="C456">
        <v>8807</v>
      </c>
      <c r="D456">
        <v>399</v>
      </c>
      <c r="E456" t="s">
        <v>10</v>
      </c>
      <c r="F456">
        <v>3454102</v>
      </c>
      <c r="G456" s="1">
        <v>4</v>
      </c>
      <c r="H456" s="2">
        <v>13683</v>
      </c>
      <c r="I456" t="str">
        <f>VLOOKUP(Tabela2[[#This Row],[PAIS]],'[1]nome do paixs'!$A:$B,2,0)</f>
        <v>Japão</v>
      </c>
      <c r="J456" t="s">
        <v>11</v>
      </c>
    </row>
    <row r="457" spans="1:10">
      <c r="A457">
        <v>2024</v>
      </c>
      <c r="B457">
        <v>1</v>
      </c>
      <c r="C457">
        <v>8807</v>
      </c>
      <c r="D457">
        <v>158</v>
      </c>
      <c r="E457" t="s">
        <v>10</v>
      </c>
      <c r="F457">
        <v>3454102</v>
      </c>
      <c r="G457" s="1">
        <v>1</v>
      </c>
      <c r="H457" s="2">
        <v>5304</v>
      </c>
      <c r="I457" t="str">
        <f>VLOOKUP(Tabela2[[#This Row],[PAIS]],'[1]nome do paixs'!$A:$B,2,0)</f>
        <v>Chile</v>
      </c>
      <c r="J457" t="s">
        <v>11</v>
      </c>
    </row>
    <row r="458" spans="1:10">
      <c r="A458">
        <v>2024</v>
      </c>
      <c r="B458">
        <v>7</v>
      </c>
      <c r="C458">
        <v>8807</v>
      </c>
      <c r="D458">
        <v>603</v>
      </c>
      <c r="E458" t="s">
        <v>10</v>
      </c>
      <c r="F458">
        <v>3454102</v>
      </c>
      <c r="G458" s="1">
        <v>2</v>
      </c>
      <c r="H458" s="2">
        <v>5836</v>
      </c>
      <c r="I458" t="str">
        <f>VLOOKUP(Tabela2[[#This Row],[PAIS]],'[1]nome do paixs'!$A:$B,2,0)</f>
        <v>Polônia</v>
      </c>
      <c r="J458" t="s">
        <v>11</v>
      </c>
    </row>
    <row r="459" spans="1:10">
      <c r="A459">
        <v>2024</v>
      </c>
      <c r="B459">
        <v>8</v>
      </c>
      <c r="C459">
        <v>8807</v>
      </c>
      <c r="D459">
        <v>493</v>
      </c>
      <c r="E459" t="s">
        <v>10</v>
      </c>
      <c r="F459">
        <v>3454102</v>
      </c>
      <c r="G459" s="1">
        <v>6</v>
      </c>
      <c r="H459" s="2">
        <v>5405</v>
      </c>
      <c r="I459" t="str">
        <f>VLOOKUP(Tabela2[[#This Row],[PAIS]],'[1]nome do paixs'!$A:$B,2,0)</f>
        <v>México</v>
      </c>
      <c r="J459" t="s">
        <v>11</v>
      </c>
    </row>
    <row r="460" spans="1:10">
      <c r="A460">
        <v>2024</v>
      </c>
      <c r="B460">
        <v>8</v>
      </c>
      <c r="C460">
        <v>8807</v>
      </c>
      <c r="D460">
        <v>607</v>
      </c>
      <c r="E460" t="s">
        <v>10</v>
      </c>
      <c r="F460">
        <v>3454102</v>
      </c>
      <c r="G460" s="1">
        <v>0</v>
      </c>
      <c r="H460" s="2">
        <v>5208</v>
      </c>
      <c r="I460" t="str">
        <f>VLOOKUP(Tabela2[[#This Row],[PAIS]],'[1]nome do paixs'!$A:$B,2,0)</f>
        <v>Portugal</v>
      </c>
      <c r="J460" t="s">
        <v>11</v>
      </c>
    </row>
    <row r="461" spans="1:10">
      <c r="A461">
        <v>2024</v>
      </c>
      <c r="B461">
        <v>7</v>
      </c>
      <c r="C461">
        <v>8807</v>
      </c>
      <c r="D461">
        <v>158</v>
      </c>
      <c r="E461" t="s">
        <v>10</v>
      </c>
      <c r="F461">
        <v>3454102</v>
      </c>
      <c r="G461" s="1">
        <v>1</v>
      </c>
      <c r="H461" s="2">
        <v>22757</v>
      </c>
      <c r="I461" t="str">
        <f>VLOOKUP(Tabela2[[#This Row],[PAIS]],'[1]nome do paixs'!$A:$B,2,0)</f>
        <v>Chile</v>
      </c>
      <c r="J461" t="s">
        <v>11</v>
      </c>
    </row>
    <row r="462" spans="1:10">
      <c r="A462">
        <v>2024</v>
      </c>
      <c r="B462">
        <v>7</v>
      </c>
      <c r="C462">
        <v>8807</v>
      </c>
      <c r="D462">
        <v>87</v>
      </c>
      <c r="E462" t="s">
        <v>10</v>
      </c>
      <c r="F462">
        <v>3454102</v>
      </c>
      <c r="G462" s="1">
        <v>21</v>
      </c>
      <c r="H462" s="2">
        <v>48363</v>
      </c>
      <c r="I462" t="str">
        <f>VLOOKUP(Tabela2[[#This Row],[PAIS]],'[1]nome do paixs'!$A:$B,2,0)</f>
        <v>Bélgica</v>
      </c>
      <c r="J462" t="s">
        <v>11</v>
      </c>
    </row>
    <row r="463" spans="1:10">
      <c r="A463">
        <v>2024</v>
      </c>
      <c r="B463">
        <v>10</v>
      </c>
      <c r="C463">
        <v>8807</v>
      </c>
      <c r="D463">
        <v>160</v>
      </c>
      <c r="E463" t="s">
        <v>10</v>
      </c>
      <c r="F463">
        <v>3454102</v>
      </c>
      <c r="G463" s="1">
        <v>3</v>
      </c>
      <c r="H463" s="2">
        <v>3327</v>
      </c>
      <c r="I463" t="str">
        <f>VLOOKUP(Tabela2[[#This Row],[PAIS]],'[1]nome do paixs'!$A:$B,2,0)</f>
        <v>China</v>
      </c>
      <c r="J463" t="s">
        <v>11</v>
      </c>
    </row>
    <row r="464" spans="1:10">
      <c r="A464">
        <v>2024</v>
      </c>
      <c r="B464">
        <v>11</v>
      </c>
      <c r="C464">
        <v>8807</v>
      </c>
      <c r="D464">
        <v>603</v>
      </c>
      <c r="E464" t="s">
        <v>10</v>
      </c>
      <c r="F464">
        <v>3454102</v>
      </c>
      <c r="G464" s="1">
        <v>22</v>
      </c>
      <c r="H464" s="2">
        <v>34778</v>
      </c>
      <c r="I464" t="str">
        <f>VLOOKUP(Tabela2[[#This Row],[PAIS]],'[1]nome do paixs'!$A:$B,2,0)</f>
        <v>Polônia</v>
      </c>
      <c r="J464" t="s">
        <v>11</v>
      </c>
    </row>
    <row r="465" spans="1:10">
      <c r="A465">
        <v>2024</v>
      </c>
      <c r="B465">
        <v>4</v>
      </c>
      <c r="C465">
        <v>8807</v>
      </c>
      <c r="D465">
        <v>493</v>
      </c>
      <c r="E465" t="s">
        <v>10</v>
      </c>
      <c r="F465">
        <v>3454102</v>
      </c>
      <c r="G465" s="1">
        <v>1</v>
      </c>
      <c r="H465" s="2">
        <v>5176</v>
      </c>
      <c r="I465" t="str">
        <f>VLOOKUP(Tabela2[[#This Row],[PAIS]],'[1]nome do paixs'!$A:$B,2,0)</f>
        <v>México</v>
      </c>
      <c r="J465" t="s">
        <v>11</v>
      </c>
    </row>
    <row r="466" spans="1:10">
      <c r="A466">
        <v>2024</v>
      </c>
      <c r="B466">
        <v>8</v>
      </c>
      <c r="C466">
        <v>8807</v>
      </c>
      <c r="D466">
        <v>442</v>
      </c>
      <c r="E466" t="s">
        <v>10</v>
      </c>
      <c r="F466">
        <v>3454102</v>
      </c>
      <c r="G466" s="1">
        <v>0</v>
      </c>
      <c r="H466" s="2">
        <v>4165</v>
      </c>
      <c r="I466" t="str">
        <f>VLOOKUP(Tabela2[[#This Row],[PAIS]],'[1]nome do paixs'!$A:$B,2,0)</f>
        <v>Lituânia</v>
      </c>
      <c r="J466" t="s">
        <v>11</v>
      </c>
    </row>
    <row r="467" spans="1:10">
      <c r="A467">
        <v>2024</v>
      </c>
      <c r="B467">
        <v>12</v>
      </c>
      <c r="C467">
        <v>8807</v>
      </c>
      <c r="D467">
        <v>160</v>
      </c>
      <c r="E467" t="s">
        <v>10</v>
      </c>
      <c r="F467">
        <v>3454102</v>
      </c>
      <c r="G467" s="1">
        <v>7</v>
      </c>
      <c r="H467" s="2">
        <v>2662</v>
      </c>
      <c r="I467" t="str">
        <f>VLOOKUP(Tabela2[[#This Row],[PAIS]],'[1]nome do paixs'!$A:$B,2,0)</f>
        <v>China</v>
      </c>
      <c r="J467" t="s">
        <v>11</v>
      </c>
    </row>
    <row r="468" spans="1:10">
      <c r="A468">
        <v>2024</v>
      </c>
      <c r="B468">
        <v>11</v>
      </c>
      <c r="C468">
        <v>8807</v>
      </c>
      <c r="D468">
        <v>271</v>
      </c>
      <c r="E468" t="s">
        <v>10</v>
      </c>
      <c r="F468">
        <v>3454102</v>
      </c>
      <c r="G468" s="1">
        <v>0</v>
      </c>
      <c r="H468" s="2">
        <v>87</v>
      </c>
      <c r="I468" t="str">
        <f>VLOOKUP(Tabela2[[#This Row],[PAIS]],'[1]nome do paixs'!$A:$B,2,0)</f>
        <v>Finlândia</v>
      </c>
      <c r="J468" t="s">
        <v>11</v>
      </c>
    </row>
    <row r="469" spans="1:10">
      <c r="A469">
        <v>2024</v>
      </c>
      <c r="B469">
        <v>10</v>
      </c>
      <c r="C469">
        <v>8807</v>
      </c>
      <c r="D469">
        <v>607</v>
      </c>
      <c r="E469" t="s">
        <v>10</v>
      </c>
      <c r="F469">
        <v>3454102</v>
      </c>
      <c r="G469" s="1">
        <v>0</v>
      </c>
      <c r="H469" s="2">
        <v>298</v>
      </c>
      <c r="I469" t="str">
        <f>VLOOKUP(Tabela2[[#This Row],[PAIS]],'[1]nome do paixs'!$A:$B,2,0)</f>
        <v>Portugal</v>
      </c>
      <c r="J469" t="s">
        <v>11</v>
      </c>
    </row>
    <row r="470" spans="1:10">
      <c r="A470">
        <v>2024</v>
      </c>
      <c r="B470">
        <v>5</v>
      </c>
      <c r="C470">
        <v>8807</v>
      </c>
      <c r="D470">
        <v>538</v>
      </c>
      <c r="E470" t="s">
        <v>10</v>
      </c>
      <c r="F470">
        <v>3454102</v>
      </c>
      <c r="G470" s="1">
        <v>1</v>
      </c>
      <c r="H470" s="2">
        <v>5832</v>
      </c>
      <c r="I470" t="str">
        <f>VLOOKUP(Tabela2[[#This Row],[PAIS]],'[1]nome do paixs'!$A:$B,2,0)</f>
        <v>Noruega</v>
      </c>
      <c r="J470" t="s">
        <v>11</v>
      </c>
    </row>
    <row r="471" spans="1:10">
      <c r="A471">
        <v>2024</v>
      </c>
      <c r="B471">
        <v>10</v>
      </c>
      <c r="C471">
        <v>8807</v>
      </c>
      <c r="D471">
        <v>169</v>
      </c>
      <c r="E471" t="s">
        <v>10</v>
      </c>
      <c r="F471">
        <v>3454102</v>
      </c>
      <c r="G471" s="1">
        <v>57</v>
      </c>
      <c r="H471" s="2">
        <v>360679</v>
      </c>
      <c r="I471" t="str">
        <f>VLOOKUP(Tabela2[[#This Row],[PAIS]],'[1]nome do paixs'!$A:$B,2,0)</f>
        <v>Colômbia</v>
      </c>
      <c r="J471" t="s">
        <v>11</v>
      </c>
    </row>
    <row r="472" spans="1:10">
      <c r="A472">
        <v>2024</v>
      </c>
      <c r="B472">
        <v>11</v>
      </c>
      <c r="C472">
        <v>8807</v>
      </c>
      <c r="D472">
        <v>160</v>
      </c>
      <c r="E472" t="s">
        <v>10</v>
      </c>
      <c r="F472">
        <v>3454102</v>
      </c>
      <c r="G472" s="1">
        <v>4</v>
      </c>
      <c r="H472" s="2">
        <v>4327</v>
      </c>
      <c r="I472" t="str">
        <f>VLOOKUP(Tabela2[[#This Row],[PAIS]],'[1]nome do paixs'!$A:$B,2,0)</f>
        <v>China</v>
      </c>
      <c r="J472" t="s">
        <v>11</v>
      </c>
    </row>
    <row r="473" spans="1:10">
      <c r="A473">
        <v>2024</v>
      </c>
      <c r="B473">
        <v>7</v>
      </c>
      <c r="C473">
        <v>8807</v>
      </c>
      <c r="D473">
        <v>275</v>
      </c>
      <c r="E473" t="s">
        <v>10</v>
      </c>
      <c r="F473">
        <v>3454102</v>
      </c>
      <c r="G473" s="1">
        <v>114</v>
      </c>
      <c r="H473" s="2">
        <v>92604</v>
      </c>
      <c r="I473" t="str">
        <f>VLOOKUP(Tabela2[[#This Row],[PAIS]],'[1]nome do paixs'!$A:$B,2,0)</f>
        <v>França</v>
      </c>
      <c r="J473" t="s">
        <v>11</v>
      </c>
    </row>
    <row r="474" spans="1:10">
      <c r="A474">
        <v>2024</v>
      </c>
      <c r="B474">
        <v>2</v>
      </c>
      <c r="C474">
        <v>8807</v>
      </c>
      <c r="D474">
        <v>249</v>
      </c>
      <c r="E474" t="s">
        <v>10</v>
      </c>
      <c r="F474">
        <v>3454102</v>
      </c>
      <c r="G474" s="1">
        <v>222</v>
      </c>
      <c r="H474" s="2">
        <v>192772</v>
      </c>
      <c r="I474" t="str">
        <f>VLOOKUP(Tabela2[[#This Row],[PAIS]],'[1]nome do paixs'!$A:$B,2,0)</f>
        <v>Estados Unidos</v>
      </c>
      <c r="J474" t="s">
        <v>11</v>
      </c>
    </row>
    <row r="475" spans="1:10">
      <c r="A475">
        <v>2024</v>
      </c>
      <c r="B475">
        <v>4</v>
      </c>
      <c r="C475">
        <v>8807</v>
      </c>
      <c r="D475">
        <v>196</v>
      </c>
      <c r="E475" t="s">
        <v>10</v>
      </c>
      <c r="F475">
        <v>3454102</v>
      </c>
      <c r="G475" s="1">
        <v>1</v>
      </c>
      <c r="H475" s="2">
        <v>551</v>
      </c>
      <c r="I475" t="str">
        <f>VLOOKUP(Tabela2[[#This Row],[PAIS]],'[1]nome do paixs'!$A:$B,2,0)</f>
        <v>Costa Rica</v>
      </c>
      <c r="J475" t="s">
        <v>11</v>
      </c>
    </row>
    <row r="476" spans="1:10">
      <c r="A476">
        <v>2024</v>
      </c>
      <c r="B476">
        <v>5</v>
      </c>
      <c r="C476">
        <v>8807</v>
      </c>
      <c r="D476">
        <v>628</v>
      </c>
      <c r="E476" t="s">
        <v>10</v>
      </c>
      <c r="F476">
        <v>3454102</v>
      </c>
      <c r="G476" s="1">
        <v>1</v>
      </c>
      <c r="H476" s="2">
        <v>712</v>
      </c>
      <c r="I476" t="str">
        <f>VLOOKUP(Tabela2[[#This Row],[PAIS]],'[1]nome do paixs'!$A:$B,2,0)</f>
        <v>Reino Unido</v>
      </c>
      <c r="J476" t="s">
        <v>11</v>
      </c>
    </row>
    <row r="477" spans="1:10">
      <c r="A477">
        <v>2024</v>
      </c>
      <c r="B477">
        <v>12</v>
      </c>
      <c r="C477">
        <v>8807</v>
      </c>
      <c r="D477">
        <v>756</v>
      </c>
      <c r="E477" t="s">
        <v>10</v>
      </c>
      <c r="F477">
        <v>3454102</v>
      </c>
      <c r="G477" s="1">
        <v>2</v>
      </c>
      <c r="H477" s="2">
        <v>4364</v>
      </c>
      <c r="I477" t="str">
        <f>VLOOKUP(Tabela2[[#This Row],[PAIS]],'[1]nome do paixs'!$A:$B,2,0)</f>
        <v>África do Sul</v>
      </c>
      <c r="J477" t="s">
        <v>11</v>
      </c>
    </row>
    <row r="478" spans="1:10">
      <c r="A478">
        <v>2024</v>
      </c>
      <c r="B478">
        <v>3</v>
      </c>
      <c r="C478">
        <v>8807</v>
      </c>
      <c r="D478">
        <v>355</v>
      </c>
      <c r="E478" t="s">
        <v>10</v>
      </c>
      <c r="F478">
        <v>3454102</v>
      </c>
      <c r="G478" s="1">
        <v>1</v>
      </c>
      <c r="H478" s="2">
        <v>794</v>
      </c>
      <c r="I478" t="str">
        <f>VLOOKUP(Tabela2[[#This Row],[PAIS]],'[1]nome do paixs'!$A:$B,2,0)</f>
        <v>Hungria</v>
      </c>
      <c r="J478" t="s">
        <v>11</v>
      </c>
    </row>
    <row r="479" spans="1:10">
      <c r="A479">
        <v>2024</v>
      </c>
      <c r="B479">
        <v>3</v>
      </c>
      <c r="C479">
        <v>8807</v>
      </c>
      <c r="D479">
        <v>607</v>
      </c>
      <c r="E479" t="s">
        <v>10</v>
      </c>
      <c r="F479">
        <v>3454102</v>
      </c>
      <c r="G479" s="1">
        <v>13</v>
      </c>
      <c r="H479" s="2">
        <v>10943</v>
      </c>
      <c r="I479" t="str">
        <f>VLOOKUP(Tabela2[[#This Row],[PAIS]],'[1]nome do paixs'!$A:$B,2,0)</f>
        <v>Portugal</v>
      </c>
      <c r="J479" t="s">
        <v>11</v>
      </c>
    </row>
    <row r="480" spans="1:10">
      <c r="A480">
        <v>2024</v>
      </c>
      <c r="B480">
        <v>12</v>
      </c>
      <c r="C480">
        <v>8807</v>
      </c>
      <c r="D480">
        <v>275</v>
      </c>
      <c r="E480" t="s">
        <v>10</v>
      </c>
      <c r="F480">
        <v>3454102</v>
      </c>
      <c r="G480" s="1">
        <v>290</v>
      </c>
      <c r="H480" s="2">
        <v>396675</v>
      </c>
      <c r="I480" t="str">
        <f>VLOOKUP(Tabela2[[#This Row],[PAIS]],'[1]nome do paixs'!$A:$B,2,0)</f>
        <v>França</v>
      </c>
      <c r="J480" t="s">
        <v>11</v>
      </c>
    </row>
    <row r="481" spans="1:10">
      <c r="A481">
        <v>2024</v>
      </c>
      <c r="B481">
        <v>6</v>
      </c>
      <c r="C481">
        <v>8807</v>
      </c>
      <c r="D481">
        <v>538</v>
      </c>
      <c r="E481" t="s">
        <v>10</v>
      </c>
      <c r="F481">
        <v>3454102</v>
      </c>
      <c r="G481" s="1">
        <v>20</v>
      </c>
      <c r="H481" s="2">
        <v>69600</v>
      </c>
      <c r="I481" t="str">
        <f>VLOOKUP(Tabela2[[#This Row],[PAIS]],'[1]nome do paixs'!$A:$B,2,0)</f>
        <v>Noruega</v>
      </c>
      <c r="J481" t="s">
        <v>11</v>
      </c>
    </row>
    <row r="482" spans="1:10">
      <c r="A482">
        <v>2024</v>
      </c>
      <c r="B482">
        <v>12</v>
      </c>
      <c r="C482">
        <v>8807</v>
      </c>
      <c r="D482">
        <v>249</v>
      </c>
      <c r="E482" t="s">
        <v>10</v>
      </c>
      <c r="F482">
        <v>3454102</v>
      </c>
      <c r="G482" s="1">
        <v>343</v>
      </c>
      <c r="H482" s="2">
        <v>422019</v>
      </c>
      <c r="I482" t="str">
        <f>VLOOKUP(Tabela2[[#This Row],[PAIS]],'[1]nome do paixs'!$A:$B,2,0)</f>
        <v>Estados Unidos</v>
      </c>
      <c r="J482" t="s">
        <v>11</v>
      </c>
    </row>
    <row r="483" spans="1:10">
      <c r="A483">
        <v>2024</v>
      </c>
      <c r="B483">
        <v>8</v>
      </c>
      <c r="C483">
        <v>8807</v>
      </c>
      <c r="D483">
        <v>196</v>
      </c>
      <c r="E483" t="s">
        <v>10</v>
      </c>
      <c r="F483">
        <v>3454102</v>
      </c>
      <c r="G483" s="1">
        <v>1</v>
      </c>
      <c r="H483" s="2">
        <v>460</v>
      </c>
      <c r="I483" t="str">
        <f>VLOOKUP(Tabela2[[#This Row],[PAIS]],'[1]nome do paixs'!$A:$B,2,0)</f>
        <v>Costa Rica</v>
      </c>
      <c r="J483" t="s">
        <v>11</v>
      </c>
    </row>
    <row r="484" spans="1:10">
      <c r="A484">
        <v>2024</v>
      </c>
      <c r="B484">
        <v>10</v>
      </c>
      <c r="C484">
        <v>8807</v>
      </c>
      <c r="D484">
        <v>603</v>
      </c>
      <c r="E484" t="s">
        <v>10</v>
      </c>
      <c r="F484">
        <v>3454102</v>
      </c>
      <c r="G484" s="1">
        <v>6</v>
      </c>
      <c r="H484" s="2">
        <v>26691</v>
      </c>
      <c r="I484" t="str">
        <f>VLOOKUP(Tabela2[[#This Row],[PAIS]],'[1]nome do paixs'!$A:$B,2,0)</f>
        <v>Polônia</v>
      </c>
      <c r="J484" t="s">
        <v>11</v>
      </c>
    </row>
    <row r="485" spans="1:10">
      <c r="A485">
        <v>2024</v>
      </c>
      <c r="B485">
        <v>10</v>
      </c>
      <c r="C485">
        <v>8807</v>
      </c>
      <c r="D485">
        <v>756</v>
      </c>
      <c r="E485" t="s">
        <v>10</v>
      </c>
      <c r="F485">
        <v>3454102</v>
      </c>
      <c r="G485" s="1">
        <v>1</v>
      </c>
      <c r="H485" s="2">
        <v>691</v>
      </c>
      <c r="I485" t="str">
        <f>VLOOKUP(Tabela2[[#This Row],[PAIS]],'[1]nome do paixs'!$A:$B,2,0)</f>
        <v>África do Sul</v>
      </c>
      <c r="J485" t="s">
        <v>11</v>
      </c>
    </row>
    <row r="486" spans="1:10">
      <c r="A486">
        <v>2024</v>
      </c>
      <c r="B486">
        <v>5</v>
      </c>
      <c r="C486">
        <v>8807</v>
      </c>
      <c r="D486">
        <v>275</v>
      </c>
      <c r="E486" t="s">
        <v>10</v>
      </c>
      <c r="F486">
        <v>3454102</v>
      </c>
      <c r="G486" s="1">
        <v>207</v>
      </c>
      <c r="H486" s="2">
        <v>219384</v>
      </c>
      <c r="I486" t="str">
        <f>VLOOKUP(Tabela2[[#This Row],[PAIS]],'[1]nome do paixs'!$A:$B,2,0)</f>
        <v>França</v>
      </c>
      <c r="J486" t="s">
        <v>11</v>
      </c>
    </row>
    <row r="487" spans="1:10">
      <c r="A487">
        <v>2024</v>
      </c>
      <c r="B487">
        <v>4</v>
      </c>
      <c r="C487">
        <v>8807</v>
      </c>
      <c r="D487">
        <v>169</v>
      </c>
      <c r="E487" t="s">
        <v>10</v>
      </c>
      <c r="F487">
        <v>3454102</v>
      </c>
      <c r="G487" s="1">
        <v>3</v>
      </c>
      <c r="H487" s="2">
        <v>6526</v>
      </c>
      <c r="I487" t="str">
        <f>VLOOKUP(Tabela2[[#This Row],[PAIS]],'[1]nome do paixs'!$A:$B,2,0)</f>
        <v>Colômbia</v>
      </c>
      <c r="J487" t="s">
        <v>11</v>
      </c>
    </row>
    <row r="488" spans="1:10">
      <c r="A488">
        <v>2024</v>
      </c>
      <c r="B488">
        <v>4</v>
      </c>
      <c r="C488">
        <v>8807</v>
      </c>
      <c r="D488">
        <v>603</v>
      </c>
      <c r="E488" t="s">
        <v>10</v>
      </c>
      <c r="F488">
        <v>3454102</v>
      </c>
      <c r="G488" s="1">
        <v>3</v>
      </c>
      <c r="H488" s="2">
        <v>6067</v>
      </c>
      <c r="I488" t="str">
        <f>VLOOKUP(Tabela2[[#This Row],[PAIS]],'[1]nome do paixs'!$A:$B,2,0)</f>
        <v>Polônia</v>
      </c>
      <c r="J488" t="s">
        <v>11</v>
      </c>
    </row>
    <row r="489" spans="1:10">
      <c r="A489">
        <v>2024</v>
      </c>
      <c r="B489">
        <v>5</v>
      </c>
      <c r="C489">
        <v>8807</v>
      </c>
      <c r="D489">
        <v>603</v>
      </c>
      <c r="E489" t="s">
        <v>10</v>
      </c>
      <c r="F489">
        <v>3454102</v>
      </c>
      <c r="G489" s="1">
        <v>4</v>
      </c>
      <c r="H489" s="2">
        <v>7038</v>
      </c>
      <c r="I489" t="str">
        <f>VLOOKUP(Tabela2[[#This Row],[PAIS]],'[1]nome do paixs'!$A:$B,2,0)</f>
        <v>Polônia</v>
      </c>
      <c r="J489" t="s">
        <v>11</v>
      </c>
    </row>
    <row r="490" spans="1:10">
      <c r="A490">
        <v>2024</v>
      </c>
      <c r="B490">
        <v>9</v>
      </c>
      <c r="C490">
        <v>8807</v>
      </c>
      <c r="D490">
        <v>158</v>
      </c>
      <c r="E490" t="s">
        <v>10</v>
      </c>
      <c r="F490">
        <v>3454102</v>
      </c>
      <c r="G490" s="1">
        <v>34</v>
      </c>
      <c r="H490" s="2">
        <v>77698</v>
      </c>
      <c r="I490" t="str">
        <f>VLOOKUP(Tabela2[[#This Row],[PAIS]],'[1]nome do paixs'!$A:$B,2,0)</f>
        <v>Chile</v>
      </c>
      <c r="J490" t="s">
        <v>11</v>
      </c>
    </row>
    <row r="491" spans="1:10">
      <c r="A491">
        <v>2024</v>
      </c>
      <c r="B491">
        <v>3</v>
      </c>
      <c r="C491">
        <v>8807</v>
      </c>
      <c r="D491">
        <v>386</v>
      </c>
      <c r="E491" t="s">
        <v>10</v>
      </c>
      <c r="F491">
        <v>3454102</v>
      </c>
      <c r="G491" s="1">
        <v>2</v>
      </c>
      <c r="H491" s="2">
        <v>3733</v>
      </c>
      <c r="I491" t="str">
        <f>VLOOKUP(Tabela2[[#This Row],[PAIS]],'[1]nome do paixs'!$A:$B,2,0)</f>
        <v>Itália</v>
      </c>
      <c r="J491" t="s">
        <v>11</v>
      </c>
    </row>
    <row r="492" spans="1:10">
      <c r="A492">
        <v>2024</v>
      </c>
      <c r="B492">
        <v>5</v>
      </c>
      <c r="C492">
        <v>8807</v>
      </c>
      <c r="D492">
        <v>756</v>
      </c>
      <c r="E492" t="s">
        <v>10</v>
      </c>
      <c r="F492">
        <v>3454102</v>
      </c>
      <c r="G492" s="1">
        <v>0</v>
      </c>
      <c r="H492" s="2">
        <v>269</v>
      </c>
      <c r="I492" t="str">
        <f>VLOOKUP(Tabela2[[#This Row],[PAIS]],'[1]nome do paixs'!$A:$B,2,0)</f>
        <v>África do Sul</v>
      </c>
      <c r="J492" t="s">
        <v>11</v>
      </c>
    </row>
    <row r="493" spans="1:10">
      <c r="A493">
        <v>2024</v>
      </c>
      <c r="B493">
        <v>3</v>
      </c>
      <c r="C493">
        <v>8807</v>
      </c>
      <c r="D493">
        <v>628</v>
      </c>
      <c r="E493" t="s">
        <v>10</v>
      </c>
      <c r="F493">
        <v>3454102</v>
      </c>
      <c r="G493" s="1">
        <v>1</v>
      </c>
      <c r="H493" s="2">
        <v>2134</v>
      </c>
      <c r="I493" t="str">
        <f>VLOOKUP(Tabela2[[#This Row],[PAIS]],'[1]nome do paixs'!$A:$B,2,0)</f>
        <v>Reino Unido</v>
      </c>
      <c r="J493" t="s">
        <v>11</v>
      </c>
    </row>
    <row r="494" spans="1:10">
      <c r="A494">
        <v>2024</v>
      </c>
      <c r="B494">
        <v>1</v>
      </c>
      <c r="C494">
        <v>8807</v>
      </c>
      <c r="D494">
        <v>246</v>
      </c>
      <c r="E494" t="s">
        <v>10</v>
      </c>
      <c r="F494">
        <v>3454102</v>
      </c>
      <c r="G494" s="1">
        <v>0</v>
      </c>
      <c r="H494" s="2">
        <v>369</v>
      </c>
      <c r="I494" t="str">
        <f>VLOOKUP(Tabela2[[#This Row],[PAIS]],'[1]nome do paixs'!$A:$B,2,0)</f>
        <v>Eslovênia</v>
      </c>
      <c r="J494" t="s">
        <v>11</v>
      </c>
    </row>
    <row r="495" spans="1:10">
      <c r="A495">
        <v>2024</v>
      </c>
      <c r="B495">
        <v>11</v>
      </c>
      <c r="C495">
        <v>8807</v>
      </c>
      <c r="D495">
        <v>87</v>
      </c>
      <c r="E495" t="s">
        <v>10</v>
      </c>
      <c r="F495">
        <v>3454102</v>
      </c>
      <c r="G495" s="1">
        <v>2</v>
      </c>
      <c r="H495" s="2">
        <v>3058</v>
      </c>
      <c r="I495" t="str">
        <f>VLOOKUP(Tabela2[[#This Row],[PAIS]],'[1]nome do paixs'!$A:$B,2,0)</f>
        <v>Bélgica</v>
      </c>
      <c r="J495" t="s">
        <v>11</v>
      </c>
    </row>
    <row r="496" spans="1:10">
      <c r="A496">
        <v>2024</v>
      </c>
      <c r="B496">
        <v>1</v>
      </c>
      <c r="C496">
        <v>8807</v>
      </c>
      <c r="D496">
        <v>603</v>
      </c>
      <c r="E496" t="s">
        <v>10</v>
      </c>
      <c r="F496">
        <v>3454102</v>
      </c>
      <c r="G496" s="1">
        <v>5</v>
      </c>
      <c r="H496" s="2">
        <v>2293</v>
      </c>
      <c r="I496" t="str">
        <f>VLOOKUP(Tabela2[[#This Row],[PAIS]],'[1]nome do paixs'!$A:$B,2,0)</f>
        <v>Polônia</v>
      </c>
      <c r="J496" t="s">
        <v>11</v>
      </c>
    </row>
    <row r="497" spans="1:10">
      <c r="A497">
        <v>2024</v>
      </c>
      <c r="B497">
        <v>9</v>
      </c>
      <c r="C497">
        <v>8807</v>
      </c>
      <c r="D497">
        <v>741</v>
      </c>
      <c r="E497" t="s">
        <v>10</v>
      </c>
      <c r="F497">
        <v>3454102</v>
      </c>
      <c r="G497" s="1">
        <v>2</v>
      </c>
      <c r="H497" s="2">
        <v>5335</v>
      </c>
      <c r="I497" t="str">
        <f>VLOOKUP(Tabela2[[#This Row],[PAIS]],'[1]nome do paixs'!$A:$B,2,0)</f>
        <v>Singapura</v>
      </c>
      <c r="J497" t="s">
        <v>11</v>
      </c>
    </row>
    <row r="498" spans="1:10">
      <c r="A498">
        <v>2024</v>
      </c>
      <c r="B498">
        <v>2</v>
      </c>
      <c r="C498">
        <v>8807</v>
      </c>
      <c r="D498">
        <v>607</v>
      </c>
      <c r="E498" t="s">
        <v>10</v>
      </c>
      <c r="F498">
        <v>3454102</v>
      </c>
      <c r="G498" s="1">
        <v>1</v>
      </c>
      <c r="H498" s="2">
        <v>818</v>
      </c>
      <c r="I498" t="str">
        <f>VLOOKUP(Tabela2[[#This Row],[PAIS]],'[1]nome do paixs'!$A:$B,2,0)</f>
        <v>Portugal</v>
      </c>
      <c r="J498" t="s">
        <v>11</v>
      </c>
    </row>
    <row r="499" spans="1:10">
      <c r="A499">
        <v>2024</v>
      </c>
      <c r="B499">
        <v>12</v>
      </c>
      <c r="C499">
        <v>8807</v>
      </c>
      <c r="D499">
        <v>149</v>
      </c>
      <c r="E499" t="s">
        <v>10</v>
      </c>
      <c r="F499">
        <v>3454102</v>
      </c>
      <c r="G499" s="1">
        <v>3</v>
      </c>
      <c r="H499" s="2">
        <v>5731</v>
      </c>
      <c r="I499" t="str">
        <f>VLOOKUP(Tabela2[[#This Row],[PAIS]],'[1]nome do paixs'!$A:$B,2,0)</f>
        <v>Canadá</v>
      </c>
      <c r="J499" t="s">
        <v>11</v>
      </c>
    </row>
    <row r="500" spans="1:10">
      <c r="A500">
        <v>2024</v>
      </c>
      <c r="B500">
        <v>3</v>
      </c>
      <c r="C500">
        <v>8807</v>
      </c>
      <c r="D500">
        <v>493</v>
      </c>
      <c r="E500" t="s">
        <v>10</v>
      </c>
      <c r="F500">
        <v>3454102</v>
      </c>
      <c r="G500" s="1">
        <v>5</v>
      </c>
      <c r="H500" s="2">
        <v>10502</v>
      </c>
      <c r="I500" t="str">
        <f>VLOOKUP(Tabela2[[#This Row],[PAIS]],'[1]nome do paixs'!$A:$B,2,0)</f>
        <v>México</v>
      </c>
      <c r="J500" t="s">
        <v>11</v>
      </c>
    </row>
    <row r="501" spans="1:10">
      <c r="A501">
        <v>2024</v>
      </c>
      <c r="B501">
        <v>3</v>
      </c>
      <c r="C501">
        <v>8807</v>
      </c>
      <c r="D501">
        <v>623</v>
      </c>
      <c r="E501" t="s">
        <v>10</v>
      </c>
      <c r="F501">
        <v>3454102</v>
      </c>
      <c r="G501" s="1">
        <v>0</v>
      </c>
      <c r="H501" s="2">
        <v>2397</v>
      </c>
      <c r="I501" t="str">
        <f>VLOOKUP(Tabela2[[#This Row],[PAIS]],'[1]nome do paixs'!$A:$B,2,0)</f>
        <v>Quênia</v>
      </c>
      <c r="J501" t="s">
        <v>11</v>
      </c>
    </row>
    <row r="502" spans="1:10">
      <c r="A502">
        <v>2024</v>
      </c>
      <c r="B502">
        <v>2</v>
      </c>
      <c r="C502">
        <v>8807</v>
      </c>
      <c r="D502">
        <v>72</v>
      </c>
      <c r="E502" t="s">
        <v>10</v>
      </c>
      <c r="F502">
        <v>3454102</v>
      </c>
      <c r="G502" s="1">
        <v>0</v>
      </c>
      <c r="H502" s="2">
        <v>767</v>
      </c>
      <c r="I502" t="str">
        <f>VLOOKUP(Tabela2[[#This Row],[PAIS]],'[1]nome do paixs'!$A:$B,2,0)</f>
        <v>Áustria</v>
      </c>
      <c r="J502" t="s">
        <v>11</v>
      </c>
    </row>
    <row r="503" spans="1:10">
      <c r="A503">
        <v>2024</v>
      </c>
      <c r="B503">
        <v>3</v>
      </c>
      <c r="C503">
        <v>8807</v>
      </c>
      <c r="D503">
        <v>247</v>
      </c>
      <c r="E503" t="s">
        <v>10</v>
      </c>
      <c r="F503">
        <v>3454102</v>
      </c>
      <c r="G503" s="1">
        <v>0</v>
      </c>
      <c r="H503" s="2">
        <v>301</v>
      </c>
      <c r="I503" t="str">
        <f>VLOOKUP(Tabela2[[#This Row],[PAIS]],'[1]nome do paixs'!$A:$B,2,0)</f>
        <v>Eslováquia</v>
      </c>
      <c r="J503" t="s">
        <v>11</v>
      </c>
    </row>
    <row r="504" spans="1:10">
      <c r="A504">
        <v>2024</v>
      </c>
      <c r="B504">
        <v>1</v>
      </c>
      <c r="C504">
        <v>8807</v>
      </c>
      <c r="D504">
        <v>607</v>
      </c>
      <c r="E504" t="s">
        <v>10</v>
      </c>
      <c r="F504">
        <v>3454102</v>
      </c>
      <c r="G504" s="1">
        <v>3</v>
      </c>
      <c r="H504" s="2">
        <v>74322</v>
      </c>
      <c r="I504" t="str">
        <f>VLOOKUP(Tabela2[[#This Row],[PAIS]],'[1]nome do paixs'!$A:$B,2,0)</f>
        <v>Portugal</v>
      </c>
      <c r="J504" t="s">
        <v>11</v>
      </c>
    </row>
    <row r="505" spans="1:10">
      <c r="A505">
        <v>2024</v>
      </c>
      <c r="B505">
        <v>1</v>
      </c>
      <c r="C505">
        <v>8807</v>
      </c>
      <c r="D505">
        <v>275</v>
      </c>
      <c r="E505" t="s">
        <v>10</v>
      </c>
      <c r="F505">
        <v>3454102</v>
      </c>
      <c r="G505" s="1">
        <v>125</v>
      </c>
      <c r="H505" s="2">
        <v>101214</v>
      </c>
      <c r="I505" t="str">
        <f>VLOOKUP(Tabela2[[#This Row],[PAIS]],'[1]nome do paixs'!$A:$B,2,0)</f>
        <v>França</v>
      </c>
      <c r="J505" t="s">
        <v>11</v>
      </c>
    </row>
    <row r="506" spans="1:10">
      <c r="A506">
        <v>2024</v>
      </c>
      <c r="B506">
        <v>2</v>
      </c>
      <c r="C506">
        <v>8807</v>
      </c>
      <c r="D506">
        <v>386</v>
      </c>
      <c r="E506" t="s">
        <v>10</v>
      </c>
      <c r="F506">
        <v>3454102</v>
      </c>
      <c r="G506" s="1">
        <v>0</v>
      </c>
      <c r="H506" s="2">
        <v>89</v>
      </c>
      <c r="I506" t="str">
        <f>VLOOKUP(Tabela2[[#This Row],[PAIS]],'[1]nome do paixs'!$A:$B,2,0)</f>
        <v>Itália</v>
      </c>
      <c r="J506" t="s">
        <v>11</v>
      </c>
    </row>
    <row r="507" spans="1:10">
      <c r="A507">
        <v>2024</v>
      </c>
      <c r="B507">
        <v>2</v>
      </c>
      <c r="C507">
        <v>8807</v>
      </c>
      <c r="D507">
        <v>442</v>
      </c>
      <c r="E507" t="s">
        <v>10</v>
      </c>
      <c r="F507">
        <v>3454102</v>
      </c>
      <c r="G507" s="1">
        <v>4</v>
      </c>
      <c r="H507" s="2">
        <v>15679</v>
      </c>
      <c r="I507" t="str">
        <f>VLOOKUP(Tabela2[[#This Row],[PAIS]],'[1]nome do paixs'!$A:$B,2,0)</f>
        <v>Lituânia</v>
      </c>
      <c r="J507" t="s">
        <v>11</v>
      </c>
    </row>
    <row r="508" spans="1:10">
      <c r="A508">
        <v>2024</v>
      </c>
      <c r="B508">
        <v>12</v>
      </c>
      <c r="C508">
        <v>8807</v>
      </c>
      <c r="D508">
        <v>741</v>
      </c>
      <c r="E508" t="s">
        <v>10</v>
      </c>
      <c r="F508">
        <v>3454102</v>
      </c>
      <c r="G508" s="1">
        <v>31</v>
      </c>
      <c r="H508" s="2">
        <v>46347</v>
      </c>
      <c r="I508" t="str">
        <f>VLOOKUP(Tabela2[[#This Row],[PAIS]],'[1]nome do paixs'!$A:$B,2,0)</f>
        <v>Singapura</v>
      </c>
      <c r="J508" t="s">
        <v>11</v>
      </c>
    </row>
    <row r="509" spans="1:10">
      <c r="A509">
        <v>2024</v>
      </c>
      <c r="B509">
        <v>9</v>
      </c>
      <c r="C509">
        <v>8807</v>
      </c>
      <c r="D509">
        <v>160</v>
      </c>
      <c r="E509" t="s">
        <v>10</v>
      </c>
      <c r="F509">
        <v>3454102</v>
      </c>
      <c r="G509" s="1">
        <v>12</v>
      </c>
      <c r="H509" s="2">
        <v>7014</v>
      </c>
      <c r="I509" t="str">
        <f>VLOOKUP(Tabela2[[#This Row],[PAIS]],'[1]nome do paixs'!$A:$B,2,0)</f>
        <v>China</v>
      </c>
      <c r="J509" t="s">
        <v>11</v>
      </c>
    </row>
    <row r="510" spans="1:10">
      <c r="A510">
        <v>2024</v>
      </c>
      <c r="B510">
        <v>6</v>
      </c>
      <c r="C510">
        <v>8807</v>
      </c>
      <c r="D510">
        <v>275</v>
      </c>
      <c r="E510" t="s">
        <v>10</v>
      </c>
      <c r="F510">
        <v>3454102</v>
      </c>
      <c r="G510" s="1">
        <v>177</v>
      </c>
      <c r="H510" s="2">
        <v>100493</v>
      </c>
      <c r="I510" t="str">
        <f>VLOOKUP(Tabela2[[#This Row],[PAIS]],'[1]nome do paixs'!$A:$B,2,0)</f>
        <v>França</v>
      </c>
      <c r="J510" t="s">
        <v>11</v>
      </c>
    </row>
    <row r="511" spans="1:10">
      <c r="A511">
        <v>2024</v>
      </c>
      <c r="B511">
        <v>9</v>
      </c>
      <c r="C511">
        <v>8807</v>
      </c>
      <c r="D511">
        <v>245</v>
      </c>
      <c r="E511" t="s">
        <v>10</v>
      </c>
      <c r="F511">
        <v>3454102</v>
      </c>
      <c r="G511" s="1">
        <v>0</v>
      </c>
      <c r="H511" s="2">
        <v>8681</v>
      </c>
      <c r="I511" t="str">
        <f>VLOOKUP(Tabela2[[#This Row],[PAIS]],'[1]nome do paixs'!$A:$B,2,0)</f>
        <v>Espanha</v>
      </c>
      <c r="J511" t="s">
        <v>11</v>
      </c>
    </row>
    <row r="512" spans="1:10">
      <c r="A512">
        <v>2024</v>
      </c>
      <c r="B512">
        <v>6</v>
      </c>
      <c r="C512">
        <v>8807</v>
      </c>
      <c r="D512">
        <v>573</v>
      </c>
      <c r="E512" t="s">
        <v>10</v>
      </c>
      <c r="F512">
        <v>3454102</v>
      </c>
      <c r="G512" s="1">
        <v>0</v>
      </c>
      <c r="H512" s="2">
        <v>1917</v>
      </c>
      <c r="I512" t="str">
        <f>VLOOKUP(Tabela2[[#This Row],[PAIS]],'[1]nome do paixs'!$A:$B,2,0)</f>
        <v>Países Baixos (Holanda)</v>
      </c>
      <c r="J512" t="s">
        <v>11</v>
      </c>
    </row>
    <row r="513" spans="1:10">
      <c r="A513">
        <v>2024</v>
      </c>
      <c r="B513">
        <v>9</v>
      </c>
      <c r="C513">
        <v>8807</v>
      </c>
      <c r="D513">
        <v>247</v>
      </c>
      <c r="E513" t="s">
        <v>10</v>
      </c>
      <c r="F513">
        <v>3454102</v>
      </c>
      <c r="G513" s="1">
        <v>0</v>
      </c>
      <c r="H513" s="2">
        <v>113</v>
      </c>
      <c r="I513" t="str">
        <f>VLOOKUP(Tabela2[[#This Row],[PAIS]],'[1]nome do paixs'!$A:$B,2,0)</f>
        <v>Eslováquia</v>
      </c>
      <c r="J513" t="s">
        <v>11</v>
      </c>
    </row>
    <row r="514" spans="1:10">
      <c r="A514">
        <v>2024</v>
      </c>
      <c r="B514">
        <v>12</v>
      </c>
      <c r="C514">
        <v>8807</v>
      </c>
      <c r="D514">
        <v>399</v>
      </c>
      <c r="E514" t="s">
        <v>10</v>
      </c>
      <c r="F514">
        <v>3454102</v>
      </c>
      <c r="G514" s="1">
        <v>1</v>
      </c>
      <c r="H514" s="2">
        <v>1016</v>
      </c>
      <c r="I514" t="str">
        <f>VLOOKUP(Tabela2[[#This Row],[PAIS]],'[1]nome do paixs'!$A:$B,2,0)</f>
        <v>Japão</v>
      </c>
      <c r="J514" t="s">
        <v>11</v>
      </c>
    </row>
    <row r="515" spans="1:10">
      <c r="A515">
        <v>2024</v>
      </c>
      <c r="B515">
        <v>9</v>
      </c>
      <c r="C515">
        <v>8807</v>
      </c>
      <c r="D515">
        <v>756</v>
      </c>
      <c r="E515" t="s">
        <v>10</v>
      </c>
      <c r="F515">
        <v>3454102</v>
      </c>
      <c r="G515" s="1">
        <v>0</v>
      </c>
      <c r="H515" s="2">
        <v>2003</v>
      </c>
      <c r="I515" t="str">
        <f>VLOOKUP(Tabela2[[#This Row],[PAIS]],'[1]nome do paixs'!$A:$B,2,0)</f>
        <v>África do Sul</v>
      </c>
      <c r="J515" t="s">
        <v>11</v>
      </c>
    </row>
    <row r="516" spans="1:10">
      <c r="A516">
        <v>2024</v>
      </c>
      <c r="B516">
        <v>8</v>
      </c>
      <c r="C516">
        <v>8807</v>
      </c>
      <c r="D516">
        <v>249</v>
      </c>
      <c r="E516" t="s">
        <v>10</v>
      </c>
      <c r="F516">
        <v>3454102</v>
      </c>
      <c r="G516" s="1">
        <v>604</v>
      </c>
      <c r="H516" s="2">
        <v>479695</v>
      </c>
      <c r="I516" t="str">
        <f>VLOOKUP(Tabela2[[#This Row],[PAIS]],'[1]nome do paixs'!$A:$B,2,0)</f>
        <v>Estados Unidos</v>
      </c>
      <c r="J516" t="s">
        <v>11</v>
      </c>
    </row>
    <row r="517" spans="1:10">
      <c r="A517">
        <v>2024</v>
      </c>
      <c r="B517">
        <v>2</v>
      </c>
      <c r="C517">
        <v>8807</v>
      </c>
      <c r="D517">
        <v>196</v>
      </c>
      <c r="E517" t="s">
        <v>10</v>
      </c>
      <c r="F517">
        <v>3454102</v>
      </c>
      <c r="G517" s="1">
        <v>1</v>
      </c>
      <c r="H517" s="2">
        <v>3449</v>
      </c>
      <c r="I517" t="str">
        <f>VLOOKUP(Tabela2[[#This Row],[PAIS]],'[1]nome do paixs'!$A:$B,2,0)</f>
        <v>Costa Rica</v>
      </c>
      <c r="J517" t="s">
        <v>11</v>
      </c>
    </row>
    <row r="518" spans="1:10">
      <c r="A518">
        <v>2024</v>
      </c>
      <c r="B518">
        <v>11</v>
      </c>
      <c r="C518">
        <v>8807</v>
      </c>
      <c r="D518">
        <v>756</v>
      </c>
      <c r="E518" t="s">
        <v>10</v>
      </c>
      <c r="F518">
        <v>3454102</v>
      </c>
      <c r="G518" s="1">
        <v>1</v>
      </c>
      <c r="H518" s="2">
        <v>4096</v>
      </c>
      <c r="I518" t="str">
        <f>VLOOKUP(Tabela2[[#This Row],[PAIS]],'[1]nome do paixs'!$A:$B,2,0)</f>
        <v>África do Sul</v>
      </c>
      <c r="J518" t="s">
        <v>11</v>
      </c>
    </row>
    <row r="519" spans="1:10">
      <c r="A519">
        <v>2024</v>
      </c>
      <c r="B519">
        <v>6</v>
      </c>
      <c r="C519">
        <v>8807</v>
      </c>
      <c r="D519">
        <v>607</v>
      </c>
      <c r="E519" t="s">
        <v>10</v>
      </c>
      <c r="F519">
        <v>3454102</v>
      </c>
      <c r="G519" s="1">
        <v>4</v>
      </c>
      <c r="H519" s="2">
        <v>19809</v>
      </c>
      <c r="I519" t="str">
        <f>VLOOKUP(Tabela2[[#This Row],[PAIS]],'[1]nome do paixs'!$A:$B,2,0)</f>
        <v>Portugal</v>
      </c>
      <c r="J519" t="s">
        <v>11</v>
      </c>
    </row>
    <row r="520" spans="1:10">
      <c r="A520">
        <v>2024</v>
      </c>
      <c r="B520">
        <v>10</v>
      </c>
      <c r="C520">
        <v>8807</v>
      </c>
      <c r="D520">
        <v>87</v>
      </c>
      <c r="E520" t="s">
        <v>10</v>
      </c>
      <c r="F520">
        <v>3454102</v>
      </c>
      <c r="G520" s="1">
        <v>28</v>
      </c>
      <c r="H520" s="2">
        <v>52242</v>
      </c>
      <c r="I520" t="str">
        <f>VLOOKUP(Tabela2[[#This Row],[PAIS]],'[1]nome do paixs'!$A:$B,2,0)</f>
        <v>Bélgica</v>
      </c>
      <c r="J520" t="s">
        <v>11</v>
      </c>
    </row>
    <row r="521" spans="1:10">
      <c r="A521">
        <v>2024</v>
      </c>
      <c r="B521">
        <v>12</v>
      </c>
      <c r="C521">
        <v>8807</v>
      </c>
      <c r="D521">
        <v>169</v>
      </c>
      <c r="E521" t="s">
        <v>10</v>
      </c>
      <c r="F521">
        <v>3454102</v>
      </c>
      <c r="G521" s="1">
        <v>65</v>
      </c>
      <c r="H521" s="2">
        <v>60451</v>
      </c>
      <c r="I521" t="str">
        <f>VLOOKUP(Tabela2[[#This Row],[PAIS]],'[1]nome do paixs'!$A:$B,2,0)</f>
        <v>Colômbia</v>
      </c>
      <c r="J521" t="s">
        <v>11</v>
      </c>
    </row>
    <row r="522" spans="1:10">
      <c r="A522">
        <v>2024</v>
      </c>
      <c r="B522">
        <v>5</v>
      </c>
      <c r="C522">
        <v>8807</v>
      </c>
      <c r="D522">
        <v>249</v>
      </c>
      <c r="E522" t="s">
        <v>10</v>
      </c>
      <c r="F522">
        <v>3454102</v>
      </c>
      <c r="G522" s="1">
        <v>512</v>
      </c>
      <c r="H522" s="2">
        <v>299928</v>
      </c>
      <c r="I522" t="str">
        <f>VLOOKUP(Tabela2[[#This Row],[PAIS]],'[1]nome do paixs'!$A:$B,2,0)</f>
        <v>Estados Unidos</v>
      </c>
      <c r="J522" t="s">
        <v>11</v>
      </c>
    </row>
    <row r="523" spans="1:10">
      <c r="A523">
        <v>2024</v>
      </c>
      <c r="B523">
        <v>6</v>
      </c>
      <c r="C523">
        <v>8807</v>
      </c>
      <c r="D523">
        <v>741</v>
      </c>
      <c r="E523" t="s">
        <v>10</v>
      </c>
      <c r="F523">
        <v>3454102</v>
      </c>
      <c r="G523" s="1">
        <v>20</v>
      </c>
      <c r="H523" s="2">
        <v>21622</v>
      </c>
      <c r="I523" t="str">
        <f>VLOOKUP(Tabela2[[#This Row],[PAIS]],'[1]nome do paixs'!$A:$B,2,0)</f>
        <v>Singapura</v>
      </c>
      <c r="J523" t="s">
        <v>11</v>
      </c>
    </row>
    <row r="524" spans="1:10">
      <c r="A524">
        <v>2024</v>
      </c>
      <c r="B524">
        <v>4</v>
      </c>
      <c r="C524">
        <v>8807</v>
      </c>
      <c r="D524">
        <v>275</v>
      </c>
      <c r="E524" t="s">
        <v>10</v>
      </c>
      <c r="F524">
        <v>3454102</v>
      </c>
      <c r="G524" s="1">
        <v>267</v>
      </c>
      <c r="H524" s="2">
        <v>223184</v>
      </c>
      <c r="I524" t="str">
        <f>VLOOKUP(Tabela2[[#This Row],[PAIS]],'[1]nome do paixs'!$A:$B,2,0)</f>
        <v>França</v>
      </c>
      <c r="J524" t="s">
        <v>11</v>
      </c>
    </row>
    <row r="525" spans="1:10">
      <c r="A525">
        <v>2024</v>
      </c>
      <c r="B525">
        <v>5</v>
      </c>
      <c r="C525">
        <v>8807</v>
      </c>
      <c r="D525">
        <v>190</v>
      </c>
      <c r="E525" t="s">
        <v>10</v>
      </c>
      <c r="F525">
        <v>3454102</v>
      </c>
      <c r="G525" s="1">
        <v>0</v>
      </c>
      <c r="H525" s="2">
        <v>225</v>
      </c>
      <c r="I525" t="str">
        <f>VLOOKUP(Tabela2[[#This Row],[PAIS]],'[1]nome do paixs'!$A:$B,2,0)</f>
        <v>Coreia do Sul</v>
      </c>
      <c r="J525" t="s">
        <v>11</v>
      </c>
    </row>
    <row r="526" spans="1:10">
      <c r="A526">
        <v>2024</v>
      </c>
      <c r="B526">
        <v>1</v>
      </c>
      <c r="C526">
        <v>8807</v>
      </c>
      <c r="D526">
        <v>160</v>
      </c>
      <c r="E526" t="s">
        <v>10</v>
      </c>
      <c r="F526">
        <v>3454102</v>
      </c>
      <c r="G526" s="1">
        <v>13</v>
      </c>
      <c r="H526" s="2">
        <v>6652</v>
      </c>
      <c r="I526" t="str">
        <f>VLOOKUP(Tabela2[[#This Row],[PAIS]],'[1]nome do paixs'!$A:$B,2,0)</f>
        <v>China</v>
      </c>
      <c r="J526" t="s">
        <v>11</v>
      </c>
    </row>
    <row r="527" spans="1:10">
      <c r="A527">
        <v>2024</v>
      </c>
      <c r="B527">
        <v>2</v>
      </c>
      <c r="C527">
        <v>8807</v>
      </c>
      <c r="D527">
        <v>275</v>
      </c>
      <c r="E527" t="s">
        <v>10</v>
      </c>
      <c r="F527">
        <v>3454102</v>
      </c>
      <c r="G527" s="1">
        <v>47</v>
      </c>
      <c r="H527" s="2">
        <v>101173</v>
      </c>
      <c r="I527" t="str">
        <f>VLOOKUP(Tabela2[[#This Row],[PAIS]],'[1]nome do paixs'!$A:$B,2,0)</f>
        <v>França</v>
      </c>
      <c r="J527" t="s">
        <v>11</v>
      </c>
    </row>
    <row r="528" spans="1:10">
      <c r="A528">
        <v>2024</v>
      </c>
      <c r="B528">
        <v>5</v>
      </c>
      <c r="C528">
        <v>8807</v>
      </c>
      <c r="D528">
        <v>573</v>
      </c>
      <c r="E528" t="s">
        <v>10</v>
      </c>
      <c r="F528">
        <v>3454102</v>
      </c>
      <c r="G528" s="1">
        <v>2</v>
      </c>
      <c r="H528" s="2">
        <v>9898</v>
      </c>
      <c r="I528" t="str">
        <f>VLOOKUP(Tabela2[[#This Row],[PAIS]],'[1]nome do paixs'!$A:$B,2,0)</f>
        <v>Países Baixos (Holanda)</v>
      </c>
      <c r="J528" t="s">
        <v>11</v>
      </c>
    </row>
    <row r="529" spans="1:10">
      <c r="A529">
        <v>2024</v>
      </c>
      <c r="B529">
        <v>3</v>
      </c>
      <c r="C529">
        <v>8807</v>
      </c>
      <c r="D529">
        <v>87</v>
      </c>
      <c r="E529" t="s">
        <v>10</v>
      </c>
      <c r="F529">
        <v>3454102</v>
      </c>
      <c r="G529" s="1">
        <v>6</v>
      </c>
      <c r="H529" s="2">
        <v>13690</v>
      </c>
      <c r="I529" t="str">
        <f>VLOOKUP(Tabela2[[#This Row],[PAIS]],'[1]nome do paixs'!$A:$B,2,0)</f>
        <v>Bélgica</v>
      </c>
      <c r="J529" t="s">
        <v>11</v>
      </c>
    </row>
    <row r="530" spans="1:10">
      <c r="A530">
        <v>2024</v>
      </c>
      <c r="B530">
        <v>11</v>
      </c>
      <c r="C530">
        <v>8807</v>
      </c>
      <c r="D530">
        <v>628</v>
      </c>
      <c r="E530" t="s">
        <v>10</v>
      </c>
      <c r="F530">
        <v>3449904</v>
      </c>
      <c r="G530" s="1">
        <v>945</v>
      </c>
      <c r="H530" s="2">
        <v>339688</v>
      </c>
      <c r="I530" t="str">
        <f>VLOOKUP(Tabela2[[#This Row],[PAIS]],'[1]nome do paixs'!$A:$B,2,0)</f>
        <v>Reino Unido</v>
      </c>
      <c r="J530" t="s">
        <v>12</v>
      </c>
    </row>
    <row r="531" spans="1:10">
      <c r="A531">
        <v>2024</v>
      </c>
      <c r="B531">
        <v>12</v>
      </c>
      <c r="C531">
        <v>8807</v>
      </c>
      <c r="D531">
        <v>607</v>
      </c>
      <c r="E531" t="s">
        <v>10</v>
      </c>
      <c r="F531">
        <v>3449904</v>
      </c>
      <c r="G531" s="1">
        <v>45</v>
      </c>
      <c r="H531" s="2">
        <v>85371</v>
      </c>
      <c r="I531" t="str">
        <f>VLOOKUP(Tabela2[[#This Row],[PAIS]],'[1]nome do paixs'!$A:$B,2,0)</f>
        <v>Portugal</v>
      </c>
      <c r="J531" t="s">
        <v>12</v>
      </c>
    </row>
    <row r="532" spans="1:10">
      <c r="A532">
        <v>2024</v>
      </c>
      <c r="B532">
        <v>8</v>
      </c>
      <c r="C532">
        <v>8807</v>
      </c>
      <c r="D532">
        <v>573</v>
      </c>
      <c r="E532" t="s">
        <v>10</v>
      </c>
      <c r="F532">
        <v>3449904</v>
      </c>
      <c r="G532" s="1">
        <v>2</v>
      </c>
      <c r="H532" s="2">
        <v>20494</v>
      </c>
      <c r="I532" t="str">
        <f>VLOOKUP(Tabela2[[#This Row],[PAIS]],'[1]nome do paixs'!$A:$B,2,0)</f>
        <v>Países Baixos (Holanda)</v>
      </c>
      <c r="J532" t="s">
        <v>12</v>
      </c>
    </row>
    <row r="533" spans="1:10">
      <c r="A533">
        <v>2024</v>
      </c>
      <c r="B533">
        <v>9</v>
      </c>
      <c r="C533">
        <v>8807</v>
      </c>
      <c r="D533">
        <v>824</v>
      </c>
      <c r="E533" t="s">
        <v>10</v>
      </c>
      <c r="F533">
        <v>3449904</v>
      </c>
      <c r="G533" s="1">
        <v>2</v>
      </c>
      <c r="H533" s="2">
        <v>3726</v>
      </c>
      <c r="I533" t="str">
        <f>VLOOKUP(Tabela2[[#This Row],[PAIS]],'[1]nome do paixs'!$A:$B,2,0)</f>
        <v>Turcomenistão</v>
      </c>
      <c r="J533" t="s">
        <v>12</v>
      </c>
    </row>
    <row r="534" spans="1:10">
      <c r="A534">
        <v>2024</v>
      </c>
      <c r="B534">
        <v>4</v>
      </c>
      <c r="C534">
        <v>8807</v>
      </c>
      <c r="D534">
        <v>741</v>
      </c>
      <c r="E534" t="s">
        <v>10</v>
      </c>
      <c r="F534">
        <v>3449904</v>
      </c>
      <c r="G534" s="1">
        <v>294</v>
      </c>
      <c r="H534" s="2">
        <v>144692</v>
      </c>
      <c r="I534" t="str">
        <f>VLOOKUP(Tabela2[[#This Row],[PAIS]],'[1]nome do paixs'!$A:$B,2,0)</f>
        <v>Singapura</v>
      </c>
      <c r="J534" t="s">
        <v>12</v>
      </c>
    </row>
    <row r="535" spans="1:10">
      <c r="A535">
        <v>2024</v>
      </c>
      <c r="B535">
        <v>12</v>
      </c>
      <c r="C535">
        <v>8807</v>
      </c>
      <c r="D535">
        <v>87</v>
      </c>
      <c r="E535" t="s">
        <v>10</v>
      </c>
      <c r="F535">
        <v>3449904</v>
      </c>
      <c r="G535" s="1">
        <v>10179</v>
      </c>
      <c r="H535" s="2">
        <v>5128657</v>
      </c>
      <c r="I535" t="str">
        <f>VLOOKUP(Tabela2[[#This Row],[PAIS]],'[1]nome do paixs'!$A:$B,2,0)</f>
        <v>Bélgica</v>
      </c>
      <c r="J535" t="s">
        <v>12</v>
      </c>
    </row>
    <row r="536" spans="1:10">
      <c r="A536">
        <v>2024</v>
      </c>
      <c r="B536">
        <v>2</v>
      </c>
      <c r="C536">
        <v>8807</v>
      </c>
      <c r="D536">
        <v>375</v>
      </c>
      <c r="E536" t="s">
        <v>10</v>
      </c>
      <c r="F536">
        <v>3449904</v>
      </c>
      <c r="G536" s="1">
        <v>1</v>
      </c>
      <c r="H536" s="2">
        <v>500</v>
      </c>
      <c r="I536" t="str">
        <f>VLOOKUP(Tabela2[[#This Row],[PAIS]],'[1]nome do paixs'!$A:$B,2,0)</f>
        <v>Irlanda</v>
      </c>
      <c r="J536" t="s">
        <v>12</v>
      </c>
    </row>
    <row r="537" spans="1:10">
      <c r="A537">
        <v>2024</v>
      </c>
      <c r="B537">
        <v>11</v>
      </c>
      <c r="C537">
        <v>8807</v>
      </c>
      <c r="D537">
        <v>249</v>
      </c>
      <c r="E537" t="s">
        <v>10</v>
      </c>
      <c r="F537">
        <v>3449904</v>
      </c>
      <c r="G537" s="1">
        <v>6464</v>
      </c>
      <c r="H537" s="2">
        <v>5709872</v>
      </c>
      <c r="I537" t="str">
        <f>VLOOKUP(Tabela2[[#This Row],[PAIS]],'[1]nome do paixs'!$A:$B,2,0)</f>
        <v>Estados Unidos</v>
      </c>
      <c r="J537" t="s">
        <v>12</v>
      </c>
    </row>
    <row r="538" spans="1:10">
      <c r="A538">
        <v>2024</v>
      </c>
      <c r="B538">
        <v>5</v>
      </c>
      <c r="C538">
        <v>8807</v>
      </c>
      <c r="D538">
        <v>493</v>
      </c>
      <c r="E538" t="s">
        <v>10</v>
      </c>
      <c r="F538">
        <v>3449904</v>
      </c>
      <c r="G538" s="1">
        <v>3</v>
      </c>
      <c r="H538" s="2">
        <v>13082</v>
      </c>
      <c r="I538" t="str">
        <f>VLOOKUP(Tabela2[[#This Row],[PAIS]],'[1]nome do paixs'!$A:$B,2,0)</f>
        <v>México</v>
      </c>
      <c r="J538" t="s">
        <v>12</v>
      </c>
    </row>
    <row r="539" spans="1:10">
      <c r="A539">
        <v>2024</v>
      </c>
      <c r="B539">
        <v>6</v>
      </c>
      <c r="C539">
        <v>8807</v>
      </c>
      <c r="D539">
        <v>767</v>
      </c>
      <c r="E539" t="s">
        <v>10</v>
      </c>
      <c r="F539">
        <v>3449904</v>
      </c>
      <c r="G539" s="1">
        <v>5</v>
      </c>
      <c r="H539" s="2">
        <v>5494</v>
      </c>
      <c r="I539" t="str">
        <f>VLOOKUP(Tabela2[[#This Row],[PAIS]],'[1]nome do paixs'!$A:$B,2,0)</f>
        <v>Suíça</v>
      </c>
      <c r="J539" t="s">
        <v>12</v>
      </c>
    </row>
    <row r="540" spans="1:10">
      <c r="A540">
        <v>2024</v>
      </c>
      <c r="B540">
        <v>12</v>
      </c>
      <c r="C540">
        <v>8807</v>
      </c>
      <c r="D540">
        <v>386</v>
      </c>
      <c r="E540" t="s">
        <v>10</v>
      </c>
      <c r="F540">
        <v>3449904</v>
      </c>
      <c r="G540" s="1">
        <v>755</v>
      </c>
      <c r="H540" s="2">
        <v>404318</v>
      </c>
      <c r="I540" t="str">
        <f>VLOOKUP(Tabela2[[#This Row],[PAIS]],'[1]nome do paixs'!$A:$B,2,0)</f>
        <v>Itália</v>
      </c>
      <c r="J540" t="s">
        <v>12</v>
      </c>
    </row>
    <row r="541" spans="1:10">
      <c r="A541">
        <v>2024</v>
      </c>
      <c r="B541">
        <v>7</v>
      </c>
      <c r="C541">
        <v>8807</v>
      </c>
      <c r="D541">
        <v>160</v>
      </c>
      <c r="E541" t="s">
        <v>10</v>
      </c>
      <c r="F541">
        <v>3449904</v>
      </c>
      <c r="G541" s="1">
        <v>0</v>
      </c>
      <c r="H541" s="2">
        <v>420</v>
      </c>
      <c r="I541" t="str">
        <f>VLOOKUP(Tabela2[[#This Row],[PAIS]],'[1]nome do paixs'!$A:$B,2,0)</f>
        <v>China</v>
      </c>
      <c r="J541" t="s">
        <v>12</v>
      </c>
    </row>
    <row r="542" spans="1:10">
      <c r="A542">
        <v>2024</v>
      </c>
      <c r="B542">
        <v>3</v>
      </c>
      <c r="C542">
        <v>8807</v>
      </c>
      <c r="D542">
        <v>23</v>
      </c>
      <c r="E542" t="s">
        <v>10</v>
      </c>
      <c r="F542">
        <v>3449904</v>
      </c>
      <c r="G542" s="1">
        <v>337</v>
      </c>
      <c r="H542" s="2">
        <v>346419</v>
      </c>
      <c r="I542" t="str">
        <f>VLOOKUP(Tabela2[[#This Row],[PAIS]],'[1]nome do paixs'!$A:$B,2,0)</f>
        <v>Alemanha</v>
      </c>
      <c r="J542" t="s">
        <v>12</v>
      </c>
    </row>
    <row r="543" spans="1:10">
      <c r="A543">
        <v>2024</v>
      </c>
      <c r="B543">
        <v>5</v>
      </c>
      <c r="C543">
        <v>8807</v>
      </c>
      <c r="D543">
        <v>386</v>
      </c>
      <c r="E543" t="s">
        <v>10</v>
      </c>
      <c r="F543">
        <v>3449904</v>
      </c>
      <c r="G543" s="1">
        <v>1203</v>
      </c>
      <c r="H543" s="2">
        <v>448459</v>
      </c>
      <c r="I543" t="str">
        <f>VLOOKUP(Tabela2[[#This Row],[PAIS]],'[1]nome do paixs'!$A:$B,2,0)</f>
        <v>Itália</v>
      </c>
      <c r="J543" t="s">
        <v>12</v>
      </c>
    </row>
    <row r="544" spans="1:10">
      <c r="A544">
        <v>2024</v>
      </c>
      <c r="B544">
        <v>3</v>
      </c>
      <c r="C544">
        <v>8807</v>
      </c>
      <c r="D544">
        <v>275</v>
      </c>
      <c r="E544" t="s">
        <v>10</v>
      </c>
      <c r="F544">
        <v>3449904</v>
      </c>
      <c r="G544" s="1">
        <v>383</v>
      </c>
      <c r="H544" s="2">
        <v>309325</v>
      </c>
      <c r="I544" t="str">
        <f>VLOOKUP(Tabela2[[#This Row],[PAIS]],'[1]nome do paixs'!$A:$B,2,0)</f>
        <v>França</v>
      </c>
      <c r="J544" t="s">
        <v>12</v>
      </c>
    </row>
    <row r="545" spans="1:10">
      <c r="A545">
        <v>2024</v>
      </c>
      <c r="B545">
        <v>12</v>
      </c>
      <c r="C545">
        <v>8807</v>
      </c>
      <c r="D545">
        <v>493</v>
      </c>
      <c r="E545" t="s">
        <v>10</v>
      </c>
      <c r="F545">
        <v>3449904</v>
      </c>
      <c r="G545" s="1">
        <v>11</v>
      </c>
      <c r="H545" s="2">
        <v>13647</v>
      </c>
      <c r="I545" t="str">
        <f>VLOOKUP(Tabela2[[#This Row],[PAIS]],'[1]nome do paixs'!$A:$B,2,0)</f>
        <v>México</v>
      </c>
      <c r="J545" t="s">
        <v>12</v>
      </c>
    </row>
    <row r="546" spans="1:10">
      <c r="A546">
        <v>2024</v>
      </c>
      <c r="B546">
        <v>1</v>
      </c>
      <c r="C546">
        <v>8807</v>
      </c>
      <c r="D546">
        <v>756</v>
      </c>
      <c r="E546" t="s">
        <v>10</v>
      </c>
      <c r="F546">
        <v>3449904</v>
      </c>
      <c r="G546" s="1">
        <v>1</v>
      </c>
      <c r="H546" s="2">
        <v>23747</v>
      </c>
      <c r="I546" t="str">
        <f>VLOOKUP(Tabela2[[#This Row],[PAIS]],'[1]nome do paixs'!$A:$B,2,0)</f>
        <v>África do Sul</v>
      </c>
      <c r="J546" t="s">
        <v>12</v>
      </c>
    </row>
    <row r="547" spans="1:10">
      <c r="A547">
        <v>2024</v>
      </c>
      <c r="B547">
        <v>1</v>
      </c>
      <c r="C547">
        <v>8807</v>
      </c>
      <c r="D547">
        <v>386</v>
      </c>
      <c r="E547" t="s">
        <v>10</v>
      </c>
      <c r="F547">
        <v>3449904</v>
      </c>
      <c r="G547" s="1">
        <v>88</v>
      </c>
      <c r="H547" s="2">
        <v>446634</v>
      </c>
      <c r="I547" t="str">
        <f>VLOOKUP(Tabela2[[#This Row],[PAIS]],'[1]nome do paixs'!$A:$B,2,0)</f>
        <v>Itália</v>
      </c>
      <c r="J547" t="s">
        <v>12</v>
      </c>
    </row>
    <row r="548" spans="1:10">
      <c r="A548">
        <v>2024</v>
      </c>
      <c r="B548">
        <v>9</v>
      </c>
      <c r="C548">
        <v>8807</v>
      </c>
      <c r="D548">
        <v>455</v>
      </c>
      <c r="E548" t="s">
        <v>10</v>
      </c>
      <c r="F548">
        <v>3449904</v>
      </c>
      <c r="G548" s="1">
        <v>1</v>
      </c>
      <c r="H548" s="2">
        <v>387</v>
      </c>
      <c r="I548" t="str">
        <f>VLOOKUP(Tabela2[[#This Row],[PAIS]],'[1]nome do paixs'!$A:$B,2,0)</f>
        <v>Malásia</v>
      </c>
      <c r="J548" t="s">
        <v>12</v>
      </c>
    </row>
    <row r="549" spans="1:10">
      <c r="A549">
        <v>2024</v>
      </c>
      <c r="B549">
        <v>4</v>
      </c>
      <c r="C549">
        <v>8807</v>
      </c>
      <c r="D549">
        <v>23</v>
      </c>
      <c r="E549" t="s">
        <v>10</v>
      </c>
      <c r="F549">
        <v>3449904</v>
      </c>
      <c r="G549" s="1">
        <v>493</v>
      </c>
      <c r="H549" s="2">
        <v>902759</v>
      </c>
      <c r="I549" t="str">
        <f>VLOOKUP(Tabela2[[#This Row],[PAIS]],'[1]nome do paixs'!$A:$B,2,0)</f>
        <v>Alemanha</v>
      </c>
      <c r="J549" t="s">
        <v>12</v>
      </c>
    </row>
    <row r="550" spans="1:10">
      <c r="A550">
        <v>2024</v>
      </c>
      <c r="B550">
        <v>9</v>
      </c>
      <c r="C550">
        <v>8807</v>
      </c>
      <c r="D550">
        <v>245</v>
      </c>
      <c r="E550" t="s">
        <v>10</v>
      </c>
      <c r="F550">
        <v>3449904</v>
      </c>
      <c r="G550" s="1">
        <v>6555</v>
      </c>
      <c r="H550" s="2">
        <v>3908592</v>
      </c>
      <c r="I550" t="str">
        <f>VLOOKUP(Tabela2[[#This Row],[PAIS]],'[1]nome do paixs'!$A:$B,2,0)</f>
        <v>Espanha</v>
      </c>
      <c r="J550" t="s">
        <v>12</v>
      </c>
    </row>
    <row r="551" spans="1:10">
      <c r="A551">
        <v>2024</v>
      </c>
      <c r="B551">
        <v>9</v>
      </c>
      <c r="C551">
        <v>8807</v>
      </c>
      <c r="D551">
        <v>386</v>
      </c>
      <c r="E551" t="s">
        <v>10</v>
      </c>
      <c r="F551">
        <v>3449904</v>
      </c>
      <c r="G551" s="1">
        <v>1038</v>
      </c>
      <c r="H551" s="2">
        <v>815516</v>
      </c>
      <c r="I551" t="str">
        <f>VLOOKUP(Tabela2[[#This Row],[PAIS]],'[1]nome do paixs'!$A:$B,2,0)</f>
        <v>Itália</v>
      </c>
      <c r="J551" t="s">
        <v>12</v>
      </c>
    </row>
    <row r="552" spans="1:10">
      <c r="A552">
        <v>2024</v>
      </c>
      <c r="B552">
        <v>12</v>
      </c>
      <c r="C552">
        <v>8807</v>
      </c>
      <c r="D552">
        <v>275</v>
      </c>
      <c r="E552" t="s">
        <v>10</v>
      </c>
      <c r="F552">
        <v>3449904</v>
      </c>
      <c r="G552" s="1">
        <v>989</v>
      </c>
      <c r="H552" s="2">
        <v>1052786</v>
      </c>
      <c r="I552" t="str">
        <f>VLOOKUP(Tabela2[[#This Row],[PAIS]],'[1]nome do paixs'!$A:$B,2,0)</f>
        <v>França</v>
      </c>
      <c r="J552" t="s">
        <v>12</v>
      </c>
    </row>
    <row r="553" spans="1:10">
      <c r="A553">
        <v>2024</v>
      </c>
      <c r="B553">
        <v>9</v>
      </c>
      <c r="C553">
        <v>8807</v>
      </c>
      <c r="D553">
        <v>87</v>
      </c>
      <c r="E553" t="s">
        <v>10</v>
      </c>
      <c r="F553">
        <v>3449904</v>
      </c>
      <c r="G553" s="1">
        <v>10738</v>
      </c>
      <c r="H553" s="2">
        <v>5025934</v>
      </c>
      <c r="I553" t="str">
        <f>VLOOKUP(Tabela2[[#This Row],[PAIS]],'[1]nome do paixs'!$A:$B,2,0)</f>
        <v>Bélgica</v>
      </c>
      <c r="J553" t="s">
        <v>12</v>
      </c>
    </row>
    <row r="554" spans="1:10">
      <c r="A554">
        <v>2024</v>
      </c>
      <c r="B554">
        <v>9</v>
      </c>
      <c r="C554">
        <v>8807</v>
      </c>
      <c r="D554">
        <v>160</v>
      </c>
      <c r="E554" t="s">
        <v>10</v>
      </c>
      <c r="F554">
        <v>3449904</v>
      </c>
      <c r="G554" s="1">
        <v>36</v>
      </c>
      <c r="H554" s="2">
        <v>109171</v>
      </c>
      <c r="I554" t="str">
        <f>VLOOKUP(Tabela2[[#This Row],[PAIS]],'[1]nome do paixs'!$A:$B,2,0)</f>
        <v>China</v>
      </c>
      <c r="J554" t="s">
        <v>12</v>
      </c>
    </row>
    <row r="555" spans="1:10">
      <c r="A555">
        <v>2024</v>
      </c>
      <c r="B555">
        <v>1</v>
      </c>
      <c r="C555">
        <v>8807</v>
      </c>
      <c r="D555">
        <v>160</v>
      </c>
      <c r="E555" t="s">
        <v>10</v>
      </c>
      <c r="F555">
        <v>3449904</v>
      </c>
      <c r="G555" s="1">
        <v>11</v>
      </c>
      <c r="H555" s="2">
        <v>5687</v>
      </c>
      <c r="I555" t="str">
        <f>VLOOKUP(Tabela2[[#This Row],[PAIS]],'[1]nome do paixs'!$A:$B,2,0)</f>
        <v>China</v>
      </c>
      <c r="J555" t="s">
        <v>12</v>
      </c>
    </row>
    <row r="556" spans="1:10">
      <c r="A556">
        <v>2024</v>
      </c>
      <c r="B556">
        <v>8</v>
      </c>
      <c r="C556">
        <v>8807</v>
      </c>
      <c r="D556">
        <v>756</v>
      </c>
      <c r="E556" t="s">
        <v>10</v>
      </c>
      <c r="F556">
        <v>3449904</v>
      </c>
      <c r="G556" s="1">
        <v>4</v>
      </c>
      <c r="H556" s="2">
        <v>81657</v>
      </c>
      <c r="I556" t="str">
        <f>VLOOKUP(Tabela2[[#This Row],[PAIS]],'[1]nome do paixs'!$A:$B,2,0)</f>
        <v>África do Sul</v>
      </c>
      <c r="J556" t="s">
        <v>12</v>
      </c>
    </row>
    <row r="557" spans="1:10">
      <c r="A557">
        <v>2024</v>
      </c>
      <c r="B557">
        <v>4</v>
      </c>
      <c r="C557">
        <v>8807</v>
      </c>
      <c r="D557">
        <v>573</v>
      </c>
      <c r="E557" t="s">
        <v>10</v>
      </c>
      <c r="F557">
        <v>3449904</v>
      </c>
      <c r="G557" s="1">
        <v>49</v>
      </c>
      <c r="H557" s="2">
        <v>112422</v>
      </c>
      <c r="I557" t="str">
        <f>VLOOKUP(Tabela2[[#This Row],[PAIS]],'[1]nome do paixs'!$A:$B,2,0)</f>
        <v>Países Baixos (Holanda)</v>
      </c>
      <c r="J557" t="s">
        <v>12</v>
      </c>
    </row>
    <row r="558" spans="1:10">
      <c r="A558">
        <v>2024</v>
      </c>
      <c r="B558">
        <v>3</v>
      </c>
      <c r="C558">
        <v>8807</v>
      </c>
      <c r="D558">
        <v>160</v>
      </c>
      <c r="E558" t="s">
        <v>10</v>
      </c>
      <c r="F558">
        <v>3449904</v>
      </c>
      <c r="G558" s="1">
        <v>28</v>
      </c>
      <c r="H558" s="2">
        <v>138938</v>
      </c>
      <c r="I558" t="str">
        <f>VLOOKUP(Tabela2[[#This Row],[PAIS]],'[1]nome do paixs'!$A:$B,2,0)</f>
        <v>China</v>
      </c>
      <c r="J558" t="s">
        <v>12</v>
      </c>
    </row>
    <row r="559" spans="1:10">
      <c r="A559">
        <v>2024</v>
      </c>
      <c r="B559">
        <v>6</v>
      </c>
      <c r="C559">
        <v>8807</v>
      </c>
      <c r="D559">
        <v>69</v>
      </c>
      <c r="E559" t="s">
        <v>10</v>
      </c>
      <c r="F559">
        <v>3449904</v>
      </c>
      <c r="G559" s="1">
        <v>4</v>
      </c>
      <c r="H559" s="2">
        <v>38368</v>
      </c>
      <c r="I559" t="str">
        <f>VLOOKUP(Tabela2[[#This Row],[PAIS]],'[1]nome do paixs'!$A:$B,2,0)</f>
        <v>Austrália</v>
      </c>
      <c r="J559" t="s">
        <v>12</v>
      </c>
    </row>
    <row r="560" spans="1:10">
      <c r="A560">
        <v>2024</v>
      </c>
      <c r="B560">
        <v>3</v>
      </c>
      <c r="C560">
        <v>8807</v>
      </c>
      <c r="D560">
        <v>767</v>
      </c>
      <c r="E560" t="s">
        <v>10</v>
      </c>
      <c r="F560">
        <v>3449904</v>
      </c>
      <c r="G560" s="1">
        <v>4</v>
      </c>
      <c r="H560" s="2">
        <v>5494</v>
      </c>
      <c r="I560" t="str">
        <f>VLOOKUP(Tabela2[[#This Row],[PAIS]],'[1]nome do paixs'!$A:$B,2,0)</f>
        <v>Suíça</v>
      </c>
      <c r="J560" t="s">
        <v>12</v>
      </c>
    </row>
    <row r="561" spans="1:10">
      <c r="A561">
        <v>2024</v>
      </c>
      <c r="B561">
        <v>11</v>
      </c>
      <c r="C561">
        <v>8807</v>
      </c>
      <c r="D561">
        <v>767</v>
      </c>
      <c r="E561" t="s">
        <v>10</v>
      </c>
      <c r="F561">
        <v>3449904</v>
      </c>
      <c r="G561" s="1">
        <v>0</v>
      </c>
      <c r="H561" s="2">
        <v>284</v>
      </c>
      <c r="I561" t="str">
        <f>VLOOKUP(Tabela2[[#This Row],[PAIS]],'[1]nome do paixs'!$A:$B,2,0)</f>
        <v>Suíça</v>
      </c>
      <c r="J561" t="s">
        <v>12</v>
      </c>
    </row>
    <row r="562" spans="1:10">
      <c r="A562">
        <v>2024</v>
      </c>
      <c r="B562">
        <v>5</v>
      </c>
      <c r="C562">
        <v>8807</v>
      </c>
      <c r="D562">
        <v>249</v>
      </c>
      <c r="E562" t="s">
        <v>10</v>
      </c>
      <c r="F562">
        <v>3449904</v>
      </c>
      <c r="G562" s="1">
        <v>8475</v>
      </c>
      <c r="H562" s="2">
        <v>7277238</v>
      </c>
      <c r="I562" t="str">
        <f>VLOOKUP(Tabela2[[#This Row],[PAIS]],'[1]nome do paixs'!$A:$B,2,0)</f>
        <v>Estados Unidos</v>
      </c>
      <c r="J562" t="s">
        <v>12</v>
      </c>
    </row>
    <row r="563" spans="1:10">
      <c r="A563">
        <v>2024</v>
      </c>
      <c r="B563">
        <v>10</v>
      </c>
      <c r="C563">
        <v>8807</v>
      </c>
      <c r="D563">
        <v>169</v>
      </c>
      <c r="E563" t="s">
        <v>10</v>
      </c>
      <c r="F563">
        <v>3449904</v>
      </c>
      <c r="G563" s="1">
        <v>6</v>
      </c>
      <c r="H563" s="2">
        <v>55903</v>
      </c>
      <c r="I563" t="str">
        <f>VLOOKUP(Tabela2[[#This Row],[PAIS]],'[1]nome do paixs'!$A:$B,2,0)</f>
        <v>Colômbia</v>
      </c>
      <c r="J563" t="s">
        <v>12</v>
      </c>
    </row>
    <row r="564" spans="1:10">
      <c r="A564">
        <v>2024</v>
      </c>
      <c r="B564">
        <v>8</v>
      </c>
      <c r="C564">
        <v>8807</v>
      </c>
      <c r="D564">
        <v>603</v>
      </c>
      <c r="E564" t="s">
        <v>10</v>
      </c>
      <c r="F564">
        <v>3449904</v>
      </c>
      <c r="G564" s="1">
        <v>21</v>
      </c>
      <c r="H564" s="2">
        <v>132735</v>
      </c>
      <c r="I564" t="str">
        <f>VLOOKUP(Tabela2[[#This Row],[PAIS]],'[1]nome do paixs'!$A:$B,2,0)</f>
        <v>Polônia</v>
      </c>
      <c r="J564" t="s">
        <v>12</v>
      </c>
    </row>
    <row r="565" spans="1:10">
      <c r="A565">
        <v>2024</v>
      </c>
      <c r="B565">
        <v>9</v>
      </c>
      <c r="C565">
        <v>8807</v>
      </c>
      <c r="D565">
        <v>488</v>
      </c>
      <c r="E565" t="s">
        <v>10</v>
      </c>
      <c r="F565">
        <v>3449904</v>
      </c>
      <c r="G565" s="1">
        <v>1</v>
      </c>
      <c r="H565" s="2">
        <v>3495</v>
      </c>
      <c r="I565" t="str">
        <f>VLOOKUP(Tabela2[[#This Row],[PAIS]],'[1]nome do paixs'!$A:$B,2,0)</f>
        <v>Mauritânia</v>
      </c>
      <c r="J565" t="s">
        <v>12</v>
      </c>
    </row>
    <row r="566" spans="1:10">
      <c r="A566">
        <v>2024</v>
      </c>
      <c r="B566">
        <v>6</v>
      </c>
      <c r="C566">
        <v>8807</v>
      </c>
      <c r="D566">
        <v>399</v>
      </c>
      <c r="E566" t="s">
        <v>10</v>
      </c>
      <c r="F566">
        <v>3449904</v>
      </c>
      <c r="G566" s="1">
        <v>1</v>
      </c>
      <c r="H566" s="2">
        <v>4066</v>
      </c>
      <c r="I566" t="str">
        <f>VLOOKUP(Tabela2[[#This Row],[PAIS]],'[1]nome do paixs'!$A:$B,2,0)</f>
        <v>Japão</v>
      </c>
      <c r="J566" t="s">
        <v>12</v>
      </c>
    </row>
    <row r="567" spans="1:10">
      <c r="A567">
        <v>2024</v>
      </c>
      <c r="B567">
        <v>6</v>
      </c>
      <c r="C567">
        <v>8807</v>
      </c>
      <c r="D567">
        <v>239</v>
      </c>
      <c r="E567" t="s">
        <v>10</v>
      </c>
      <c r="F567">
        <v>3449904</v>
      </c>
      <c r="G567" s="1">
        <v>4</v>
      </c>
      <c r="H567" s="2">
        <v>37175</v>
      </c>
      <c r="I567" t="str">
        <f>VLOOKUP(Tabela2[[#This Row],[PAIS]],'[1]nome do paixs'!$A:$B,2,0)</f>
        <v>Equador</v>
      </c>
      <c r="J567" t="s">
        <v>12</v>
      </c>
    </row>
    <row r="568" spans="1:10">
      <c r="A568">
        <v>2024</v>
      </c>
      <c r="B568">
        <v>5</v>
      </c>
      <c r="C568">
        <v>8807</v>
      </c>
      <c r="D568">
        <v>160</v>
      </c>
      <c r="E568" t="s">
        <v>10</v>
      </c>
      <c r="F568">
        <v>3449904</v>
      </c>
      <c r="G568" s="1">
        <v>17</v>
      </c>
      <c r="H568" s="2">
        <v>78212</v>
      </c>
      <c r="I568" t="str">
        <f>VLOOKUP(Tabela2[[#This Row],[PAIS]],'[1]nome do paixs'!$A:$B,2,0)</f>
        <v>China</v>
      </c>
      <c r="J568" t="s">
        <v>12</v>
      </c>
    </row>
    <row r="569" spans="1:10">
      <c r="A569">
        <v>2024</v>
      </c>
      <c r="B569">
        <v>7</v>
      </c>
      <c r="C569">
        <v>8807</v>
      </c>
      <c r="D569">
        <v>69</v>
      </c>
      <c r="E569" t="s">
        <v>10</v>
      </c>
      <c r="F569">
        <v>3449904</v>
      </c>
      <c r="G569" s="1">
        <v>1</v>
      </c>
      <c r="H569" s="2">
        <v>11874</v>
      </c>
      <c r="I569" t="str">
        <f>VLOOKUP(Tabela2[[#This Row],[PAIS]],'[1]nome do paixs'!$A:$B,2,0)</f>
        <v>Austrália</v>
      </c>
      <c r="J569" t="s">
        <v>12</v>
      </c>
    </row>
    <row r="570" spans="1:10">
      <c r="A570">
        <v>2024</v>
      </c>
      <c r="B570">
        <v>12</v>
      </c>
      <c r="C570">
        <v>8807</v>
      </c>
      <c r="D570">
        <v>573</v>
      </c>
      <c r="E570" t="s">
        <v>10</v>
      </c>
      <c r="F570">
        <v>3449904</v>
      </c>
      <c r="G570" s="1">
        <v>4</v>
      </c>
      <c r="H570" s="2">
        <v>23445</v>
      </c>
      <c r="I570" t="str">
        <f>VLOOKUP(Tabela2[[#This Row],[PAIS]],'[1]nome do paixs'!$A:$B,2,0)</f>
        <v>Países Baixos (Holanda)</v>
      </c>
      <c r="J570" t="s">
        <v>12</v>
      </c>
    </row>
    <row r="571" spans="1:10">
      <c r="A571">
        <v>2024</v>
      </c>
      <c r="B571">
        <v>11</v>
      </c>
      <c r="C571">
        <v>8807</v>
      </c>
      <c r="D571">
        <v>245</v>
      </c>
      <c r="E571" t="s">
        <v>10</v>
      </c>
      <c r="F571">
        <v>3449904</v>
      </c>
      <c r="G571" s="1">
        <v>4503</v>
      </c>
      <c r="H571" s="2">
        <v>2069102</v>
      </c>
      <c r="I571" t="str">
        <f>VLOOKUP(Tabela2[[#This Row],[PAIS]],'[1]nome do paixs'!$A:$B,2,0)</f>
        <v>Espanha</v>
      </c>
      <c r="J571" t="s">
        <v>12</v>
      </c>
    </row>
    <row r="572" spans="1:10">
      <c r="A572">
        <v>2024</v>
      </c>
      <c r="B572">
        <v>9</v>
      </c>
      <c r="C572">
        <v>8807</v>
      </c>
      <c r="D572">
        <v>628</v>
      </c>
      <c r="E572" t="s">
        <v>10</v>
      </c>
      <c r="F572">
        <v>3449904</v>
      </c>
      <c r="G572" s="1">
        <v>2261</v>
      </c>
      <c r="H572" s="2">
        <v>726651</v>
      </c>
      <c r="I572" t="str">
        <f>VLOOKUP(Tabela2[[#This Row],[PAIS]],'[1]nome do paixs'!$A:$B,2,0)</f>
        <v>Reino Unido</v>
      </c>
      <c r="J572" t="s">
        <v>12</v>
      </c>
    </row>
    <row r="573" spans="1:10">
      <c r="A573">
        <v>2024</v>
      </c>
      <c r="B573">
        <v>9</v>
      </c>
      <c r="C573">
        <v>8807</v>
      </c>
      <c r="D573">
        <v>355</v>
      </c>
      <c r="E573" t="s">
        <v>10</v>
      </c>
      <c r="F573">
        <v>3449904</v>
      </c>
      <c r="G573" s="1">
        <v>237</v>
      </c>
      <c r="H573" s="2">
        <v>213425</v>
      </c>
      <c r="I573" t="str">
        <f>VLOOKUP(Tabela2[[#This Row],[PAIS]],'[1]nome do paixs'!$A:$B,2,0)</f>
        <v>Hungria</v>
      </c>
      <c r="J573" t="s">
        <v>12</v>
      </c>
    </row>
    <row r="574" spans="1:10">
      <c r="A574">
        <v>2024</v>
      </c>
      <c r="B574">
        <v>10</v>
      </c>
      <c r="C574">
        <v>8807</v>
      </c>
      <c r="D574">
        <v>160</v>
      </c>
      <c r="E574" t="s">
        <v>10</v>
      </c>
      <c r="F574">
        <v>3449904</v>
      </c>
      <c r="G574" s="1">
        <v>29</v>
      </c>
      <c r="H574" s="2">
        <v>88352</v>
      </c>
      <c r="I574" t="str">
        <f>VLOOKUP(Tabela2[[#This Row],[PAIS]],'[1]nome do paixs'!$A:$B,2,0)</f>
        <v>China</v>
      </c>
      <c r="J574" t="s">
        <v>12</v>
      </c>
    </row>
    <row r="575" spans="1:10">
      <c r="A575">
        <v>2024</v>
      </c>
      <c r="B575">
        <v>12</v>
      </c>
      <c r="C575">
        <v>8807</v>
      </c>
      <c r="D575">
        <v>158</v>
      </c>
      <c r="E575" t="s">
        <v>10</v>
      </c>
      <c r="F575">
        <v>3449904</v>
      </c>
      <c r="G575" s="1">
        <v>35</v>
      </c>
      <c r="H575" s="2">
        <v>114087</v>
      </c>
      <c r="I575" t="str">
        <f>VLOOKUP(Tabela2[[#This Row],[PAIS]],'[1]nome do paixs'!$A:$B,2,0)</f>
        <v>Chile</v>
      </c>
      <c r="J575" t="s">
        <v>12</v>
      </c>
    </row>
    <row r="576" spans="1:10">
      <c r="A576">
        <v>2024</v>
      </c>
      <c r="B576">
        <v>10</v>
      </c>
      <c r="C576">
        <v>8807</v>
      </c>
      <c r="D576">
        <v>573</v>
      </c>
      <c r="E576" t="s">
        <v>10</v>
      </c>
      <c r="F576">
        <v>3449904</v>
      </c>
      <c r="G576" s="1">
        <v>7</v>
      </c>
      <c r="H576" s="2">
        <v>21349</v>
      </c>
      <c r="I576" t="str">
        <f>VLOOKUP(Tabela2[[#This Row],[PAIS]],'[1]nome do paixs'!$A:$B,2,0)</f>
        <v>Países Baixos (Holanda)</v>
      </c>
      <c r="J576" t="s">
        <v>12</v>
      </c>
    </row>
    <row r="577" spans="1:10">
      <c r="A577">
        <v>2024</v>
      </c>
      <c r="B577">
        <v>1</v>
      </c>
      <c r="C577">
        <v>8807</v>
      </c>
      <c r="D577">
        <v>607</v>
      </c>
      <c r="E577" t="s">
        <v>10</v>
      </c>
      <c r="F577">
        <v>3449904</v>
      </c>
      <c r="G577" s="1">
        <v>35</v>
      </c>
      <c r="H577" s="2">
        <v>38322</v>
      </c>
      <c r="I577" t="str">
        <f>VLOOKUP(Tabela2[[#This Row],[PAIS]],'[1]nome do paixs'!$A:$B,2,0)</f>
        <v>Portugal</v>
      </c>
      <c r="J577" t="s">
        <v>12</v>
      </c>
    </row>
    <row r="578" spans="1:10">
      <c r="A578">
        <v>2024</v>
      </c>
      <c r="B578">
        <v>11</v>
      </c>
      <c r="C578">
        <v>8807</v>
      </c>
      <c r="D578">
        <v>538</v>
      </c>
      <c r="E578" t="s">
        <v>10</v>
      </c>
      <c r="F578">
        <v>3449904</v>
      </c>
      <c r="G578" s="1">
        <v>1</v>
      </c>
      <c r="H578" s="2">
        <v>3125</v>
      </c>
      <c r="I578" t="str">
        <f>VLOOKUP(Tabela2[[#This Row],[PAIS]],'[1]nome do paixs'!$A:$B,2,0)</f>
        <v>Noruega</v>
      </c>
      <c r="J578" t="s">
        <v>12</v>
      </c>
    </row>
    <row r="579" spans="1:10">
      <c r="A579">
        <v>2024</v>
      </c>
      <c r="B579">
        <v>8</v>
      </c>
      <c r="C579">
        <v>8807</v>
      </c>
      <c r="D579">
        <v>193</v>
      </c>
      <c r="E579" t="s">
        <v>10</v>
      </c>
      <c r="F579">
        <v>3449904</v>
      </c>
      <c r="G579" s="1">
        <v>171</v>
      </c>
      <c r="H579" s="2">
        <v>341625</v>
      </c>
      <c r="I579" t="str">
        <f>VLOOKUP(Tabela2[[#This Row],[PAIS]],'[1]nome do paixs'!$A:$B,2,0)</f>
        <v>Costa do Marfim</v>
      </c>
      <c r="J579" t="s">
        <v>12</v>
      </c>
    </row>
    <row r="580" spans="1:10">
      <c r="A580">
        <v>2024</v>
      </c>
      <c r="B580">
        <v>11</v>
      </c>
      <c r="C580">
        <v>8807</v>
      </c>
      <c r="D580">
        <v>361</v>
      </c>
      <c r="E580" t="s">
        <v>10</v>
      </c>
      <c r="F580">
        <v>3449904</v>
      </c>
      <c r="G580" s="1">
        <v>23</v>
      </c>
      <c r="H580" s="2">
        <v>35064</v>
      </c>
      <c r="I580" t="str">
        <f>VLOOKUP(Tabela2[[#This Row],[PAIS]],'[1]nome do paixs'!$A:$B,2,0)</f>
        <v>Índia</v>
      </c>
      <c r="J580" t="s">
        <v>12</v>
      </c>
    </row>
    <row r="581" spans="1:10">
      <c r="A581">
        <v>2024</v>
      </c>
      <c r="B581">
        <v>5</v>
      </c>
      <c r="C581">
        <v>8807</v>
      </c>
      <c r="D581">
        <v>275</v>
      </c>
      <c r="E581" t="s">
        <v>10</v>
      </c>
      <c r="F581">
        <v>3449904</v>
      </c>
      <c r="G581" s="1">
        <v>144</v>
      </c>
      <c r="H581" s="2">
        <v>205478</v>
      </c>
      <c r="I581" t="str">
        <f>VLOOKUP(Tabela2[[#This Row],[PAIS]],'[1]nome do paixs'!$A:$B,2,0)</f>
        <v>França</v>
      </c>
      <c r="J581" t="s">
        <v>12</v>
      </c>
    </row>
    <row r="582" spans="1:10">
      <c r="A582">
        <v>2024</v>
      </c>
      <c r="B582">
        <v>11</v>
      </c>
      <c r="C582">
        <v>8807</v>
      </c>
      <c r="D582">
        <v>386</v>
      </c>
      <c r="E582" t="s">
        <v>10</v>
      </c>
      <c r="F582">
        <v>3449904</v>
      </c>
      <c r="G582" s="1">
        <v>1043</v>
      </c>
      <c r="H582" s="2">
        <v>440604</v>
      </c>
      <c r="I582" t="str">
        <f>VLOOKUP(Tabela2[[#This Row],[PAIS]],'[1]nome do paixs'!$A:$B,2,0)</f>
        <v>Itália</v>
      </c>
      <c r="J582" t="s">
        <v>12</v>
      </c>
    </row>
    <row r="583" spans="1:10">
      <c r="A583">
        <v>2024</v>
      </c>
      <c r="B583">
        <v>9</v>
      </c>
      <c r="C583">
        <v>8807</v>
      </c>
      <c r="D583">
        <v>23</v>
      </c>
      <c r="E583" t="s">
        <v>10</v>
      </c>
      <c r="F583">
        <v>3449904</v>
      </c>
      <c r="G583" s="1">
        <v>618</v>
      </c>
      <c r="H583" s="2">
        <v>794385</v>
      </c>
      <c r="I583" t="str">
        <f>VLOOKUP(Tabela2[[#This Row],[PAIS]],'[1]nome do paixs'!$A:$B,2,0)</f>
        <v>Alemanha</v>
      </c>
      <c r="J583" t="s">
        <v>12</v>
      </c>
    </row>
    <row r="584" spans="1:10">
      <c r="A584">
        <v>2024</v>
      </c>
      <c r="B584">
        <v>4</v>
      </c>
      <c r="C584">
        <v>8807</v>
      </c>
      <c r="D584">
        <v>275</v>
      </c>
      <c r="E584" t="s">
        <v>10</v>
      </c>
      <c r="F584">
        <v>3449904</v>
      </c>
      <c r="G584" s="1">
        <v>246</v>
      </c>
      <c r="H584" s="2">
        <v>191875</v>
      </c>
      <c r="I584" t="str">
        <f>VLOOKUP(Tabela2[[#This Row],[PAIS]],'[1]nome do paixs'!$A:$B,2,0)</f>
        <v>França</v>
      </c>
      <c r="J584" t="s">
        <v>12</v>
      </c>
    </row>
    <row r="585" spans="1:10">
      <c r="A585">
        <v>2024</v>
      </c>
      <c r="B585">
        <v>7</v>
      </c>
      <c r="C585">
        <v>8807</v>
      </c>
      <c r="D585">
        <v>245</v>
      </c>
      <c r="E585" t="s">
        <v>10</v>
      </c>
      <c r="F585">
        <v>3449904</v>
      </c>
      <c r="G585" s="1">
        <v>7943</v>
      </c>
      <c r="H585" s="2">
        <v>3817039</v>
      </c>
      <c r="I585" t="str">
        <f>VLOOKUP(Tabela2[[#This Row],[PAIS]],'[1]nome do paixs'!$A:$B,2,0)</f>
        <v>Espanha</v>
      </c>
      <c r="J585" t="s">
        <v>12</v>
      </c>
    </row>
    <row r="586" spans="1:10">
      <c r="A586">
        <v>2024</v>
      </c>
      <c r="B586">
        <v>8</v>
      </c>
      <c r="C586">
        <v>8807</v>
      </c>
      <c r="D586">
        <v>628</v>
      </c>
      <c r="E586" t="s">
        <v>10</v>
      </c>
      <c r="F586">
        <v>3449904</v>
      </c>
      <c r="G586" s="1">
        <v>3535</v>
      </c>
      <c r="H586" s="2">
        <v>1229489</v>
      </c>
      <c r="I586" t="str">
        <f>VLOOKUP(Tabela2[[#This Row],[PAIS]],'[1]nome do paixs'!$A:$B,2,0)</f>
        <v>Reino Unido</v>
      </c>
      <c r="J586" t="s">
        <v>12</v>
      </c>
    </row>
    <row r="587" spans="1:10">
      <c r="A587">
        <v>2024</v>
      </c>
      <c r="B587">
        <v>11</v>
      </c>
      <c r="C587">
        <v>8807</v>
      </c>
      <c r="D587">
        <v>607</v>
      </c>
      <c r="E587" t="s">
        <v>10</v>
      </c>
      <c r="F587">
        <v>3449904</v>
      </c>
      <c r="G587" s="1">
        <v>87</v>
      </c>
      <c r="H587" s="2">
        <v>159207</v>
      </c>
      <c r="I587" t="str">
        <f>VLOOKUP(Tabela2[[#This Row],[PAIS]],'[1]nome do paixs'!$A:$B,2,0)</f>
        <v>Portugal</v>
      </c>
      <c r="J587" t="s">
        <v>12</v>
      </c>
    </row>
    <row r="588" spans="1:10">
      <c r="A588">
        <v>2024</v>
      </c>
      <c r="B588">
        <v>4</v>
      </c>
      <c r="C588">
        <v>8807</v>
      </c>
      <c r="D588">
        <v>628</v>
      </c>
      <c r="E588" t="s">
        <v>10</v>
      </c>
      <c r="F588">
        <v>3449904</v>
      </c>
      <c r="G588" s="1">
        <v>1840</v>
      </c>
      <c r="H588" s="2">
        <v>662634</v>
      </c>
      <c r="I588" t="str">
        <f>VLOOKUP(Tabela2[[#This Row],[PAIS]],'[1]nome do paixs'!$A:$B,2,0)</f>
        <v>Reino Unido</v>
      </c>
      <c r="J588" t="s">
        <v>12</v>
      </c>
    </row>
    <row r="589" spans="1:10">
      <c r="A589">
        <v>2024</v>
      </c>
      <c r="B589">
        <v>6</v>
      </c>
      <c r="C589">
        <v>8807</v>
      </c>
      <c r="D589">
        <v>87</v>
      </c>
      <c r="E589" t="s">
        <v>10</v>
      </c>
      <c r="F589">
        <v>3449904</v>
      </c>
      <c r="G589" s="1">
        <v>9036</v>
      </c>
      <c r="H589" s="2">
        <v>4918581</v>
      </c>
      <c r="I589" t="str">
        <f>VLOOKUP(Tabela2[[#This Row],[PAIS]],'[1]nome do paixs'!$A:$B,2,0)</f>
        <v>Bélgica</v>
      </c>
      <c r="J589" t="s">
        <v>12</v>
      </c>
    </row>
    <row r="590" spans="1:10">
      <c r="A590">
        <v>2024</v>
      </c>
      <c r="B590">
        <v>10</v>
      </c>
      <c r="C590">
        <v>8807</v>
      </c>
      <c r="D590">
        <v>603</v>
      </c>
      <c r="E590" t="s">
        <v>10</v>
      </c>
      <c r="F590">
        <v>3449904</v>
      </c>
      <c r="G590" s="1">
        <v>5</v>
      </c>
      <c r="H590" s="2">
        <v>2898</v>
      </c>
      <c r="I590" t="str">
        <f>VLOOKUP(Tabela2[[#This Row],[PAIS]],'[1]nome do paixs'!$A:$B,2,0)</f>
        <v>Polônia</v>
      </c>
      <c r="J590" t="s">
        <v>12</v>
      </c>
    </row>
    <row r="591" spans="1:10">
      <c r="A591">
        <v>2024</v>
      </c>
      <c r="B591">
        <v>3</v>
      </c>
      <c r="C591">
        <v>8807</v>
      </c>
      <c r="D591">
        <v>756</v>
      </c>
      <c r="E591" t="s">
        <v>10</v>
      </c>
      <c r="F591">
        <v>3449904</v>
      </c>
      <c r="G591" s="1">
        <v>2</v>
      </c>
      <c r="H591" s="2">
        <v>37165</v>
      </c>
      <c r="I591" t="str">
        <f>VLOOKUP(Tabela2[[#This Row],[PAIS]],'[1]nome do paixs'!$A:$B,2,0)</f>
        <v>África do Sul</v>
      </c>
      <c r="J591" t="s">
        <v>12</v>
      </c>
    </row>
    <row r="592" spans="1:10">
      <c r="A592">
        <v>2024</v>
      </c>
      <c r="B592">
        <v>11</v>
      </c>
      <c r="C592">
        <v>8807</v>
      </c>
      <c r="D592">
        <v>246</v>
      </c>
      <c r="E592" t="s">
        <v>10</v>
      </c>
      <c r="F592">
        <v>3449904</v>
      </c>
      <c r="G592" s="1">
        <v>1</v>
      </c>
      <c r="H592" s="2">
        <v>9317</v>
      </c>
      <c r="I592" t="str">
        <f>VLOOKUP(Tabela2[[#This Row],[PAIS]],'[1]nome do paixs'!$A:$B,2,0)</f>
        <v>Eslovênia</v>
      </c>
      <c r="J592" t="s">
        <v>12</v>
      </c>
    </row>
    <row r="593" spans="1:10">
      <c r="A593">
        <v>2024</v>
      </c>
      <c r="B593">
        <v>3</v>
      </c>
      <c r="C593">
        <v>8807</v>
      </c>
      <c r="D593">
        <v>383</v>
      </c>
      <c r="E593" t="s">
        <v>10</v>
      </c>
      <c r="F593">
        <v>3449904</v>
      </c>
      <c r="G593" s="1">
        <v>1</v>
      </c>
      <c r="H593" s="2">
        <v>647</v>
      </c>
      <c r="I593" t="str">
        <f>VLOOKUP(Tabela2[[#This Row],[PAIS]],'[1]nome do paixs'!$A:$B,2,0)</f>
        <v>Israel</v>
      </c>
      <c r="J593" t="s">
        <v>12</v>
      </c>
    </row>
    <row r="594" spans="1:10">
      <c r="A594">
        <v>2024</v>
      </c>
      <c r="B594">
        <v>10</v>
      </c>
      <c r="C594">
        <v>8807</v>
      </c>
      <c r="D594">
        <v>149</v>
      </c>
      <c r="E594" t="s">
        <v>10</v>
      </c>
      <c r="F594">
        <v>3449904</v>
      </c>
      <c r="G594" s="1">
        <v>2</v>
      </c>
      <c r="H594" s="2">
        <v>4659</v>
      </c>
      <c r="I594" t="str">
        <f>VLOOKUP(Tabela2[[#This Row],[PAIS]],'[1]nome do paixs'!$A:$B,2,0)</f>
        <v>Canadá</v>
      </c>
      <c r="J594" t="s">
        <v>12</v>
      </c>
    </row>
    <row r="595" spans="1:10">
      <c r="A595">
        <v>2024</v>
      </c>
      <c r="B595">
        <v>9</v>
      </c>
      <c r="C595">
        <v>8807</v>
      </c>
      <c r="D595">
        <v>169</v>
      </c>
      <c r="E595" t="s">
        <v>10</v>
      </c>
      <c r="F595">
        <v>3449904</v>
      </c>
      <c r="G595" s="1">
        <v>9</v>
      </c>
      <c r="H595" s="2">
        <v>24052</v>
      </c>
      <c r="I595" t="str">
        <f>VLOOKUP(Tabela2[[#This Row],[PAIS]],'[1]nome do paixs'!$A:$B,2,0)</f>
        <v>Colômbia</v>
      </c>
      <c r="J595" t="s">
        <v>12</v>
      </c>
    </row>
    <row r="596" spans="1:10">
      <c r="A596">
        <v>2024</v>
      </c>
      <c r="B596">
        <v>9</v>
      </c>
      <c r="C596">
        <v>8807</v>
      </c>
      <c r="D596">
        <v>607</v>
      </c>
      <c r="E596" t="s">
        <v>10</v>
      </c>
      <c r="F596">
        <v>3449904</v>
      </c>
      <c r="G596" s="1">
        <v>112</v>
      </c>
      <c r="H596" s="2">
        <v>313036</v>
      </c>
      <c r="I596" t="str">
        <f>VLOOKUP(Tabela2[[#This Row],[PAIS]],'[1]nome do paixs'!$A:$B,2,0)</f>
        <v>Portugal</v>
      </c>
      <c r="J596" t="s">
        <v>12</v>
      </c>
    </row>
    <row r="597" spans="1:10">
      <c r="A597">
        <v>2024</v>
      </c>
      <c r="B597">
        <v>5</v>
      </c>
      <c r="C597">
        <v>8807</v>
      </c>
      <c r="D597">
        <v>158</v>
      </c>
      <c r="E597" t="s">
        <v>10</v>
      </c>
      <c r="F597">
        <v>3449904</v>
      </c>
      <c r="G597" s="1">
        <v>64</v>
      </c>
      <c r="H597" s="2">
        <v>169428</v>
      </c>
      <c r="I597" t="str">
        <f>VLOOKUP(Tabela2[[#This Row],[PAIS]],'[1]nome do paixs'!$A:$B,2,0)</f>
        <v>Chile</v>
      </c>
      <c r="J597" t="s">
        <v>12</v>
      </c>
    </row>
    <row r="598" spans="1:10">
      <c r="A598">
        <v>2024</v>
      </c>
      <c r="B598">
        <v>12</v>
      </c>
      <c r="C598">
        <v>8807</v>
      </c>
      <c r="D598">
        <v>741</v>
      </c>
      <c r="E598" t="s">
        <v>10</v>
      </c>
      <c r="F598">
        <v>3449904</v>
      </c>
      <c r="G598" s="1">
        <v>127</v>
      </c>
      <c r="H598" s="2">
        <v>184215</v>
      </c>
      <c r="I598" t="str">
        <f>VLOOKUP(Tabela2[[#This Row],[PAIS]],'[1]nome do paixs'!$A:$B,2,0)</f>
        <v>Singapura</v>
      </c>
      <c r="J598" t="s">
        <v>12</v>
      </c>
    </row>
    <row r="599" spans="1:10">
      <c r="A599">
        <v>2024</v>
      </c>
      <c r="B599">
        <v>1</v>
      </c>
      <c r="C599">
        <v>8807</v>
      </c>
      <c r="D599">
        <v>87</v>
      </c>
      <c r="E599" t="s">
        <v>10</v>
      </c>
      <c r="F599">
        <v>3449904</v>
      </c>
      <c r="G599" s="1">
        <v>3946</v>
      </c>
      <c r="H599" s="2">
        <v>2179440</v>
      </c>
      <c r="I599" t="str">
        <f>VLOOKUP(Tabela2[[#This Row],[PAIS]],'[1]nome do paixs'!$A:$B,2,0)</f>
        <v>Bélgica</v>
      </c>
      <c r="J599" t="s">
        <v>12</v>
      </c>
    </row>
    <row r="600" spans="1:10">
      <c r="A600">
        <v>2024</v>
      </c>
      <c r="B600">
        <v>9</v>
      </c>
      <c r="C600">
        <v>8807</v>
      </c>
      <c r="D600">
        <v>573</v>
      </c>
      <c r="E600" t="s">
        <v>10</v>
      </c>
      <c r="F600">
        <v>3449904</v>
      </c>
      <c r="G600" s="1">
        <v>9</v>
      </c>
      <c r="H600" s="2">
        <v>44610</v>
      </c>
      <c r="I600" t="str">
        <f>VLOOKUP(Tabela2[[#This Row],[PAIS]],'[1]nome do paixs'!$A:$B,2,0)</f>
        <v>Países Baixos (Holanda)</v>
      </c>
      <c r="J600" t="s">
        <v>12</v>
      </c>
    </row>
    <row r="601" spans="1:10">
      <c r="A601">
        <v>2024</v>
      </c>
      <c r="B601">
        <v>11</v>
      </c>
      <c r="C601">
        <v>8807</v>
      </c>
      <c r="D601">
        <v>72</v>
      </c>
      <c r="E601" t="s">
        <v>10</v>
      </c>
      <c r="F601">
        <v>3449904</v>
      </c>
      <c r="G601" s="1">
        <v>3</v>
      </c>
      <c r="H601" s="2">
        <v>2515</v>
      </c>
      <c r="I601" t="str">
        <f>VLOOKUP(Tabela2[[#This Row],[PAIS]],'[1]nome do paixs'!$A:$B,2,0)</f>
        <v>Áustria</v>
      </c>
      <c r="J601" t="s">
        <v>12</v>
      </c>
    </row>
    <row r="602" spans="1:10">
      <c r="A602">
        <v>2024</v>
      </c>
      <c r="B602">
        <v>7</v>
      </c>
      <c r="C602">
        <v>8807</v>
      </c>
      <c r="D602">
        <v>741</v>
      </c>
      <c r="E602" t="s">
        <v>10</v>
      </c>
      <c r="F602">
        <v>3449904</v>
      </c>
      <c r="G602" s="1">
        <v>16</v>
      </c>
      <c r="H602" s="2">
        <v>15587</v>
      </c>
      <c r="I602" t="str">
        <f>VLOOKUP(Tabela2[[#This Row],[PAIS]],'[1]nome do paixs'!$A:$B,2,0)</f>
        <v>Singapura</v>
      </c>
      <c r="J602" t="s">
        <v>12</v>
      </c>
    </row>
    <row r="603" spans="1:10">
      <c r="A603">
        <v>2024</v>
      </c>
      <c r="B603">
        <v>3</v>
      </c>
      <c r="C603">
        <v>8807</v>
      </c>
      <c r="D603">
        <v>158</v>
      </c>
      <c r="E603" t="s">
        <v>10</v>
      </c>
      <c r="F603">
        <v>3449904</v>
      </c>
      <c r="G603" s="1">
        <v>2</v>
      </c>
      <c r="H603" s="2">
        <v>1824</v>
      </c>
      <c r="I603" t="str">
        <f>VLOOKUP(Tabela2[[#This Row],[PAIS]],'[1]nome do paixs'!$A:$B,2,0)</f>
        <v>Chile</v>
      </c>
      <c r="J603" t="s">
        <v>12</v>
      </c>
    </row>
    <row r="604" spans="1:10">
      <c r="A604">
        <v>2024</v>
      </c>
      <c r="B604">
        <v>4</v>
      </c>
      <c r="C604">
        <v>8807</v>
      </c>
      <c r="D604">
        <v>493</v>
      </c>
      <c r="E604" t="s">
        <v>10</v>
      </c>
      <c r="F604">
        <v>3449904</v>
      </c>
      <c r="G604" s="1">
        <v>2</v>
      </c>
      <c r="H604" s="2">
        <v>1053</v>
      </c>
      <c r="I604" t="str">
        <f>VLOOKUP(Tabela2[[#This Row],[PAIS]],'[1]nome do paixs'!$A:$B,2,0)</f>
        <v>México</v>
      </c>
      <c r="J604" t="s">
        <v>12</v>
      </c>
    </row>
    <row r="605" spans="1:10">
      <c r="A605">
        <v>2024</v>
      </c>
      <c r="B605">
        <v>7</v>
      </c>
      <c r="C605">
        <v>8807</v>
      </c>
      <c r="D605">
        <v>399</v>
      </c>
      <c r="E605" t="s">
        <v>10</v>
      </c>
      <c r="F605">
        <v>3449904</v>
      </c>
      <c r="G605" s="1">
        <v>11</v>
      </c>
      <c r="H605" s="2">
        <v>62439</v>
      </c>
      <c r="I605" t="str">
        <f>VLOOKUP(Tabela2[[#This Row],[PAIS]],'[1]nome do paixs'!$A:$B,2,0)</f>
        <v>Japão</v>
      </c>
      <c r="J605" t="s">
        <v>12</v>
      </c>
    </row>
    <row r="606" spans="1:10">
      <c r="A606">
        <v>2024</v>
      </c>
      <c r="B606">
        <v>4</v>
      </c>
      <c r="C606">
        <v>8807</v>
      </c>
      <c r="D606">
        <v>603</v>
      </c>
      <c r="E606" t="s">
        <v>10</v>
      </c>
      <c r="F606">
        <v>3449904</v>
      </c>
      <c r="G606" s="1">
        <v>17</v>
      </c>
      <c r="H606" s="2">
        <v>217154</v>
      </c>
      <c r="I606" t="str">
        <f>VLOOKUP(Tabela2[[#This Row],[PAIS]],'[1]nome do paixs'!$A:$B,2,0)</f>
        <v>Polônia</v>
      </c>
      <c r="J606" t="s">
        <v>12</v>
      </c>
    </row>
    <row r="607" spans="1:10">
      <c r="A607">
        <v>2024</v>
      </c>
      <c r="B607">
        <v>9</v>
      </c>
      <c r="C607">
        <v>8807</v>
      </c>
      <c r="D607">
        <v>239</v>
      </c>
      <c r="E607" t="s">
        <v>10</v>
      </c>
      <c r="F607">
        <v>3449904</v>
      </c>
      <c r="G607" s="1">
        <v>6</v>
      </c>
      <c r="H607" s="2">
        <v>17037</v>
      </c>
      <c r="I607" t="str">
        <f>VLOOKUP(Tabela2[[#This Row],[PAIS]],'[1]nome do paixs'!$A:$B,2,0)</f>
        <v>Equador</v>
      </c>
      <c r="J607" t="s">
        <v>12</v>
      </c>
    </row>
    <row r="608" spans="1:10">
      <c r="A608">
        <v>2024</v>
      </c>
      <c r="B608">
        <v>3</v>
      </c>
      <c r="C608">
        <v>8807</v>
      </c>
      <c r="D608">
        <v>149</v>
      </c>
      <c r="E608" t="s">
        <v>10</v>
      </c>
      <c r="F608">
        <v>3449904</v>
      </c>
      <c r="G608" s="1">
        <v>4</v>
      </c>
      <c r="H608" s="2">
        <v>5494</v>
      </c>
      <c r="I608" t="str">
        <f>VLOOKUP(Tabela2[[#This Row],[PAIS]],'[1]nome do paixs'!$A:$B,2,0)</f>
        <v>Canadá</v>
      </c>
      <c r="J608" t="s">
        <v>12</v>
      </c>
    </row>
    <row r="609" spans="1:10">
      <c r="A609">
        <v>2024</v>
      </c>
      <c r="B609">
        <v>6</v>
      </c>
      <c r="C609">
        <v>8807</v>
      </c>
      <c r="D609">
        <v>249</v>
      </c>
      <c r="E609" t="s">
        <v>10</v>
      </c>
      <c r="F609">
        <v>3449904</v>
      </c>
      <c r="G609" s="1">
        <v>4822</v>
      </c>
      <c r="H609" s="2">
        <v>4480221</v>
      </c>
      <c r="I609" t="str">
        <f>VLOOKUP(Tabela2[[#This Row],[PAIS]],'[1]nome do paixs'!$A:$B,2,0)</f>
        <v>Estados Unidos</v>
      </c>
      <c r="J609" t="s">
        <v>12</v>
      </c>
    </row>
    <row r="610" spans="1:10">
      <c r="A610">
        <v>2024</v>
      </c>
      <c r="B610">
        <v>7</v>
      </c>
      <c r="C610">
        <v>8807</v>
      </c>
      <c r="D610">
        <v>386</v>
      </c>
      <c r="E610" t="s">
        <v>10</v>
      </c>
      <c r="F610">
        <v>3449904</v>
      </c>
      <c r="G610" s="1">
        <v>2138</v>
      </c>
      <c r="H610" s="2">
        <v>840666</v>
      </c>
      <c r="I610" t="str">
        <f>VLOOKUP(Tabela2[[#This Row],[PAIS]],'[1]nome do paixs'!$A:$B,2,0)</f>
        <v>Itália</v>
      </c>
      <c r="J610" t="s">
        <v>12</v>
      </c>
    </row>
    <row r="611" spans="1:10">
      <c r="A611">
        <v>2024</v>
      </c>
      <c r="B611">
        <v>2</v>
      </c>
      <c r="C611">
        <v>8807</v>
      </c>
      <c r="D611">
        <v>628</v>
      </c>
      <c r="E611" t="s">
        <v>10</v>
      </c>
      <c r="F611">
        <v>3449904</v>
      </c>
      <c r="G611" s="1">
        <v>2332</v>
      </c>
      <c r="H611" s="2">
        <v>1223644</v>
      </c>
      <c r="I611" t="str">
        <f>VLOOKUP(Tabela2[[#This Row],[PAIS]],'[1]nome do paixs'!$A:$B,2,0)</f>
        <v>Reino Unido</v>
      </c>
      <c r="J611" t="s">
        <v>12</v>
      </c>
    </row>
    <row r="612" spans="1:10">
      <c r="A612">
        <v>2024</v>
      </c>
      <c r="B612">
        <v>11</v>
      </c>
      <c r="C612">
        <v>8807</v>
      </c>
      <c r="D612">
        <v>493</v>
      </c>
      <c r="E612" t="s">
        <v>10</v>
      </c>
      <c r="F612">
        <v>3449904</v>
      </c>
      <c r="G612" s="1">
        <v>25</v>
      </c>
      <c r="H612" s="2">
        <v>101181</v>
      </c>
      <c r="I612" t="str">
        <f>VLOOKUP(Tabela2[[#This Row],[PAIS]],'[1]nome do paixs'!$A:$B,2,0)</f>
        <v>México</v>
      </c>
      <c r="J612" t="s">
        <v>12</v>
      </c>
    </row>
    <row r="613" spans="1:10">
      <c r="A613">
        <v>2024</v>
      </c>
      <c r="B613">
        <v>3</v>
      </c>
      <c r="C613">
        <v>8807</v>
      </c>
      <c r="D613">
        <v>271</v>
      </c>
      <c r="E613" t="s">
        <v>10</v>
      </c>
      <c r="F613">
        <v>3449904</v>
      </c>
      <c r="G613" s="1">
        <v>2</v>
      </c>
      <c r="H613" s="2">
        <v>47494</v>
      </c>
      <c r="I613" t="str">
        <f>VLOOKUP(Tabela2[[#This Row],[PAIS]],'[1]nome do paixs'!$A:$B,2,0)</f>
        <v>Finlândia</v>
      </c>
      <c r="J613" t="s">
        <v>12</v>
      </c>
    </row>
    <row r="614" spans="1:10">
      <c r="A614">
        <v>2024</v>
      </c>
      <c r="B614">
        <v>2</v>
      </c>
      <c r="C614">
        <v>8807</v>
      </c>
      <c r="D614">
        <v>169</v>
      </c>
      <c r="E614" t="s">
        <v>10</v>
      </c>
      <c r="F614">
        <v>3449904</v>
      </c>
      <c r="G614" s="1">
        <v>1</v>
      </c>
      <c r="H614" s="2">
        <v>2116</v>
      </c>
      <c r="I614" t="str">
        <f>VLOOKUP(Tabela2[[#This Row],[PAIS]],'[1]nome do paixs'!$A:$B,2,0)</f>
        <v>Colômbia</v>
      </c>
      <c r="J614" t="s">
        <v>12</v>
      </c>
    </row>
    <row r="615" spans="1:10">
      <c r="A615">
        <v>2024</v>
      </c>
      <c r="B615">
        <v>5</v>
      </c>
      <c r="C615">
        <v>8807</v>
      </c>
      <c r="D615">
        <v>741</v>
      </c>
      <c r="E615" t="s">
        <v>10</v>
      </c>
      <c r="F615">
        <v>3449904</v>
      </c>
      <c r="G615" s="1">
        <v>91</v>
      </c>
      <c r="H615" s="2">
        <v>129252</v>
      </c>
      <c r="I615" t="str">
        <f>VLOOKUP(Tabela2[[#This Row],[PAIS]],'[1]nome do paixs'!$A:$B,2,0)</f>
        <v>Singapura</v>
      </c>
      <c r="J615" t="s">
        <v>12</v>
      </c>
    </row>
    <row r="616" spans="1:10">
      <c r="A616">
        <v>2024</v>
      </c>
      <c r="B616">
        <v>12</v>
      </c>
      <c r="C616">
        <v>8807</v>
      </c>
      <c r="D616">
        <v>399</v>
      </c>
      <c r="E616" t="s">
        <v>10</v>
      </c>
      <c r="F616">
        <v>3449904</v>
      </c>
      <c r="G616" s="1">
        <v>4</v>
      </c>
      <c r="H616" s="2">
        <v>12198</v>
      </c>
      <c r="I616" t="str">
        <f>VLOOKUP(Tabela2[[#This Row],[PAIS]],'[1]nome do paixs'!$A:$B,2,0)</f>
        <v>Japão</v>
      </c>
      <c r="J616" t="s">
        <v>12</v>
      </c>
    </row>
    <row r="617" spans="1:10">
      <c r="A617">
        <v>2024</v>
      </c>
      <c r="B617">
        <v>6</v>
      </c>
      <c r="C617">
        <v>8807</v>
      </c>
      <c r="D617">
        <v>403</v>
      </c>
      <c r="E617" t="s">
        <v>10</v>
      </c>
      <c r="F617">
        <v>3449904</v>
      </c>
      <c r="G617" s="1">
        <v>0</v>
      </c>
      <c r="H617" s="2">
        <v>516</v>
      </c>
      <c r="I617" t="str">
        <f>VLOOKUP(Tabela2[[#This Row],[PAIS]],'[1]nome do paixs'!$A:$B,2,0)</f>
        <v>Jordânia</v>
      </c>
      <c r="J617" t="s">
        <v>12</v>
      </c>
    </row>
    <row r="618" spans="1:10">
      <c r="A618">
        <v>2024</v>
      </c>
      <c r="B618">
        <v>8</v>
      </c>
      <c r="C618">
        <v>8807</v>
      </c>
      <c r="D618">
        <v>275</v>
      </c>
      <c r="E618" t="s">
        <v>10</v>
      </c>
      <c r="F618">
        <v>3449904</v>
      </c>
      <c r="G618" s="1">
        <v>411</v>
      </c>
      <c r="H618" s="2">
        <v>671785</v>
      </c>
      <c r="I618" t="str">
        <f>VLOOKUP(Tabela2[[#This Row],[PAIS]],'[1]nome do paixs'!$A:$B,2,0)</f>
        <v>França</v>
      </c>
      <c r="J618" t="s">
        <v>12</v>
      </c>
    </row>
    <row r="619" spans="1:10">
      <c r="A619">
        <v>2024</v>
      </c>
      <c r="B619">
        <v>8</v>
      </c>
      <c r="C619">
        <v>8807</v>
      </c>
      <c r="D619">
        <v>245</v>
      </c>
      <c r="E619" t="s">
        <v>10</v>
      </c>
      <c r="F619">
        <v>3449904</v>
      </c>
      <c r="G619" s="1">
        <v>6688</v>
      </c>
      <c r="H619" s="2">
        <v>3756827</v>
      </c>
      <c r="I619" t="str">
        <f>VLOOKUP(Tabela2[[#This Row],[PAIS]],'[1]nome do paixs'!$A:$B,2,0)</f>
        <v>Espanha</v>
      </c>
      <c r="J619" t="s">
        <v>12</v>
      </c>
    </row>
    <row r="620" spans="1:10">
      <c r="A620">
        <v>2024</v>
      </c>
      <c r="B620">
        <v>1</v>
      </c>
      <c r="C620">
        <v>8807</v>
      </c>
      <c r="D620">
        <v>72</v>
      </c>
      <c r="E620" t="s">
        <v>10</v>
      </c>
      <c r="F620">
        <v>3449904</v>
      </c>
      <c r="G620" s="1">
        <v>6</v>
      </c>
      <c r="H620" s="2">
        <v>141799</v>
      </c>
      <c r="I620" t="str">
        <f>VLOOKUP(Tabela2[[#This Row],[PAIS]],'[1]nome do paixs'!$A:$B,2,0)</f>
        <v>Áustria</v>
      </c>
      <c r="J620" t="s">
        <v>12</v>
      </c>
    </row>
    <row r="621" spans="1:10">
      <c r="A621">
        <v>2024</v>
      </c>
      <c r="B621">
        <v>8</v>
      </c>
      <c r="C621">
        <v>8807</v>
      </c>
      <c r="D621">
        <v>87</v>
      </c>
      <c r="E621" t="s">
        <v>10</v>
      </c>
      <c r="F621">
        <v>3449904</v>
      </c>
      <c r="G621" s="1">
        <v>13013</v>
      </c>
      <c r="H621" s="2">
        <v>5902816</v>
      </c>
      <c r="I621" t="str">
        <f>VLOOKUP(Tabela2[[#This Row],[PAIS]],'[1]nome do paixs'!$A:$B,2,0)</f>
        <v>Bélgica</v>
      </c>
      <c r="J621" t="s">
        <v>12</v>
      </c>
    </row>
    <row r="622" spans="1:10">
      <c r="A622">
        <v>2024</v>
      </c>
      <c r="B622">
        <v>8</v>
      </c>
      <c r="C622">
        <v>8807</v>
      </c>
      <c r="D622">
        <v>249</v>
      </c>
      <c r="E622" t="s">
        <v>10</v>
      </c>
      <c r="F622">
        <v>3449904</v>
      </c>
      <c r="G622" s="1">
        <v>4347</v>
      </c>
      <c r="H622" s="2">
        <v>4459577</v>
      </c>
      <c r="I622" t="str">
        <f>VLOOKUP(Tabela2[[#This Row],[PAIS]],'[1]nome do paixs'!$A:$B,2,0)</f>
        <v>Estados Unidos</v>
      </c>
      <c r="J622" t="s">
        <v>12</v>
      </c>
    </row>
    <row r="623" spans="1:10">
      <c r="A623">
        <v>2024</v>
      </c>
      <c r="B623">
        <v>6</v>
      </c>
      <c r="C623">
        <v>8807</v>
      </c>
      <c r="D623">
        <v>355</v>
      </c>
      <c r="E623" t="s">
        <v>10</v>
      </c>
      <c r="F623">
        <v>3449904</v>
      </c>
      <c r="G623" s="1">
        <v>0</v>
      </c>
      <c r="H623" s="2">
        <v>1804</v>
      </c>
      <c r="I623" t="str">
        <f>VLOOKUP(Tabela2[[#This Row],[PAIS]],'[1]nome do paixs'!$A:$B,2,0)</f>
        <v>Hungria</v>
      </c>
      <c r="J623" t="s">
        <v>12</v>
      </c>
    </row>
    <row r="624" spans="1:10">
      <c r="A624">
        <v>2024</v>
      </c>
      <c r="B624">
        <v>2</v>
      </c>
      <c r="C624">
        <v>8807</v>
      </c>
      <c r="D624">
        <v>493</v>
      </c>
      <c r="E624" t="s">
        <v>10</v>
      </c>
      <c r="F624">
        <v>3449904</v>
      </c>
      <c r="G624" s="1">
        <v>0</v>
      </c>
      <c r="H624" s="2">
        <v>938</v>
      </c>
      <c r="I624" t="str">
        <f>VLOOKUP(Tabela2[[#This Row],[PAIS]],'[1]nome do paixs'!$A:$B,2,0)</f>
        <v>México</v>
      </c>
      <c r="J624" t="s">
        <v>12</v>
      </c>
    </row>
    <row r="625" spans="1:10">
      <c r="A625">
        <v>2024</v>
      </c>
      <c r="B625">
        <v>3</v>
      </c>
      <c r="C625">
        <v>8807</v>
      </c>
      <c r="D625">
        <v>375</v>
      </c>
      <c r="E625" t="s">
        <v>10</v>
      </c>
      <c r="F625">
        <v>3449904</v>
      </c>
      <c r="G625" s="1">
        <v>24</v>
      </c>
      <c r="H625" s="2">
        <v>42343</v>
      </c>
      <c r="I625" t="str">
        <f>VLOOKUP(Tabela2[[#This Row],[PAIS]],'[1]nome do paixs'!$A:$B,2,0)</f>
        <v>Irlanda</v>
      </c>
      <c r="J625" t="s">
        <v>12</v>
      </c>
    </row>
    <row r="626" spans="1:10">
      <c r="A626">
        <v>2024</v>
      </c>
      <c r="B626">
        <v>3</v>
      </c>
      <c r="C626">
        <v>8807</v>
      </c>
      <c r="D626">
        <v>628</v>
      </c>
      <c r="E626" t="s">
        <v>10</v>
      </c>
      <c r="F626">
        <v>3449904</v>
      </c>
      <c r="G626" s="1">
        <v>1082</v>
      </c>
      <c r="H626" s="2">
        <v>363045</v>
      </c>
      <c r="I626" t="str">
        <f>VLOOKUP(Tabela2[[#This Row],[PAIS]],'[1]nome do paixs'!$A:$B,2,0)</f>
        <v>Reino Unido</v>
      </c>
      <c r="J626" t="s">
        <v>12</v>
      </c>
    </row>
    <row r="627" spans="1:10">
      <c r="A627">
        <v>2024</v>
      </c>
      <c r="B627">
        <v>9</v>
      </c>
      <c r="C627">
        <v>8807</v>
      </c>
      <c r="D627">
        <v>528</v>
      </c>
      <c r="E627" t="s">
        <v>10</v>
      </c>
      <c r="F627">
        <v>3449904</v>
      </c>
      <c r="G627" s="1">
        <v>3</v>
      </c>
      <c r="H627" s="2">
        <v>6106</v>
      </c>
      <c r="I627" t="str">
        <f>VLOOKUP(Tabela2[[#This Row],[PAIS]],'[1]nome do paixs'!$A:$B,2,0)</f>
        <v>Nigéria</v>
      </c>
      <c r="J627" t="s">
        <v>12</v>
      </c>
    </row>
    <row r="628" spans="1:10">
      <c r="A628">
        <v>2024</v>
      </c>
      <c r="B628">
        <v>9</v>
      </c>
      <c r="C628">
        <v>8807</v>
      </c>
      <c r="D628">
        <v>244</v>
      </c>
      <c r="E628" t="s">
        <v>10</v>
      </c>
      <c r="F628">
        <v>3449904</v>
      </c>
      <c r="G628" s="1">
        <v>34</v>
      </c>
      <c r="H628" s="2">
        <v>6331</v>
      </c>
      <c r="I628" t="str">
        <f>VLOOKUP(Tabela2[[#This Row],[PAIS]],'[1]nome do paixs'!$A:$B,2,0)</f>
        <v>Emirados Árabes Unidos</v>
      </c>
      <c r="J628" t="s">
        <v>12</v>
      </c>
    </row>
    <row r="629" spans="1:10">
      <c r="A629">
        <v>2024</v>
      </c>
      <c r="B629">
        <v>9</v>
      </c>
      <c r="C629">
        <v>8807</v>
      </c>
      <c r="D629">
        <v>271</v>
      </c>
      <c r="E629" t="s">
        <v>10</v>
      </c>
      <c r="F629">
        <v>3449904</v>
      </c>
      <c r="G629" s="1">
        <v>0</v>
      </c>
      <c r="H629" s="2">
        <v>208</v>
      </c>
      <c r="I629" t="str">
        <f>VLOOKUP(Tabela2[[#This Row],[PAIS]],'[1]nome do paixs'!$A:$B,2,0)</f>
        <v>Finlândia</v>
      </c>
      <c r="J629" t="s">
        <v>12</v>
      </c>
    </row>
    <row r="630" spans="1:10">
      <c r="A630">
        <v>2024</v>
      </c>
      <c r="B630">
        <v>7</v>
      </c>
      <c r="C630">
        <v>8807</v>
      </c>
      <c r="D630">
        <v>538</v>
      </c>
      <c r="E630" t="s">
        <v>10</v>
      </c>
      <c r="F630">
        <v>3449904</v>
      </c>
      <c r="G630" s="1">
        <v>13</v>
      </c>
      <c r="H630" s="2">
        <v>31833</v>
      </c>
      <c r="I630" t="str">
        <f>VLOOKUP(Tabela2[[#This Row],[PAIS]],'[1]nome do paixs'!$A:$B,2,0)</f>
        <v>Noruega</v>
      </c>
      <c r="J630" t="s">
        <v>12</v>
      </c>
    </row>
    <row r="631" spans="1:10">
      <c r="A631">
        <v>2024</v>
      </c>
      <c r="B631">
        <v>7</v>
      </c>
      <c r="C631">
        <v>8807</v>
      </c>
      <c r="D631">
        <v>607</v>
      </c>
      <c r="E631" t="s">
        <v>10</v>
      </c>
      <c r="F631">
        <v>3449904</v>
      </c>
      <c r="G631" s="1">
        <v>114</v>
      </c>
      <c r="H631" s="2">
        <v>460867</v>
      </c>
      <c r="I631" t="str">
        <f>VLOOKUP(Tabela2[[#This Row],[PAIS]],'[1]nome do paixs'!$A:$B,2,0)</f>
        <v>Portugal</v>
      </c>
      <c r="J631" t="s">
        <v>12</v>
      </c>
    </row>
    <row r="632" spans="1:10">
      <c r="A632">
        <v>2024</v>
      </c>
      <c r="B632">
        <v>10</v>
      </c>
      <c r="C632">
        <v>8807</v>
      </c>
      <c r="D632">
        <v>538</v>
      </c>
      <c r="E632" t="s">
        <v>10</v>
      </c>
      <c r="F632">
        <v>3449904</v>
      </c>
      <c r="G632" s="1">
        <v>1</v>
      </c>
      <c r="H632" s="2">
        <v>2846</v>
      </c>
      <c r="I632" t="str">
        <f>VLOOKUP(Tabela2[[#This Row],[PAIS]],'[1]nome do paixs'!$A:$B,2,0)</f>
        <v>Noruega</v>
      </c>
      <c r="J632" t="s">
        <v>12</v>
      </c>
    </row>
    <row r="633" spans="1:10">
      <c r="A633">
        <v>2024</v>
      </c>
      <c r="B633">
        <v>10</v>
      </c>
      <c r="C633">
        <v>8807</v>
      </c>
      <c r="D633">
        <v>249</v>
      </c>
      <c r="E633" t="s">
        <v>10</v>
      </c>
      <c r="F633">
        <v>3449904</v>
      </c>
      <c r="G633" s="1">
        <v>8206</v>
      </c>
      <c r="H633" s="2">
        <v>7752212</v>
      </c>
      <c r="I633" t="str">
        <f>VLOOKUP(Tabela2[[#This Row],[PAIS]],'[1]nome do paixs'!$A:$B,2,0)</f>
        <v>Estados Unidos</v>
      </c>
      <c r="J633" t="s">
        <v>12</v>
      </c>
    </row>
    <row r="634" spans="1:10">
      <c r="A634">
        <v>2024</v>
      </c>
      <c r="B634">
        <v>8</v>
      </c>
      <c r="C634">
        <v>8807</v>
      </c>
      <c r="D634">
        <v>69</v>
      </c>
      <c r="E634" t="s">
        <v>10</v>
      </c>
      <c r="F634">
        <v>3449904</v>
      </c>
      <c r="G634" s="1">
        <v>8</v>
      </c>
      <c r="H634" s="2">
        <v>178104</v>
      </c>
      <c r="I634" t="str">
        <f>VLOOKUP(Tabela2[[#This Row],[PAIS]],'[1]nome do paixs'!$A:$B,2,0)</f>
        <v>Austrália</v>
      </c>
      <c r="J634" t="s">
        <v>12</v>
      </c>
    </row>
    <row r="635" spans="1:10">
      <c r="A635">
        <v>2024</v>
      </c>
      <c r="B635">
        <v>10</v>
      </c>
      <c r="C635">
        <v>8807</v>
      </c>
      <c r="D635">
        <v>275</v>
      </c>
      <c r="E635" t="s">
        <v>10</v>
      </c>
      <c r="F635">
        <v>3449904</v>
      </c>
      <c r="G635" s="1">
        <v>118</v>
      </c>
      <c r="H635" s="2">
        <v>153968</v>
      </c>
      <c r="I635" t="str">
        <f>VLOOKUP(Tabela2[[#This Row],[PAIS]],'[1]nome do paixs'!$A:$B,2,0)</f>
        <v>França</v>
      </c>
      <c r="J635" t="s">
        <v>12</v>
      </c>
    </row>
    <row r="636" spans="1:10">
      <c r="A636">
        <v>2024</v>
      </c>
      <c r="B636">
        <v>11</v>
      </c>
      <c r="C636">
        <v>8807</v>
      </c>
      <c r="D636">
        <v>23</v>
      </c>
      <c r="E636" t="s">
        <v>10</v>
      </c>
      <c r="F636">
        <v>3449904</v>
      </c>
      <c r="G636" s="1">
        <v>573</v>
      </c>
      <c r="H636" s="2">
        <v>731698</v>
      </c>
      <c r="I636" t="str">
        <f>VLOOKUP(Tabela2[[#This Row],[PAIS]],'[1]nome do paixs'!$A:$B,2,0)</f>
        <v>Alemanha</v>
      </c>
      <c r="J636" t="s">
        <v>12</v>
      </c>
    </row>
    <row r="637" spans="1:10">
      <c r="A637">
        <v>2024</v>
      </c>
      <c r="B637">
        <v>6</v>
      </c>
      <c r="C637">
        <v>8807</v>
      </c>
      <c r="D637">
        <v>149</v>
      </c>
      <c r="E637" t="s">
        <v>10</v>
      </c>
      <c r="F637">
        <v>3449904</v>
      </c>
      <c r="G637" s="1">
        <v>2</v>
      </c>
      <c r="H637" s="2">
        <v>2747</v>
      </c>
      <c r="I637" t="str">
        <f>VLOOKUP(Tabela2[[#This Row],[PAIS]],'[1]nome do paixs'!$A:$B,2,0)</f>
        <v>Canadá</v>
      </c>
      <c r="J637" t="s">
        <v>12</v>
      </c>
    </row>
    <row r="638" spans="1:10">
      <c r="A638">
        <v>2024</v>
      </c>
      <c r="B638">
        <v>1</v>
      </c>
      <c r="C638">
        <v>8807</v>
      </c>
      <c r="D638">
        <v>628</v>
      </c>
      <c r="E638" t="s">
        <v>10</v>
      </c>
      <c r="F638">
        <v>3449904</v>
      </c>
      <c r="G638" s="1">
        <v>3245</v>
      </c>
      <c r="H638" s="2">
        <v>1096466</v>
      </c>
      <c r="I638" t="str">
        <f>VLOOKUP(Tabela2[[#This Row],[PAIS]],'[1]nome do paixs'!$A:$B,2,0)</f>
        <v>Reino Unido</v>
      </c>
      <c r="J638" t="s">
        <v>12</v>
      </c>
    </row>
    <row r="639" spans="1:10">
      <c r="A639">
        <v>2024</v>
      </c>
      <c r="B639">
        <v>5</v>
      </c>
      <c r="C639">
        <v>8807</v>
      </c>
      <c r="D639">
        <v>607</v>
      </c>
      <c r="E639" t="s">
        <v>10</v>
      </c>
      <c r="F639">
        <v>3449904</v>
      </c>
      <c r="G639" s="1">
        <v>78</v>
      </c>
      <c r="H639" s="2">
        <v>114782</v>
      </c>
      <c r="I639" t="str">
        <f>VLOOKUP(Tabela2[[#This Row],[PAIS]],'[1]nome do paixs'!$A:$B,2,0)</f>
        <v>Portugal</v>
      </c>
      <c r="J639" t="s">
        <v>12</v>
      </c>
    </row>
    <row r="640" spans="1:10">
      <c r="A640">
        <v>2024</v>
      </c>
      <c r="B640">
        <v>4</v>
      </c>
      <c r="C640">
        <v>8807</v>
      </c>
      <c r="D640">
        <v>69</v>
      </c>
      <c r="E640" t="s">
        <v>10</v>
      </c>
      <c r="F640">
        <v>3449904</v>
      </c>
      <c r="G640" s="1">
        <v>24</v>
      </c>
      <c r="H640" s="2">
        <v>61348</v>
      </c>
      <c r="I640" t="str">
        <f>VLOOKUP(Tabela2[[#This Row],[PAIS]],'[1]nome do paixs'!$A:$B,2,0)</f>
        <v>Austrália</v>
      </c>
      <c r="J640" t="s">
        <v>12</v>
      </c>
    </row>
    <row r="641" spans="1:10">
      <c r="A641">
        <v>2024</v>
      </c>
      <c r="B641">
        <v>11</v>
      </c>
      <c r="C641">
        <v>8807</v>
      </c>
      <c r="D641">
        <v>528</v>
      </c>
      <c r="E641" t="s">
        <v>10</v>
      </c>
      <c r="F641">
        <v>3449904</v>
      </c>
      <c r="G641" s="1">
        <v>0</v>
      </c>
      <c r="H641" s="2">
        <v>1075</v>
      </c>
      <c r="I641" t="str">
        <f>VLOOKUP(Tabela2[[#This Row],[PAIS]],'[1]nome do paixs'!$A:$B,2,0)</f>
        <v>Nigéria</v>
      </c>
      <c r="J641" t="s">
        <v>12</v>
      </c>
    </row>
    <row r="642" spans="1:10">
      <c r="A642">
        <v>2024</v>
      </c>
      <c r="B642">
        <v>3</v>
      </c>
      <c r="C642">
        <v>8807</v>
      </c>
      <c r="D642">
        <v>538</v>
      </c>
      <c r="E642" t="s">
        <v>10</v>
      </c>
      <c r="F642">
        <v>3449904</v>
      </c>
      <c r="G642" s="1">
        <v>0</v>
      </c>
      <c r="H642" s="2">
        <v>5994</v>
      </c>
      <c r="I642" t="str">
        <f>VLOOKUP(Tabela2[[#This Row],[PAIS]],'[1]nome do paixs'!$A:$B,2,0)</f>
        <v>Noruega</v>
      </c>
      <c r="J642" t="s">
        <v>12</v>
      </c>
    </row>
    <row r="643" spans="1:10">
      <c r="A643">
        <v>2024</v>
      </c>
      <c r="B643">
        <v>6</v>
      </c>
      <c r="C643">
        <v>8807</v>
      </c>
      <c r="D643">
        <v>628</v>
      </c>
      <c r="E643" t="s">
        <v>10</v>
      </c>
      <c r="F643">
        <v>3449904</v>
      </c>
      <c r="G643" s="1">
        <v>1089</v>
      </c>
      <c r="H643" s="2">
        <v>355032</v>
      </c>
      <c r="I643" t="str">
        <f>VLOOKUP(Tabela2[[#This Row],[PAIS]],'[1]nome do paixs'!$A:$B,2,0)</f>
        <v>Reino Unido</v>
      </c>
      <c r="J643" t="s">
        <v>12</v>
      </c>
    </row>
    <row r="644" spans="1:10">
      <c r="A644">
        <v>2024</v>
      </c>
      <c r="B644">
        <v>7</v>
      </c>
      <c r="C644">
        <v>8807</v>
      </c>
      <c r="D644">
        <v>493</v>
      </c>
      <c r="E644" t="s">
        <v>10</v>
      </c>
      <c r="F644">
        <v>3449904</v>
      </c>
      <c r="G644" s="1">
        <v>4</v>
      </c>
      <c r="H644" s="2">
        <v>17449</v>
      </c>
      <c r="I644" t="str">
        <f>VLOOKUP(Tabela2[[#This Row],[PAIS]],'[1]nome do paixs'!$A:$B,2,0)</f>
        <v>México</v>
      </c>
      <c r="J644" t="s">
        <v>12</v>
      </c>
    </row>
    <row r="645" spans="1:10">
      <c r="A645">
        <v>2024</v>
      </c>
      <c r="B645">
        <v>11</v>
      </c>
      <c r="C645">
        <v>8807</v>
      </c>
      <c r="D645">
        <v>399</v>
      </c>
      <c r="E645" t="s">
        <v>10</v>
      </c>
      <c r="F645">
        <v>3449904</v>
      </c>
      <c r="G645" s="1">
        <v>1</v>
      </c>
      <c r="H645" s="2">
        <v>2033</v>
      </c>
      <c r="I645" t="str">
        <f>VLOOKUP(Tabela2[[#This Row],[PAIS]],'[1]nome do paixs'!$A:$B,2,0)</f>
        <v>Japão</v>
      </c>
      <c r="J645" t="s">
        <v>12</v>
      </c>
    </row>
    <row r="646" spans="1:10">
      <c r="A646">
        <v>2024</v>
      </c>
      <c r="B646">
        <v>3</v>
      </c>
      <c r="C646">
        <v>8807</v>
      </c>
      <c r="D646">
        <v>72</v>
      </c>
      <c r="E646" t="s">
        <v>10</v>
      </c>
      <c r="F646">
        <v>3449904</v>
      </c>
      <c r="G646" s="1">
        <v>3</v>
      </c>
      <c r="H646" s="2">
        <v>63021</v>
      </c>
      <c r="I646" t="str">
        <f>VLOOKUP(Tabela2[[#This Row],[PAIS]],'[1]nome do paixs'!$A:$B,2,0)</f>
        <v>Áustria</v>
      </c>
      <c r="J646" t="s">
        <v>12</v>
      </c>
    </row>
    <row r="647" spans="1:10">
      <c r="A647">
        <v>2024</v>
      </c>
      <c r="B647">
        <v>9</v>
      </c>
      <c r="C647">
        <v>8807</v>
      </c>
      <c r="D647">
        <v>538</v>
      </c>
      <c r="E647" t="s">
        <v>10</v>
      </c>
      <c r="F647">
        <v>3449904</v>
      </c>
      <c r="G647" s="1">
        <v>0</v>
      </c>
      <c r="H647" s="2">
        <v>803</v>
      </c>
      <c r="I647" t="str">
        <f>VLOOKUP(Tabela2[[#This Row],[PAIS]],'[1]nome do paixs'!$A:$B,2,0)</f>
        <v>Noruega</v>
      </c>
      <c r="J647" t="s">
        <v>12</v>
      </c>
    </row>
    <row r="648" spans="1:10">
      <c r="A648">
        <v>2024</v>
      </c>
      <c r="B648">
        <v>5</v>
      </c>
      <c r="C648">
        <v>8807</v>
      </c>
      <c r="D648">
        <v>244</v>
      </c>
      <c r="E648" t="s">
        <v>10</v>
      </c>
      <c r="F648">
        <v>3449904</v>
      </c>
      <c r="G648" s="1">
        <v>158</v>
      </c>
      <c r="H648" s="2">
        <v>26207</v>
      </c>
      <c r="I648" t="str">
        <f>VLOOKUP(Tabela2[[#This Row],[PAIS]],'[1]nome do paixs'!$A:$B,2,0)</f>
        <v>Emirados Árabes Unidos</v>
      </c>
      <c r="J648" t="s">
        <v>12</v>
      </c>
    </row>
    <row r="649" spans="1:10">
      <c r="A649">
        <v>2024</v>
      </c>
      <c r="B649">
        <v>1</v>
      </c>
      <c r="C649">
        <v>8807</v>
      </c>
      <c r="D649">
        <v>573</v>
      </c>
      <c r="E649" t="s">
        <v>10</v>
      </c>
      <c r="F649">
        <v>3449904</v>
      </c>
      <c r="G649" s="1">
        <v>24</v>
      </c>
      <c r="H649" s="2">
        <v>18662</v>
      </c>
      <c r="I649" t="str">
        <f>VLOOKUP(Tabela2[[#This Row],[PAIS]],'[1]nome do paixs'!$A:$B,2,0)</f>
        <v>Países Baixos (Holanda)</v>
      </c>
      <c r="J649" t="s">
        <v>12</v>
      </c>
    </row>
    <row r="650" spans="1:10">
      <c r="A650">
        <v>2024</v>
      </c>
      <c r="B650">
        <v>9</v>
      </c>
      <c r="C650">
        <v>8807</v>
      </c>
      <c r="D650">
        <v>73</v>
      </c>
      <c r="E650" t="s">
        <v>10</v>
      </c>
      <c r="F650">
        <v>3449904</v>
      </c>
      <c r="G650" s="1">
        <v>5</v>
      </c>
      <c r="H650" s="2">
        <v>113809</v>
      </c>
      <c r="I650" t="str">
        <f>VLOOKUP(Tabela2[[#This Row],[PAIS]],'[1]nome do paixs'!$A:$B,2,0)</f>
        <v>Azerbaijão</v>
      </c>
      <c r="J650" t="s">
        <v>12</v>
      </c>
    </row>
    <row r="651" spans="1:10">
      <c r="A651">
        <v>2024</v>
      </c>
      <c r="B651">
        <v>10</v>
      </c>
      <c r="C651">
        <v>8807</v>
      </c>
      <c r="D651">
        <v>493</v>
      </c>
      <c r="E651" t="s">
        <v>10</v>
      </c>
      <c r="F651">
        <v>3449904</v>
      </c>
      <c r="G651" s="1">
        <v>2</v>
      </c>
      <c r="H651" s="2">
        <v>27455</v>
      </c>
      <c r="I651" t="str">
        <f>VLOOKUP(Tabela2[[#This Row],[PAIS]],'[1]nome do paixs'!$A:$B,2,0)</f>
        <v>México</v>
      </c>
      <c r="J651" t="s">
        <v>12</v>
      </c>
    </row>
    <row r="652" spans="1:10">
      <c r="A652">
        <v>2024</v>
      </c>
      <c r="B652">
        <v>5</v>
      </c>
      <c r="C652">
        <v>8807</v>
      </c>
      <c r="D652">
        <v>23</v>
      </c>
      <c r="E652" t="s">
        <v>10</v>
      </c>
      <c r="F652">
        <v>3449904</v>
      </c>
      <c r="G652" s="1">
        <v>327</v>
      </c>
      <c r="H652" s="2">
        <v>585724</v>
      </c>
      <c r="I652" t="str">
        <f>VLOOKUP(Tabela2[[#This Row],[PAIS]],'[1]nome do paixs'!$A:$B,2,0)</f>
        <v>Alemanha</v>
      </c>
      <c r="J652" t="s">
        <v>12</v>
      </c>
    </row>
    <row r="653" spans="1:10">
      <c r="A653">
        <v>2024</v>
      </c>
      <c r="B653">
        <v>10</v>
      </c>
      <c r="C653">
        <v>8807</v>
      </c>
      <c r="D653">
        <v>607</v>
      </c>
      <c r="E653" t="s">
        <v>10</v>
      </c>
      <c r="F653">
        <v>3449904</v>
      </c>
      <c r="G653" s="1">
        <v>144</v>
      </c>
      <c r="H653" s="2">
        <v>314047</v>
      </c>
      <c r="I653" t="str">
        <f>VLOOKUP(Tabela2[[#This Row],[PAIS]],'[1]nome do paixs'!$A:$B,2,0)</f>
        <v>Portugal</v>
      </c>
      <c r="J653" t="s">
        <v>12</v>
      </c>
    </row>
    <row r="654" spans="1:10">
      <c r="A654">
        <v>2024</v>
      </c>
      <c r="B654">
        <v>1</v>
      </c>
      <c r="C654">
        <v>8807</v>
      </c>
      <c r="D654">
        <v>603</v>
      </c>
      <c r="E654" t="s">
        <v>10</v>
      </c>
      <c r="F654">
        <v>3449904</v>
      </c>
      <c r="G654" s="1">
        <v>7</v>
      </c>
      <c r="H654" s="2">
        <v>6113</v>
      </c>
      <c r="I654" t="str">
        <f>VLOOKUP(Tabela2[[#This Row],[PAIS]],'[1]nome do paixs'!$A:$B,2,0)</f>
        <v>Polônia</v>
      </c>
      <c r="J654" t="s">
        <v>12</v>
      </c>
    </row>
    <row r="655" spans="1:10">
      <c r="A655">
        <v>2024</v>
      </c>
      <c r="B655">
        <v>8</v>
      </c>
      <c r="C655">
        <v>8807</v>
      </c>
      <c r="D655">
        <v>149</v>
      </c>
      <c r="E655" t="s">
        <v>10</v>
      </c>
      <c r="F655">
        <v>3449904</v>
      </c>
      <c r="G655" s="1">
        <v>6</v>
      </c>
      <c r="H655" s="2">
        <v>18092</v>
      </c>
      <c r="I655" t="str">
        <f>VLOOKUP(Tabela2[[#This Row],[PAIS]],'[1]nome do paixs'!$A:$B,2,0)</f>
        <v>Canadá</v>
      </c>
      <c r="J655" t="s">
        <v>12</v>
      </c>
    </row>
    <row r="656" spans="1:10">
      <c r="A656">
        <v>2024</v>
      </c>
      <c r="B656">
        <v>7</v>
      </c>
      <c r="C656">
        <v>8807</v>
      </c>
      <c r="D656">
        <v>628</v>
      </c>
      <c r="E656" t="s">
        <v>10</v>
      </c>
      <c r="F656">
        <v>3449904</v>
      </c>
      <c r="G656" s="1">
        <v>1653</v>
      </c>
      <c r="H656" s="2">
        <v>733802</v>
      </c>
      <c r="I656" t="str">
        <f>VLOOKUP(Tabela2[[#This Row],[PAIS]],'[1]nome do paixs'!$A:$B,2,0)</f>
        <v>Reino Unido</v>
      </c>
      <c r="J656" t="s">
        <v>12</v>
      </c>
    </row>
    <row r="657" spans="1:10">
      <c r="A657">
        <v>2024</v>
      </c>
      <c r="B657">
        <v>11</v>
      </c>
      <c r="C657">
        <v>8807</v>
      </c>
      <c r="D657">
        <v>301</v>
      </c>
      <c r="E657" t="s">
        <v>10</v>
      </c>
      <c r="F657">
        <v>3449904</v>
      </c>
      <c r="G657" s="1">
        <v>3</v>
      </c>
      <c r="H657" s="2">
        <v>66875</v>
      </c>
      <c r="I657" t="str">
        <f>VLOOKUP(Tabela2[[#This Row],[PAIS]],'[1]nome do paixs'!$A:$B,2,0)</f>
        <v>Grécia</v>
      </c>
      <c r="J657" t="s">
        <v>12</v>
      </c>
    </row>
    <row r="658" spans="1:10">
      <c r="A658">
        <v>2024</v>
      </c>
      <c r="B658">
        <v>1</v>
      </c>
      <c r="C658">
        <v>8807</v>
      </c>
      <c r="D658">
        <v>271</v>
      </c>
      <c r="E658" t="s">
        <v>10</v>
      </c>
      <c r="F658">
        <v>3449904</v>
      </c>
      <c r="G658" s="1">
        <v>4</v>
      </c>
      <c r="H658" s="2">
        <v>94988</v>
      </c>
      <c r="I658" t="str">
        <f>VLOOKUP(Tabela2[[#This Row],[PAIS]],'[1]nome do paixs'!$A:$B,2,0)</f>
        <v>Finlândia</v>
      </c>
      <c r="J658" t="s">
        <v>12</v>
      </c>
    </row>
    <row r="659" spans="1:10">
      <c r="A659">
        <v>2024</v>
      </c>
      <c r="B659">
        <v>12</v>
      </c>
      <c r="C659">
        <v>8807</v>
      </c>
      <c r="D659">
        <v>756</v>
      </c>
      <c r="E659" t="s">
        <v>10</v>
      </c>
      <c r="F659">
        <v>3449904</v>
      </c>
      <c r="G659" s="1">
        <v>0</v>
      </c>
      <c r="H659" s="2">
        <v>6039</v>
      </c>
      <c r="I659" t="str">
        <f>VLOOKUP(Tabela2[[#This Row],[PAIS]],'[1]nome do paixs'!$A:$B,2,0)</f>
        <v>África do Sul</v>
      </c>
      <c r="J659" t="s">
        <v>12</v>
      </c>
    </row>
    <row r="660" spans="1:10">
      <c r="A660">
        <v>2024</v>
      </c>
      <c r="B660">
        <v>10</v>
      </c>
      <c r="C660">
        <v>8807</v>
      </c>
      <c r="D660">
        <v>756</v>
      </c>
      <c r="E660" t="s">
        <v>10</v>
      </c>
      <c r="F660">
        <v>3449904</v>
      </c>
      <c r="G660" s="1">
        <v>0</v>
      </c>
      <c r="H660" s="2">
        <v>227</v>
      </c>
      <c r="I660" t="str">
        <f>VLOOKUP(Tabela2[[#This Row],[PAIS]],'[1]nome do paixs'!$A:$B,2,0)</f>
        <v>África do Sul</v>
      </c>
      <c r="J660" t="s">
        <v>12</v>
      </c>
    </row>
    <row r="661" spans="1:10">
      <c r="A661">
        <v>2024</v>
      </c>
      <c r="B661">
        <v>1</v>
      </c>
      <c r="C661">
        <v>8807</v>
      </c>
      <c r="D661">
        <v>249</v>
      </c>
      <c r="E661" t="s">
        <v>10</v>
      </c>
      <c r="F661">
        <v>3449904</v>
      </c>
      <c r="G661" s="1">
        <v>3774</v>
      </c>
      <c r="H661" s="2">
        <v>3624677</v>
      </c>
      <c r="I661" t="str">
        <f>VLOOKUP(Tabela2[[#This Row],[PAIS]],'[1]nome do paixs'!$A:$B,2,0)</f>
        <v>Estados Unidos</v>
      </c>
      <c r="J661" t="s">
        <v>12</v>
      </c>
    </row>
    <row r="662" spans="1:10">
      <c r="A662">
        <v>2024</v>
      </c>
      <c r="B662">
        <v>4</v>
      </c>
      <c r="C662">
        <v>8807</v>
      </c>
      <c r="D662">
        <v>87</v>
      </c>
      <c r="E662" t="s">
        <v>10</v>
      </c>
      <c r="F662">
        <v>3449904</v>
      </c>
      <c r="G662" s="1">
        <v>10793</v>
      </c>
      <c r="H662" s="2">
        <v>5000243</v>
      </c>
      <c r="I662" t="str">
        <f>VLOOKUP(Tabela2[[#This Row],[PAIS]],'[1]nome do paixs'!$A:$B,2,0)</f>
        <v>Bélgica</v>
      </c>
      <c r="J662" t="s">
        <v>12</v>
      </c>
    </row>
    <row r="663" spans="1:10">
      <c r="A663">
        <v>2024</v>
      </c>
      <c r="B663">
        <v>3</v>
      </c>
      <c r="C663">
        <v>8807</v>
      </c>
      <c r="D663">
        <v>607</v>
      </c>
      <c r="E663" t="s">
        <v>10</v>
      </c>
      <c r="F663">
        <v>3449904</v>
      </c>
      <c r="G663" s="1">
        <v>57</v>
      </c>
      <c r="H663" s="2">
        <v>84339</v>
      </c>
      <c r="I663" t="str">
        <f>VLOOKUP(Tabela2[[#This Row],[PAIS]],'[1]nome do paixs'!$A:$B,2,0)</f>
        <v>Portugal</v>
      </c>
      <c r="J663" t="s">
        <v>12</v>
      </c>
    </row>
    <row r="664" spans="1:10">
      <c r="A664">
        <v>2024</v>
      </c>
      <c r="B664">
        <v>5</v>
      </c>
      <c r="C664">
        <v>8807</v>
      </c>
      <c r="D664">
        <v>87</v>
      </c>
      <c r="E664" t="s">
        <v>10</v>
      </c>
      <c r="F664">
        <v>3449904</v>
      </c>
      <c r="G664" s="1">
        <v>6597</v>
      </c>
      <c r="H664" s="2">
        <v>3393643</v>
      </c>
      <c r="I664" t="str">
        <f>VLOOKUP(Tabela2[[#This Row],[PAIS]],'[1]nome do paixs'!$A:$B,2,0)</f>
        <v>Bélgica</v>
      </c>
      <c r="J664" t="s">
        <v>12</v>
      </c>
    </row>
    <row r="665" spans="1:10">
      <c r="A665">
        <v>2024</v>
      </c>
      <c r="B665">
        <v>4</v>
      </c>
      <c r="C665">
        <v>8807</v>
      </c>
      <c r="D665">
        <v>386</v>
      </c>
      <c r="E665" t="s">
        <v>10</v>
      </c>
      <c r="F665">
        <v>3449904</v>
      </c>
      <c r="G665" s="1">
        <v>1319</v>
      </c>
      <c r="H665" s="2">
        <v>456458</v>
      </c>
      <c r="I665" t="str">
        <f>VLOOKUP(Tabela2[[#This Row],[PAIS]],'[1]nome do paixs'!$A:$B,2,0)</f>
        <v>Itália</v>
      </c>
      <c r="J665" t="s">
        <v>12</v>
      </c>
    </row>
    <row r="666" spans="1:10">
      <c r="A666">
        <v>2024</v>
      </c>
      <c r="B666">
        <v>9</v>
      </c>
      <c r="C666">
        <v>8807</v>
      </c>
      <c r="D666">
        <v>741</v>
      </c>
      <c r="E666" t="s">
        <v>10</v>
      </c>
      <c r="F666">
        <v>3449904</v>
      </c>
      <c r="G666" s="1">
        <v>147</v>
      </c>
      <c r="H666" s="2">
        <v>77679</v>
      </c>
      <c r="I666" t="str">
        <f>VLOOKUP(Tabela2[[#This Row],[PAIS]],'[1]nome do paixs'!$A:$B,2,0)</f>
        <v>Singapura</v>
      </c>
      <c r="J666" t="s">
        <v>12</v>
      </c>
    </row>
    <row r="667" spans="1:10">
      <c r="A667">
        <v>2024</v>
      </c>
      <c r="B667">
        <v>1</v>
      </c>
      <c r="C667">
        <v>8807</v>
      </c>
      <c r="D667">
        <v>741</v>
      </c>
      <c r="E667" t="s">
        <v>10</v>
      </c>
      <c r="F667">
        <v>3449904</v>
      </c>
      <c r="G667" s="1">
        <v>13</v>
      </c>
      <c r="H667" s="2">
        <v>18869</v>
      </c>
      <c r="I667" t="str">
        <f>VLOOKUP(Tabela2[[#This Row],[PAIS]],'[1]nome do paixs'!$A:$B,2,0)</f>
        <v>Singapura</v>
      </c>
      <c r="J667" t="s">
        <v>12</v>
      </c>
    </row>
    <row r="668" spans="1:10">
      <c r="A668">
        <v>2024</v>
      </c>
      <c r="B668">
        <v>6</v>
      </c>
      <c r="C668">
        <v>8807</v>
      </c>
      <c r="D668">
        <v>741</v>
      </c>
      <c r="E668" t="s">
        <v>10</v>
      </c>
      <c r="F668">
        <v>3449904</v>
      </c>
      <c r="G668" s="1">
        <v>10</v>
      </c>
      <c r="H668" s="2">
        <v>9305</v>
      </c>
      <c r="I668" t="str">
        <f>VLOOKUP(Tabela2[[#This Row],[PAIS]],'[1]nome do paixs'!$A:$B,2,0)</f>
        <v>Singapura</v>
      </c>
      <c r="J668" t="s">
        <v>12</v>
      </c>
    </row>
    <row r="669" spans="1:10">
      <c r="A669">
        <v>2024</v>
      </c>
      <c r="B669">
        <v>7</v>
      </c>
      <c r="C669">
        <v>8807</v>
      </c>
      <c r="D669">
        <v>244</v>
      </c>
      <c r="E669" t="s">
        <v>10</v>
      </c>
      <c r="F669">
        <v>3449904</v>
      </c>
      <c r="G669" s="1">
        <v>431</v>
      </c>
      <c r="H669" s="2">
        <v>58522</v>
      </c>
      <c r="I669" t="str">
        <f>VLOOKUP(Tabela2[[#This Row],[PAIS]],'[1]nome do paixs'!$A:$B,2,0)</f>
        <v>Emirados Árabes Unidos</v>
      </c>
      <c r="J669" t="s">
        <v>12</v>
      </c>
    </row>
    <row r="670" spans="1:10">
      <c r="A670">
        <v>2024</v>
      </c>
      <c r="B670">
        <v>12</v>
      </c>
      <c r="C670">
        <v>8807</v>
      </c>
      <c r="D670">
        <v>767</v>
      </c>
      <c r="E670" t="s">
        <v>10</v>
      </c>
      <c r="F670">
        <v>3449904</v>
      </c>
      <c r="G670" s="1">
        <v>0</v>
      </c>
      <c r="H670" s="2">
        <v>909</v>
      </c>
      <c r="I670" t="str">
        <f>VLOOKUP(Tabela2[[#This Row],[PAIS]],'[1]nome do paixs'!$A:$B,2,0)</f>
        <v>Suíça</v>
      </c>
      <c r="J670" t="s">
        <v>12</v>
      </c>
    </row>
    <row r="671" spans="1:10">
      <c r="A671">
        <v>2024</v>
      </c>
      <c r="B671">
        <v>7</v>
      </c>
      <c r="C671">
        <v>8807</v>
      </c>
      <c r="D671">
        <v>23</v>
      </c>
      <c r="E671" t="s">
        <v>10</v>
      </c>
      <c r="F671">
        <v>3449904</v>
      </c>
      <c r="G671" s="1">
        <v>500</v>
      </c>
      <c r="H671" s="2">
        <v>756041</v>
      </c>
      <c r="I671" t="str">
        <f>VLOOKUP(Tabela2[[#This Row],[PAIS]],'[1]nome do paixs'!$A:$B,2,0)</f>
        <v>Alemanha</v>
      </c>
      <c r="J671" t="s">
        <v>12</v>
      </c>
    </row>
    <row r="672" spans="1:10">
      <c r="A672">
        <v>2024</v>
      </c>
      <c r="B672">
        <v>10</v>
      </c>
      <c r="C672">
        <v>8807</v>
      </c>
      <c r="D672">
        <v>386</v>
      </c>
      <c r="E672" t="s">
        <v>10</v>
      </c>
      <c r="F672">
        <v>3449904</v>
      </c>
      <c r="G672" s="1">
        <v>205</v>
      </c>
      <c r="H672" s="2">
        <v>80823</v>
      </c>
      <c r="I672" t="str">
        <f>VLOOKUP(Tabela2[[#This Row],[PAIS]],'[1]nome do paixs'!$A:$B,2,0)</f>
        <v>Itália</v>
      </c>
      <c r="J672" t="s">
        <v>12</v>
      </c>
    </row>
    <row r="673" spans="1:10">
      <c r="A673">
        <v>2024</v>
      </c>
      <c r="B673">
        <v>7</v>
      </c>
      <c r="C673">
        <v>8807</v>
      </c>
      <c r="D673">
        <v>158</v>
      </c>
      <c r="E673" t="s">
        <v>10</v>
      </c>
      <c r="F673">
        <v>3449904</v>
      </c>
      <c r="G673" s="1">
        <v>23</v>
      </c>
      <c r="H673" s="2">
        <v>220802</v>
      </c>
      <c r="I673" t="str">
        <f>VLOOKUP(Tabela2[[#This Row],[PAIS]],'[1]nome do paixs'!$A:$B,2,0)</f>
        <v>Chile</v>
      </c>
      <c r="J673" t="s">
        <v>12</v>
      </c>
    </row>
    <row r="674" spans="1:10">
      <c r="A674">
        <v>2024</v>
      </c>
      <c r="B674">
        <v>1</v>
      </c>
      <c r="C674">
        <v>8807</v>
      </c>
      <c r="D674">
        <v>190</v>
      </c>
      <c r="E674" t="s">
        <v>10</v>
      </c>
      <c r="F674">
        <v>3449904</v>
      </c>
      <c r="G674" s="1">
        <v>10</v>
      </c>
      <c r="H674" s="2">
        <v>16600</v>
      </c>
      <c r="I674" t="str">
        <f>VLOOKUP(Tabela2[[#This Row],[PAIS]],'[1]nome do paixs'!$A:$B,2,0)</f>
        <v>Coreia do Sul</v>
      </c>
      <c r="J674" t="s">
        <v>12</v>
      </c>
    </row>
    <row r="675" spans="1:10">
      <c r="A675">
        <v>2024</v>
      </c>
      <c r="B675">
        <v>10</v>
      </c>
      <c r="C675">
        <v>8807</v>
      </c>
      <c r="D675">
        <v>69</v>
      </c>
      <c r="E675" t="s">
        <v>10</v>
      </c>
      <c r="F675">
        <v>3449904</v>
      </c>
      <c r="G675" s="1">
        <v>1</v>
      </c>
      <c r="H675" s="2">
        <v>11874</v>
      </c>
      <c r="I675" t="str">
        <f>VLOOKUP(Tabela2[[#This Row],[PAIS]],'[1]nome do paixs'!$A:$B,2,0)</f>
        <v>Austrália</v>
      </c>
      <c r="J675" t="s">
        <v>12</v>
      </c>
    </row>
    <row r="676" spans="1:10">
      <c r="A676">
        <v>2024</v>
      </c>
      <c r="B676">
        <v>5</v>
      </c>
      <c r="C676">
        <v>8807</v>
      </c>
      <c r="D676">
        <v>169</v>
      </c>
      <c r="E676" t="s">
        <v>10</v>
      </c>
      <c r="F676">
        <v>3449904</v>
      </c>
      <c r="G676" s="1">
        <v>66</v>
      </c>
      <c r="H676" s="2">
        <v>444602</v>
      </c>
      <c r="I676" t="str">
        <f>VLOOKUP(Tabela2[[#This Row],[PAIS]],'[1]nome do paixs'!$A:$B,2,0)</f>
        <v>Colômbia</v>
      </c>
      <c r="J676" t="s">
        <v>12</v>
      </c>
    </row>
    <row r="677" spans="1:10">
      <c r="A677">
        <v>2024</v>
      </c>
      <c r="B677">
        <v>11</v>
      </c>
      <c r="C677">
        <v>8807</v>
      </c>
      <c r="D677">
        <v>169</v>
      </c>
      <c r="E677" t="s">
        <v>10</v>
      </c>
      <c r="F677">
        <v>3449904</v>
      </c>
      <c r="G677" s="1">
        <v>1</v>
      </c>
      <c r="H677" s="2">
        <v>12981</v>
      </c>
      <c r="I677" t="str">
        <f>VLOOKUP(Tabela2[[#This Row],[PAIS]],'[1]nome do paixs'!$A:$B,2,0)</f>
        <v>Colômbia</v>
      </c>
      <c r="J677" t="s">
        <v>12</v>
      </c>
    </row>
    <row r="678" spans="1:10">
      <c r="A678">
        <v>2024</v>
      </c>
      <c r="B678">
        <v>8</v>
      </c>
      <c r="C678">
        <v>8807</v>
      </c>
      <c r="D678">
        <v>386</v>
      </c>
      <c r="E678" t="s">
        <v>10</v>
      </c>
      <c r="F678">
        <v>3449904</v>
      </c>
      <c r="G678" s="1">
        <v>1280</v>
      </c>
      <c r="H678" s="2">
        <v>460385</v>
      </c>
      <c r="I678" t="str">
        <f>VLOOKUP(Tabela2[[#This Row],[PAIS]],'[1]nome do paixs'!$A:$B,2,0)</f>
        <v>Itália</v>
      </c>
      <c r="J678" t="s">
        <v>12</v>
      </c>
    </row>
    <row r="679" spans="1:10">
      <c r="A679">
        <v>2024</v>
      </c>
      <c r="B679">
        <v>7</v>
      </c>
      <c r="C679">
        <v>8807</v>
      </c>
      <c r="D679">
        <v>275</v>
      </c>
      <c r="E679" t="s">
        <v>10</v>
      </c>
      <c r="F679">
        <v>3449904</v>
      </c>
      <c r="G679" s="1">
        <v>271</v>
      </c>
      <c r="H679" s="2">
        <v>305189</v>
      </c>
      <c r="I679" t="str">
        <f>VLOOKUP(Tabela2[[#This Row],[PAIS]],'[1]nome do paixs'!$A:$B,2,0)</f>
        <v>França</v>
      </c>
      <c r="J679" t="s">
        <v>12</v>
      </c>
    </row>
    <row r="680" spans="1:10">
      <c r="A680">
        <v>2024</v>
      </c>
      <c r="B680">
        <v>4</v>
      </c>
      <c r="C680">
        <v>8807</v>
      </c>
      <c r="D680">
        <v>160</v>
      </c>
      <c r="E680" t="s">
        <v>10</v>
      </c>
      <c r="F680">
        <v>3449904</v>
      </c>
      <c r="G680" s="1">
        <v>1</v>
      </c>
      <c r="H680" s="2">
        <v>1347</v>
      </c>
      <c r="I680" t="str">
        <f>VLOOKUP(Tabela2[[#This Row],[PAIS]],'[1]nome do paixs'!$A:$B,2,0)</f>
        <v>China</v>
      </c>
      <c r="J680" t="s">
        <v>12</v>
      </c>
    </row>
    <row r="681" spans="1:10">
      <c r="A681">
        <v>2024</v>
      </c>
      <c r="B681">
        <v>9</v>
      </c>
      <c r="C681">
        <v>8807</v>
      </c>
      <c r="D681">
        <v>249</v>
      </c>
      <c r="E681" t="s">
        <v>10</v>
      </c>
      <c r="F681">
        <v>3449904</v>
      </c>
      <c r="G681" s="1">
        <v>5054</v>
      </c>
      <c r="H681" s="2">
        <v>5174853</v>
      </c>
      <c r="I681" t="str">
        <f>VLOOKUP(Tabela2[[#This Row],[PAIS]],'[1]nome do paixs'!$A:$B,2,0)</f>
        <v>Estados Unidos</v>
      </c>
      <c r="J681" t="s">
        <v>12</v>
      </c>
    </row>
    <row r="682" spans="1:10">
      <c r="A682">
        <v>2024</v>
      </c>
      <c r="B682">
        <v>2</v>
      </c>
      <c r="C682">
        <v>8807</v>
      </c>
      <c r="D682">
        <v>160</v>
      </c>
      <c r="E682" t="s">
        <v>10</v>
      </c>
      <c r="F682">
        <v>3449904</v>
      </c>
      <c r="G682" s="1">
        <v>1</v>
      </c>
      <c r="H682" s="2">
        <v>852</v>
      </c>
      <c r="I682" t="str">
        <f>VLOOKUP(Tabela2[[#This Row],[PAIS]],'[1]nome do paixs'!$A:$B,2,0)</f>
        <v>China</v>
      </c>
      <c r="J682" t="s">
        <v>12</v>
      </c>
    </row>
    <row r="683" spans="1:10">
      <c r="A683">
        <v>2024</v>
      </c>
      <c r="B683">
        <v>11</v>
      </c>
      <c r="C683">
        <v>8807</v>
      </c>
      <c r="D683">
        <v>87</v>
      </c>
      <c r="E683" t="s">
        <v>10</v>
      </c>
      <c r="F683">
        <v>3449904</v>
      </c>
      <c r="G683" s="1">
        <v>10212</v>
      </c>
      <c r="H683" s="2">
        <v>4263655</v>
      </c>
      <c r="I683" t="str">
        <f>VLOOKUP(Tabela2[[#This Row],[PAIS]],'[1]nome do paixs'!$A:$B,2,0)</f>
        <v>Bélgica</v>
      </c>
      <c r="J683" t="s">
        <v>12</v>
      </c>
    </row>
    <row r="684" spans="1:10">
      <c r="A684">
        <v>2024</v>
      </c>
      <c r="B684">
        <v>2</v>
      </c>
      <c r="C684">
        <v>8807</v>
      </c>
      <c r="D684">
        <v>245</v>
      </c>
      <c r="E684" t="s">
        <v>10</v>
      </c>
      <c r="F684">
        <v>3449904</v>
      </c>
      <c r="G684" s="1">
        <v>4341</v>
      </c>
      <c r="H684" s="2">
        <v>2063276</v>
      </c>
      <c r="I684" t="str">
        <f>VLOOKUP(Tabela2[[#This Row],[PAIS]],'[1]nome do paixs'!$A:$B,2,0)</f>
        <v>Espanha</v>
      </c>
      <c r="J684" t="s">
        <v>12</v>
      </c>
    </row>
    <row r="685" spans="1:10">
      <c r="A685">
        <v>2024</v>
      </c>
      <c r="B685">
        <v>2</v>
      </c>
      <c r="C685">
        <v>8807</v>
      </c>
      <c r="D685">
        <v>741</v>
      </c>
      <c r="E685" t="s">
        <v>10</v>
      </c>
      <c r="F685">
        <v>3449904</v>
      </c>
      <c r="G685" s="1">
        <v>108</v>
      </c>
      <c r="H685" s="2">
        <v>78007</v>
      </c>
      <c r="I685" t="str">
        <f>VLOOKUP(Tabela2[[#This Row],[PAIS]],'[1]nome do paixs'!$A:$B,2,0)</f>
        <v>Singapura</v>
      </c>
      <c r="J685" t="s">
        <v>12</v>
      </c>
    </row>
    <row r="686" spans="1:10">
      <c r="A686">
        <v>2024</v>
      </c>
      <c r="B686">
        <v>8</v>
      </c>
      <c r="C686">
        <v>8807</v>
      </c>
      <c r="D686">
        <v>607</v>
      </c>
      <c r="E686" t="s">
        <v>10</v>
      </c>
      <c r="F686">
        <v>3449904</v>
      </c>
      <c r="G686" s="1">
        <v>136</v>
      </c>
      <c r="H686" s="2">
        <v>450196</v>
      </c>
      <c r="I686" t="str">
        <f>VLOOKUP(Tabela2[[#This Row],[PAIS]],'[1]nome do paixs'!$A:$B,2,0)</f>
        <v>Portugal</v>
      </c>
      <c r="J686" t="s">
        <v>12</v>
      </c>
    </row>
    <row r="687" spans="1:10">
      <c r="A687">
        <v>2024</v>
      </c>
      <c r="B687">
        <v>9</v>
      </c>
      <c r="C687">
        <v>8807</v>
      </c>
      <c r="D687">
        <v>31</v>
      </c>
      <c r="E687" t="s">
        <v>10</v>
      </c>
      <c r="F687">
        <v>3449904</v>
      </c>
      <c r="G687" s="1">
        <v>1</v>
      </c>
      <c r="H687" s="2">
        <v>3045</v>
      </c>
      <c r="I687" t="str">
        <f>VLOOKUP(Tabela2[[#This Row],[PAIS]],'[1]nome do paixs'!$A:$B,2,0)</f>
        <v>Burkina Faso</v>
      </c>
      <c r="J687" t="s">
        <v>12</v>
      </c>
    </row>
    <row r="688" spans="1:10">
      <c r="A688">
        <v>2024</v>
      </c>
      <c r="B688">
        <v>11</v>
      </c>
      <c r="C688">
        <v>8807</v>
      </c>
      <c r="D688">
        <v>756</v>
      </c>
      <c r="E688" t="s">
        <v>10</v>
      </c>
      <c r="F688">
        <v>3449904</v>
      </c>
      <c r="G688" s="1">
        <v>0</v>
      </c>
      <c r="H688" s="2">
        <v>3046</v>
      </c>
      <c r="I688" t="str">
        <f>VLOOKUP(Tabela2[[#This Row],[PAIS]],'[1]nome do paixs'!$A:$B,2,0)</f>
        <v>África do Sul</v>
      </c>
      <c r="J688" t="s">
        <v>12</v>
      </c>
    </row>
    <row r="689" spans="1:10">
      <c r="A689">
        <v>2024</v>
      </c>
      <c r="B689">
        <v>11</v>
      </c>
      <c r="C689">
        <v>8807</v>
      </c>
      <c r="D689">
        <v>160</v>
      </c>
      <c r="E689" t="s">
        <v>10</v>
      </c>
      <c r="F689">
        <v>3449904</v>
      </c>
      <c r="G689" s="1">
        <v>29</v>
      </c>
      <c r="H689" s="2">
        <v>23643</v>
      </c>
      <c r="I689" t="str">
        <f>VLOOKUP(Tabela2[[#This Row],[PAIS]],'[1]nome do paixs'!$A:$B,2,0)</f>
        <v>China</v>
      </c>
      <c r="J689" t="s">
        <v>12</v>
      </c>
    </row>
    <row r="690" spans="1:10">
      <c r="A690">
        <v>2024</v>
      </c>
      <c r="B690">
        <v>7</v>
      </c>
      <c r="C690">
        <v>8807</v>
      </c>
      <c r="D690">
        <v>72</v>
      </c>
      <c r="E690" t="s">
        <v>10</v>
      </c>
      <c r="F690">
        <v>3449904</v>
      </c>
      <c r="G690" s="1">
        <v>5</v>
      </c>
      <c r="H690" s="2">
        <v>126043</v>
      </c>
      <c r="I690" t="str">
        <f>VLOOKUP(Tabela2[[#This Row],[PAIS]],'[1]nome do paixs'!$A:$B,2,0)</f>
        <v>Áustria</v>
      </c>
      <c r="J690" t="s">
        <v>12</v>
      </c>
    </row>
    <row r="691" spans="1:10">
      <c r="A691">
        <v>2024</v>
      </c>
      <c r="B691">
        <v>8</v>
      </c>
      <c r="C691">
        <v>8807</v>
      </c>
      <c r="D691">
        <v>244</v>
      </c>
      <c r="E691" t="s">
        <v>10</v>
      </c>
      <c r="F691">
        <v>3449904</v>
      </c>
      <c r="G691" s="1">
        <v>105</v>
      </c>
      <c r="H691" s="2">
        <v>15084</v>
      </c>
      <c r="I691" t="str">
        <f>VLOOKUP(Tabela2[[#This Row],[PAIS]],'[1]nome do paixs'!$A:$B,2,0)</f>
        <v>Emirados Árabes Unidos</v>
      </c>
      <c r="J691" t="s">
        <v>12</v>
      </c>
    </row>
    <row r="692" spans="1:10">
      <c r="A692">
        <v>2024</v>
      </c>
      <c r="B692">
        <v>3</v>
      </c>
      <c r="C692">
        <v>8807</v>
      </c>
      <c r="D692">
        <v>69</v>
      </c>
      <c r="E692" t="s">
        <v>10</v>
      </c>
      <c r="F692">
        <v>3449904</v>
      </c>
      <c r="G692" s="1">
        <v>4</v>
      </c>
      <c r="H692" s="2">
        <v>94988</v>
      </c>
      <c r="I692" t="str">
        <f>VLOOKUP(Tabela2[[#This Row],[PAIS]],'[1]nome do paixs'!$A:$B,2,0)</f>
        <v>Austrália</v>
      </c>
      <c r="J692" t="s">
        <v>12</v>
      </c>
    </row>
    <row r="693" spans="1:10">
      <c r="A693">
        <v>2024</v>
      </c>
      <c r="B693">
        <v>8</v>
      </c>
      <c r="C693">
        <v>8807</v>
      </c>
      <c r="D693">
        <v>767</v>
      </c>
      <c r="E693" t="s">
        <v>10</v>
      </c>
      <c r="F693">
        <v>3449904</v>
      </c>
      <c r="G693" s="1">
        <v>10</v>
      </c>
      <c r="H693" s="2">
        <v>12157</v>
      </c>
      <c r="I693" t="str">
        <f>VLOOKUP(Tabela2[[#This Row],[PAIS]],'[1]nome do paixs'!$A:$B,2,0)</f>
        <v>Suíça</v>
      </c>
      <c r="J693" t="s">
        <v>12</v>
      </c>
    </row>
    <row r="694" spans="1:10">
      <c r="A694">
        <v>2024</v>
      </c>
      <c r="B694">
        <v>2</v>
      </c>
      <c r="C694">
        <v>8807</v>
      </c>
      <c r="D694">
        <v>158</v>
      </c>
      <c r="E694" t="s">
        <v>10</v>
      </c>
      <c r="F694">
        <v>3449904</v>
      </c>
      <c r="G694" s="1">
        <v>30</v>
      </c>
      <c r="H694" s="2">
        <v>63216</v>
      </c>
      <c r="I694" t="str">
        <f>VLOOKUP(Tabela2[[#This Row],[PAIS]],'[1]nome do paixs'!$A:$B,2,0)</f>
        <v>Chile</v>
      </c>
      <c r="J694" t="s">
        <v>12</v>
      </c>
    </row>
    <row r="695" spans="1:10">
      <c r="A695">
        <v>2024</v>
      </c>
      <c r="B695">
        <v>12</v>
      </c>
      <c r="C695">
        <v>8807</v>
      </c>
      <c r="D695">
        <v>249</v>
      </c>
      <c r="E695" t="s">
        <v>10</v>
      </c>
      <c r="F695">
        <v>3449904</v>
      </c>
      <c r="G695" s="1">
        <v>6745</v>
      </c>
      <c r="H695" s="2">
        <v>6941804</v>
      </c>
      <c r="I695" t="str">
        <f>VLOOKUP(Tabela2[[#This Row],[PAIS]],'[1]nome do paixs'!$A:$B,2,0)</f>
        <v>Estados Unidos</v>
      </c>
      <c r="J695" t="s">
        <v>12</v>
      </c>
    </row>
    <row r="696" spans="1:10">
      <c r="A696">
        <v>2024</v>
      </c>
      <c r="B696">
        <v>10</v>
      </c>
      <c r="C696">
        <v>8807</v>
      </c>
      <c r="D696">
        <v>245</v>
      </c>
      <c r="E696" t="s">
        <v>10</v>
      </c>
      <c r="F696">
        <v>3449904</v>
      </c>
      <c r="G696" s="1">
        <v>7283</v>
      </c>
      <c r="H696" s="2">
        <v>4589602</v>
      </c>
      <c r="I696" t="str">
        <f>VLOOKUP(Tabela2[[#This Row],[PAIS]],'[1]nome do paixs'!$A:$B,2,0)</f>
        <v>Espanha</v>
      </c>
      <c r="J696" t="s">
        <v>12</v>
      </c>
    </row>
    <row r="697" spans="1:10">
      <c r="A697">
        <v>2024</v>
      </c>
      <c r="B697">
        <v>10</v>
      </c>
      <c r="C697">
        <v>8807</v>
      </c>
      <c r="D697">
        <v>244</v>
      </c>
      <c r="E697" t="s">
        <v>10</v>
      </c>
      <c r="F697">
        <v>3449904</v>
      </c>
      <c r="G697" s="1">
        <v>299</v>
      </c>
      <c r="H697" s="2">
        <v>45665</v>
      </c>
      <c r="I697" t="str">
        <f>VLOOKUP(Tabela2[[#This Row],[PAIS]],'[1]nome do paixs'!$A:$B,2,0)</f>
        <v>Emirados Árabes Unidos</v>
      </c>
      <c r="J697" t="s">
        <v>12</v>
      </c>
    </row>
    <row r="698" spans="1:10">
      <c r="A698">
        <v>2024</v>
      </c>
      <c r="B698">
        <v>8</v>
      </c>
      <c r="C698">
        <v>8807</v>
      </c>
      <c r="D698">
        <v>399</v>
      </c>
      <c r="E698" t="s">
        <v>10</v>
      </c>
      <c r="F698">
        <v>3449904</v>
      </c>
      <c r="G698" s="1">
        <v>2</v>
      </c>
      <c r="H698" s="2">
        <v>28574</v>
      </c>
      <c r="I698" t="str">
        <f>VLOOKUP(Tabela2[[#This Row],[PAIS]],'[1]nome do paixs'!$A:$B,2,0)</f>
        <v>Japão</v>
      </c>
      <c r="J698" t="s">
        <v>12</v>
      </c>
    </row>
    <row r="699" spans="1:10">
      <c r="A699">
        <v>2024</v>
      </c>
      <c r="B699">
        <v>4</v>
      </c>
      <c r="C699">
        <v>8807</v>
      </c>
      <c r="D699">
        <v>756</v>
      </c>
      <c r="E699" t="s">
        <v>10</v>
      </c>
      <c r="F699">
        <v>3449904</v>
      </c>
      <c r="G699" s="1">
        <v>4</v>
      </c>
      <c r="H699" s="2">
        <v>13402</v>
      </c>
      <c r="I699" t="str">
        <f>VLOOKUP(Tabela2[[#This Row],[PAIS]],'[1]nome do paixs'!$A:$B,2,0)</f>
        <v>África do Sul</v>
      </c>
      <c r="J699" t="s">
        <v>12</v>
      </c>
    </row>
    <row r="700" spans="1:10">
      <c r="A700">
        <v>2024</v>
      </c>
      <c r="B700">
        <v>12</v>
      </c>
      <c r="C700">
        <v>8807</v>
      </c>
      <c r="D700">
        <v>628</v>
      </c>
      <c r="E700" t="s">
        <v>10</v>
      </c>
      <c r="F700">
        <v>3449904</v>
      </c>
      <c r="G700" s="1">
        <v>85</v>
      </c>
      <c r="H700" s="2">
        <v>36741</v>
      </c>
      <c r="I700" t="str">
        <f>VLOOKUP(Tabela2[[#This Row],[PAIS]],'[1]nome do paixs'!$A:$B,2,0)</f>
        <v>Reino Unido</v>
      </c>
      <c r="J700" t="s">
        <v>12</v>
      </c>
    </row>
    <row r="701" spans="1:10">
      <c r="A701">
        <v>2024</v>
      </c>
      <c r="B701">
        <v>5</v>
      </c>
      <c r="C701">
        <v>8807</v>
      </c>
      <c r="D701">
        <v>628</v>
      </c>
      <c r="E701" t="s">
        <v>10</v>
      </c>
      <c r="F701">
        <v>3449904</v>
      </c>
      <c r="G701" s="1">
        <v>1554</v>
      </c>
      <c r="H701" s="2">
        <v>523111</v>
      </c>
      <c r="I701" t="str">
        <f>VLOOKUP(Tabela2[[#This Row],[PAIS]],'[1]nome do paixs'!$A:$B,2,0)</f>
        <v>Reino Unido</v>
      </c>
      <c r="J701" t="s">
        <v>12</v>
      </c>
    </row>
    <row r="702" spans="1:10">
      <c r="A702">
        <v>2024</v>
      </c>
      <c r="B702">
        <v>1</v>
      </c>
      <c r="C702">
        <v>8807</v>
      </c>
      <c r="D702">
        <v>399</v>
      </c>
      <c r="E702" t="s">
        <v>10</v>
      </c>
      <c r="F702">
        <v>3449904</v>
      </c>
      <c r="G702" s="1">
        <v>5</v>
      </c>
      <c r="H702" s="2">
        <v>106863</v>
      </c>
      <c r="I702" t="str">
        <f>VLOOKUP(Tabela2[[#This Row],[PAIS]],'[1]nome do paixs'!$A:$B,2,0)</f>
        <v>Japão</v>
      </c>
      <c r="J702" t="s">
        <v>12</v>
      </c>
    </row>
    <row r="703" spans="1:10">
      <c r="A703">
        <v>2024</v>
      </c>
      <c r="B703">
        <v>11</v>
      </c>
      <c r="C703">
        <v>8807</v>
      </c>
      <c r="D703">
        <v>149</v>
      </c>
      <c r="E703" t="s">
        <v>10</v>
      </c>
      <c r="F703">
        <v>3449904</v>
      </c>
      <c r="G703" s="1">
        <v>1</v>
      </c>
      <c r="H703" s="2">
        <v>1624</v>
      </c>
      <c r="I703" t="str">
        <f>VLOOKUP(Tabela2[[#This Row],[PAIS]],'[1]nome do paixs'!$A:$B,2,0)</f>
        <v>Canadá</v>
      </c>
      <c r="J703" t="s">
        <v>12</v>
      </c>
    </row>
    <row r="704" spans="1:10">
      <c r="A704">
        <v>2024</v>
      </c>
      <c r="B704">
        <v>6</v>
      </c>
      <c r="C704">
        <v>8807</v>
      </c>
      <c r="D704">
        <v>386</v>
      </c>
      <c r="E704" t="s">
        <v>10</v>
      </c>
      <c r="F704">
        <v>3449904</v>
      </c>
      <c r="G704" s="1">
        <v>1284</v>
      </c>
      <c r="H704" s="2">
        <v>493936</v>
      </c>
      <c r="I704" t="str">
        <f>VLOOKUP(Tabela2[[#This Row],[PAIS]],'[1]nome do paixs'!$A:$B,2,0)</f>
        <v>Itália</v>
      </c>
      <c r="J704" t="s">
        <v>12</v>
      </c>
    </row>
    <row r="705" spans="1:10">
      <c r="A705">
        <v>2024</v>
      </c>
      <c r="B705">
        <v>3</v>
      </c>
      <c r="C705">
        <v>8807</v>
      </c>
      <c r="D705">
        <v>493</v>
      </c>
      <c r="E705" t="s">
        <v>10</v>
      </c>
      <c r="F705">
        <v>3449904</v>
      </c>
      <c r="G705" s="1">
        <v>0</v>
      </c>
      <c r="H705" s="2">
        <v>2974</v>
      </c>
      <c r="I705" t="str">
        <f>VLOOKUP(Tabela2[[#This Row],[PAIS]],'[1]nome do paixs'!$A:$B,2,0)</f>
        <v>México</v>
      </c>
      <c r="J705" t="s">
        <v>12</v>
      </c>
    </row>
    <row r="706" spans="1:10">
      <c r="A706">
        <v>2024</v>
      </c>
      <c r="B706">
        <v>10</v>
      </c>
      <c r="C706">
        <v>8807</v>
      </c>
      <c r="D706">
        <v>628</v>
      </c>
      <c r="E706" t="s">
        <v>10</v>
      </c>
      <c r="F706">
        <v>3449904</v>
      </c>
      <c r="G706" s="1">
        <v>3719</v>
      </c>
      <c r="H706" s="2">
        <v>1255795</v>
      </c>
      <c r="I706" t="str">
        <f>VLOOKUP(Tabela2[[#This Row],[PAIS]],'[1]nome do paixs'!$A:$B,2,0)</f>
        <v>Reino Unido</v>
      </c>
      <c r="J706" t="s">
        <v>12</v>
      </c>
    </row>
    <row r="707" spans="1:10">
      <c r="A707">
        <v>2024</v>
      </c>
      <c r="B707">
        <v>6</v>
      </c>
      <c r="C707">
        <v>8807</v>
      </c>
      <c r="D707">
        <v>23</v>
      </c>
      <c r="E707" t="s">
        <v>10</v>
      </c>
      <c r="F707">
        <v>3449904</v>
      </c>
      <c r="G707" s="1">
        <v>518</v>
      </c>
      <c r="H707" s="2">
        <v>660022</v>
      </c>
      <c r="I707" t="str">
        <f>VLOOKUP(Tabela2[[#This Row],[PAIS]],'[1]nome do paixs'!$A:$B,2,0)</f>
        <v>Alemanha</v>
      </c>
      <c r="J707" t="s">
        <v>12</v>
      </c>
    </row>
    <row r="708" spans="1:10">
      <c r="A708">
        <v>2024</v>
      </c>
      <c r="B708">
        <v>2</v>
      </c>
      <c r="C708">
        <v>8807</v>
      </c>
      <c r="D708">
        <v>249</v>
      </c>
      <c r="E708" t="s">
        <v>10</v>
      </c>
      <c r="F708">
        <v>3449904</v>
      </c>
      <c r="G708" s="1">
        <v>7832</v>
      </c>
      <c r="H708" s="2">
        <v>6067358</v>
      </c>
      <c r="I708" t="str">
        <f>VLOOKUP(Tabela2[[#This Row],[PAIS]],'[1]nome do paixs'!$A:$B,2,0)</f>
        <v>Estados Unidos</v>
      </c>
      <c r="J708" t="s">
        <v>12</v>
      </c>
    </row>
    <row r="709" spans="1:10">
      <c r="A709">
        <v>2024</v>
      </c>
      <c r="B709">
        <v>10</v>
      </c>
      <c r="C709">
        <v>8807</v>
      </c>
      <c r="D709">
        <v>741</v>
      </c>
      <c r="E709" t="s">
        <v>10</v>
      </c>
      <c r="F709">
        <v>3449904</v>
      </c>
      <c r="G709" s="1">
        <v>297</v>
      </c>
      <c r="H709" s="2">
        <v>360632</v>
      </c>
      <c r="I709" t="str">
        <f>VLOOKUP(Tabela2[[#This Row],[PAIS]],'[1]nome do paixs'!$A:$B,2,0)</f>
        <v>Singapura</v>
      </c>
      <c r="J709" t="s">
        <v>12</v>
      </c>
    </row>
    <row r="710" spans="1:10">
      <c r="A710">
        <v>2024</v>
      </c>
      <c r="B710">
        <v>2</v>
      </c>
      <c r="C710">
        <v>8807</v>
      </c>
      <c r="D710">
        <v>386</v>
      </c>
      <c r="E710" t="s">
        <v>10</v>
      </c>
      <c r="F710">
        <v>3449904</v>
      </c>
      <c r="G710" s="1">
        <v>1836</v>
      </c>
      <c r="H710" s="2">
        <v>678385</v>
      </c>
      <c r="I710" t="str">
        <f>VLOOKUP(Tabela2[[#This Row],[PAIS]],'[1]nome do paixs'!$A:$B,2,0)</f>
        <v>Itália</v>
      </c>
      <c r="J710" t="s">
        <v>12</v>
      </c>
    </row>
    <row r="711" spans="1:10">
      <c r="A711">
        <v>2024</v>
      </c>
      <c r="B711">
        <v>7</v>
      </c>
      <c r="C711">
        <v>8807</v>
      </c>
      <c r="D711">
        <v>756</v>
      </c>
      <c r="E711" t="s">
        <v>10</v>
      </c>
      <c r="F711">
        <v>3449904</v>
      </c>
      <c r="G711" s="1">
        <v>8</v>
      </c>
      <c r="H711" s="2">
        <v>146366</v>
      </c>
      <c r="I711" t="str">
        <f>VLOOKUP(Tabela2[[#This Row],[PAIS]],'[1]nome do paixs'!$A:$B,2,0)</f>
        <v>África do Sul</v>
      </c>
      <c r="J711" t="s">
        <v>12</v>
      </c>
    </row>
    <row r="712" spans="1:10">
      <c r="A712">
        <v>2024</v>
      </c>
      <c r="B712">
        <v>3</v>
      </c>
      <c r="C712">
        <v>8807</v>
      </c>
      <c r="D712">
        <v>87</v>
      </c>
      <c r="E712" t="s">
        <v>10</v>
      </c>
      <c r="F712">
        <v>3449904</v>
      </c>
      <c r="G712" s="1">
        <v>7499</v>
      </c>
      <c r="H712" s="2">
        <v>4008146</v>
      </c>
      <c r="I712" t="str">
        <f>VLOOKUP(Tabela2[[#This Row],[PAIS]],'[1]nome do paixs'!$A:$B,2,0)</f>
        <v>Bélgica</v>
      </c>
      <c r="J712" t="s">
        <v>12</v>
      </c>
    </row>
    <row r="713" spans="1:10">
      <c r="A713">
        <v>2024</v>
      </c>
      <c r="B713">
        <v>3</v>
      </c>
      <c r="C713">
        <v>8807</v>
      </c>
      <c r="D713">
        <v>399</v>
      </c>
      <c r="E713" t="s">
        <v>10</v>
      </c>
      <c r="F713">
        <v>3449904</v>
      </c>
      <c r="G713" s="1">
        <v>2</v>
      </c>
      <c r="H713" s="2">
        <v>35621</v>
      </c>
      <c r="I713" t="str">
        <f>VLOOKUP(Tabela2[[#This Row],[PAIS]],'[1]nome do paixs'!$A:$B,2,0)</f>
        <v>Japão</v>
      </c>
      <c r="J713" t="s">
        <v>12</v>
      </c>
    </row>
    <row r="714" spans="1:10">
      <c r="A714">
        <v>2024</v>
      </c>
      <c r="B714">
        <v>2</v>
      </c>
      <c r="C714">
        <v>8807</v>
      </c>
      <c r="D714">
        <v>267</v>
      </c>
      <c r="E714" t="s">
        <v>10</v>
      </c>
      <c r="F714">
        <v>3449904</v>
      </c>
      <c r="G714" s="1">
        <v>93</v>
      </c>
      <c r="H714" s="2">
        <v>345430</v>
      </c>
      <c r="I714" t="str">
        <f>VLOOKUP(Tabela2[[#This Row],[PAIS]],'[1]nome do paixs'!$A:$B,2,0)</f>
        <v>Filipinas</v>
      </c>
      <c r="J714" t="s">
        <v>12</v>
      </c>
    </row>
    <row r="715" spans="1:10">
      <c r="A715">
        <v>2024</v>
      </c>
      <c r="B715">
        <v>1</v>
      </c>
      <c r="C715">
        <v>8807</v>
      </c>
      <c r="D715">
        <v>149</v>
      </c>
      <c r="E715" t="s">
        <v>10</v>
      </c>
      <c r="F715">
        <v>3449904</v>
      </c>
      <c r="G715" s="1">
        <v>0</v>
      </c>
      <c r="H715" s="2">
        <v>229</v>
      </c>
      <c r="I715" t="str">
        <f>VLOOKUP(Tabela2[[#This Row],[PAIS]],'[1]nome do paixs'!$A:$B,2,0)</f>
        <v>Canadá</v>
      </c>
      <c r="J715" t="s">
        <v>12</v>
      </c>
    </row>
    <row r="716" spans="1:10">
      <c r="A716">
        <v>2024</v>
      </c>
      <c r="B716">
        <v>1</v>
      </c>
      <c r="C716">
        <v>8807</v>
      </c>
      <c r="D716">
        <v>275</v>
      </c>
      <c r="E716" t="s">
        <v>10</v>
      </c>
      <c r="F716">
        <v>3449904</v>
      </c>
      <c r="G716" s="1">
        <v>92</v>
      </c>
      <c r="H716" s="2">
        <v>222396</v>
      </c>
      <c r="I716" t="str">
        <f>VLOOKUP(Tabela2[[#This Row],[PAIS]],'[1]nome do paixs'!$A:$B,2,0)</f>
        <v>França</v>
      </c>
      <c r="J716" t="s">
        <v>12</v>
      </c>
    </row>
    <row r="717" spans="1:10">
      <c r="A717">
        <v>2024</v>
      </c>
      <c r="B717">
        <v>10</v>
      </c>
      <c r="C717">
        <v>8807</v>
      </c>
      <c r="D717">
        <v>455</v>
      </c>
      <c r="E717" t="s">
        <v>10</v>
      </c>
      <c r="F717">
        <v>3449904</v>
      </c>
      <c r="G717" s="1">
        <v>1</v>
      </c>
      <c r="H717" s="2">
        <v>387</v>
      </c>
      <c r="I717" t="str">
        <f>VLOOKUP(Tabela2[[#This Row],[PAIS]],'[1]nome do paixs'!$A:$B,2,0)</f>
        <v>Malásia</v>
      </c>
      <c r="J717" t="s">
        <v>12</v>
      </c>
    </row>
    <row r="718" spans="1:10">
      <c r="A718">
        <v>2024</v>
      </c>
      <c r="B718">
        <v>12</v>
      </c>
      <c r="C718">
        <v>8807</v>
      </c>
      <c r="D718">
        <v>603</v>
      </c>
      <c r="E718" t="s">
        <v>10</v>
      </c>
      <c r="F718">
        <v>3449904</v>
      </c>
      <c r="G718" s="1">
        <v>0</v>
      </c>
      <c r="H718" s="2">
        <v>247</v>
      </c>
      <c r="I718" t="str">
        <f>VLOOKUP(Tabela2[[#This Row],[PAIS]],'[1]nome do paixs'!$A:$B,2,0)</f>
        <v>Polônia</v>
      </c>
      <c r="J718" t="s">
        <v>12</v>
      </c>
    </row>
    <row r="719" spans="1:10">
      <c r="A719">
        <v>2024</v>
      </c>
      <c r="B719">
        <v>6</v>
      </c>
      <c r="C719">
        <v>8807</v>
      </c>
      <c r="D719">
        <v>756</v>
      </c>
      <c r="E719" t="s">
        <v>10</v>
      </c>
      <c r="F719">
        <v>3449904</v>
      </c>
      <c r="G719" s="1">
        <v>5</v>
      </c>
      <c r="H719" s="2">
        <v>122389</v>
      </c>
      <c r="I719" t="str">
        <f>VLOOKUP(Tabela2[[#This Row],[PAIS]],'[1]nome do paixs'!$A:$B,2,0)</f>
        <v>África do Sul</v>
      </c>
      <c r="J719" t="s">
        <v>12</v>
      </c>
    </row>
    <row r="720" spans="1:10">
      <c r="A720">
        <v>2024</v>
      </c>
      <c r="B720">
        <v>2</v>
      </c>
      <c r="C720">
        <v>8807</v>
      </c>
      <c r="D720">
        <v>87</v>
      </c>
      <c r="E720" t="s">
        <v>10</v>
      </c>
      <c r="F720">
        <v>3449904</v>
      </c>
      <c r="G720" s="1">
        <v>10258</v>
      </c>
      <c r="H720" s="2">
        <v>5334993</v>
      </c>
      <c r="I720" t="str">
        <f>VLOOKUP(Tabela2[[#This Row],[PAIS]],'[1]nome do paixs'!$A:$B,2,0)</f>
        <v>Bélgica</v>
      </c>
      <c r="J720" t="s">
        <v>12</v>
      </c>
    </row>
    <row r="721" spans="1:10">
      <c r="A721">
        <v>2024</v>
      </c>
      <c r="B721">
        <v>7</v>
      </c>
      <c r="C721">
        <v>8807</v>
      </c>
      <c r="D721">
        <v>153</v>
      </c>
      <c r="E721" t="s">
        <v>10</v>
      </c>
      <c r="F721">
        <v>3449904</v>
      </c>
      <c r="G721" s="1">
        <v>0</v>
      </c>
      <c r="H721" s="2">
        <v>119</v>
      </c>
      <c r="I721" t="str">
        <f>VLOOKUP(Tabela2[[#This Row],[PAIS]],'[1]nome do paixs'!$A:$B,2,0)</f>
        <v>Cazaquistão</v>
      </c>
      <c r="J721" t="s">
        <v>12</v>
      </c>
    </row>
    <row r="722" spans="1:10">
      <c r="A722">
        <v>2024</v>
      </c>
      <c r="B722">
        <v>6</v>
      </c>
      <c r="C722">
        <v>8807</v>
      </c>
      <c r="D722">
        <v>275</v>
      </c>
      <c r="E722" t="s">
        <v>10</v>
      </c>
      <c r="F722">
        <v>3449904</v>
      </c>
      <c r="G722" s="1">
        <v>345</v>
      </c>
      <c r="H722" s="2">
        <v>211378</v>
      </c>
      <c r="I722" t="str">
        <f>VLOOKUP(Tabela2[[#This Row],[PAIS]],'[1]nome do paixs'!$A:$B,2,0)</f>
        <v>França</v>
      </c>
      <c r="J722" t="s">
        <v>12</v>
      </c>
    </row>
    <row r="723" spans="1:10">
      <c r="A723">
        <v>2024</v>
      </c>
      <c r="B723">
        <v>4</v>
      </c>
      <c r="C723">
        <v>8807</v>
      </c>
      <c r="D723">
        <v>399</v>
      </c>
      <c r="E723" t="s">
        <v>10</v>
      </c>
      <c r="F723">
        <v>3449904</v>
      </c>
      <c r="G723" s="1">
        <v>8</v>
      </c>
      <c r="H723" s="2">
        <v>49847</v>
      </c>
      <c r="I723" t="str">
        <f>VLOOKUP(Tabela2[[#This Row],[PAIS]],'[1]nome do paixs'!$A:$B,2,0)</f>
        <v>Japão</v>
      </c>
      <c r="J723" t="s">
        <v>12</v>
      </c>
    </row>
    <row r="724" spans="1:10">
      <c r="A724">
        <v>2024</v>
      </c>
      <c r="B724">
        <v>8</v>
      </c>
      <c r="C724">
        <v>8807</v>
      </c>
      <c r="D724">
        <v>23</v>
      </c>
      <c r="E724" t="s">
        <v>10</v>
      </c>
      <c r="F724">
        <v>3449904</v>
      </c>
      <c r="G724" s="1">
        <v>657</v>
      </c>
      <c r="H724" s="2">
        <v>704710</v>
      </c>
      <c r="I724" t="str">
        <f>VLOOKUP(Tabela2[[#This Row],[PAIS]],'[1]nome do paixs'!$A:$B,2,0)</f>
        <v>Alemanha</v>
      </c>
      <c r="J724" t="s">
        <v>12</v>
      </c>
    </row>
    <row r="725" spans="1:10">
      <c r="A725">
        <v>2024</v>
      </c>
      <c r="B725">
        <v>1</v>
      </c>
      <c r="C725">
        <v>8807</v>
      </c>
      <c r="D725">
        <v>169</v>
      </c>
      <c r="E725" t="s">
        <v>10</v>
      </c>
      <c r="F725">
        <v>3449904</v>
      </c>
      <c r="G725" s="1">
        <v>0</v>
      </c>
      <c r="H725" s="2">
        <v>1368</v>
      </c>
      <c r="I725" t="str">
        <f>VLOOKUP(Tabela2[[#This Row],[PAIS]],'[1]nome do paixs'!$A:$B,2,0)</f>
        <v>Colômbia</v>
      </c>
      <c r="J725" t="s">
        <v>12</v>
      </c>
    </row>
    <row r="726" spans="1:10">
      <c r="A726">
        <v>2024</v>
      </c>
      <c r="B726">
        <v>12</v>
      </c>
      <c r="C726">
        <v>8807</v>
      </c>
      <c r="D726">
        <v>455</v>
      </c>
      <c r="E726" t="s">
        <v>10</v>
      </c>
      <c r="F726">
        <v>3449904</v>
      </c>
      <c r="G726" s="1">
        <v>2</v>
      </c>
      <c r="H726" s="2">
        <v>774</v>
      </c>
      <c r="I726" t="str">
        <f>VLOOKUP(Tabela2[[#This Row],[PAIS]],'[1]nome do paixs'!$A:$B,2,0)</f>
        <v>Malásia</v>
      </c>
      <c r="J726" t="s">
        <v>12</v>
      </c>
    </row>
    <row r="727" spans="1:10">
      <c r="A727">
        <v>2024</v>
      </c>
      <c r="B727">
        <v>10</v>
      </c>
      <c r="C727">
        <v>8807</v>
      </c>
      <c r="D727">
        <v>158</v>
      </c>
      <c r="E727" t="s">
        <v>10</v>
      </c>
      <c r="F727">
        <v>3449904</v>
      </c>
      <c r="G727" s="1">
        <v>5</v>
      </c>
      <c r="H727" s="2">
        <v>20975</v>
      </c>
      <c r="I727" t="str">
        <f>VLOOKUP(Tabela2[[#This Row],[PAIS]],'[1]nome do paixs'!$A:$B,2,0)</f>
        <v>Chile</v>
      </c>
      <c r="J727" t="s">
        <v>12</v>
      </c>
    </row>
    <row r="728" spans="1:10">
      <c r="A728">
        <v>2024</v>
      </c>
      <c r="B728">
        <v>9</v>
      </c>
      <c r="C728">
        <v>8807</v>
      </c>
      <c r="D728">
        <v>267</v>
      </c>
      <c r="E728" t="s">
        <v>10</v>
      </c>
      <c r="F728">
        <v>3449904</v>
      </c>
      <c r="G728" s="1">
        <v>1</v>
      </c>
      <c r="H728" s="2">
        <v>19943</v>
      </c>
      <c r="I728" t="str">
        <f>VLOOKUP(Tabela2[[#This Row],[PAIS]],'[1]nome do paixs'!$A:$B,2,0)</f>
        <v>Filipinas</v>
      </c>
      <c r="J728" t="s">
        <v>12</v>
      </c>
    </row>
    <row r="729" spans="1:10">
      <c r="A729">
        <v>2024</v>
      </c>
      <c r="B729">
        <v>3</v>
      </c>
      <c r="C729">
        <v>8807</v>
      </c>
      <c r="D729">
        <v>169</v>
      </c>
      <c r="E729" t="s">
        <v>10</v>
      </c>
      <c r="F729">
        <v>3449904</v>
      </c>
      <c r="G729" s="1">
        <v>31</v>
      </c>
      <c r="H729" s="2">
        <v>97182</v>
      </c>
      <c r="I729" t="str">
        <f>VLOOKUP(Tabela2[[#This Row],[PAIS]],'[1]nome do paixs'!$A:$B,2,0)</f>
        <v>Colômbia</v>
      </c>
      <c r="J729" t="s">
        <v>12</v>
      </c>
    </row>
    <row r="730" spans="1:10">
      <c r="A730">
        <v>2024</v>
      </c>
      <c r="B730">
        <v>9</v>
      </c>
      <c r="C730">
        <v>8807</v>
      </c>
      <c r="D730">
        <v>647</v>
      </c>
      <c r="E730" t="s">
        <v>10</v>
      </c>
      <c r="F730">
        <v>3449904</v>
      </c>
      <c r="G730" s="1">
        <v>3</v>
      </c>
      <c r="H730" s="2">
        <v>8017</v>
      </c>
      <c r="I730" t="str">
        <f>VLOOKUP(Tabela2[[#This Row],[PAIS]],'[1]nome do paixs'!$A:$B,2,0)</f>
        <v>República Dominicana</v>
      </c>
      <c r="J730" t="s">
        <v>12</v>
      </c>
    </row>
    <row r="731" spans="1:10">
      <c r="A731">
        <v>2024</v>
      </c>
      <c r="B731">
        <v>5</v>
      </c>
      <c r="C731">
        <v>8807</v>
      </c>
      <c r="D731">
        <v>538</v>
      </c>
      <c r="E731" t="s">
        <v>10</v>
      </c>
      <c r="F731">
        <v>3449904</v>
      </c>
      <c r="G731" s="1">
        <v>46</v>
      </c>
      <c r="H731" s="2">
        <v>68610</v>
      </c>
      <c r="I731" t="str">
        <f>VLOOKUP(Tabela2[[#This Row],[PAIS]],'[1]nome do paixs'!$A:$B,2,0)</f>
        <v>Noruega</v>
      </c>
      <c r="J731" t="s">
        <v>12</v>
      </c>
    </row>
    <row r="732" spans="1:10">
      <c r="A732">
        <v>2024</v>
      </c>
      <c r="B732">
        <v>5</v>
      </c>
      <c r="C732">
        <v>8807</v>
      </c>
      <c r="D732">
        <v>63</v>
      </c>
      <c r="E732" t="s">
        <v>10</v>
      </c>
      <c r="F732">
        <v>3449904</v>
      </c>
      <c r="G732" s="1">
        <v>8</v>
      </c>
      <c r="H732" s="2">
        <v>52825</v>
      </c>
      <c r="I732" t="str">
        <f>VLOOKUP(Tabela2[[#This Row],[PAIS]],'[1]nome do paixs'!$A:$B,2,0)</f>
        <v>Argentina</v>
      </c>
      <c r="J732" t="s">
        <v>12</v>
      </c>
    </row>
    <row r="733" spans="1:10">
      <c r="A733">
        <v>2024</v>
      </c>
      <c r="B733">
        <v>4</v>
      </c>
      <c r="C733">
        <v>8807</v>
      </c>
      <c r="D733">
        <v>169</v>
      </c>
      <c r="E733" t="s">
        <v>10</v>
      </c>
      <c r="F733">
        <v>3449904</v>
      </c>
      <c r="G733" s="1">
        <v>41</v>
      </c>
      <c r="H733" s="2">
        <v>29938</v>
      </c>
      <c r="I733" t="str">
        <f>VLOOKUP(Tabela2[[#This Row],[PAIS]],'[1]nome do paixs'!$A:$B,2,0)</f>
        <v>Colômbia</v>
      </c>
      <c r="J733" t="s">
        <v>12</v>
      </c>
    </row>
    <row r="734" spans="1:10">
      <c r="A734">
        <v>2024</v>
      </c>
      <c r="B734">
        <v>5</v>
      </c>
      <c r="C734">
        <v>8807</v>
      </c>
      <c r="D734">
        <v>245</v>
      </c>
      <c r="E734" t="s">
        <v>10</v>
      </c>
      <c r="F734">
        <v>3449904</v>
      </c>
      <c r="G734" s="1">
        <v>6468</v>
      </c>
      <c r="H734" s="2">
        <v>3037842</v>
      </c>
      <c r="I734" t="str">
        <f>VLOOKUP(Tabela2[[#This Row],[PAIS]],'[1]nome do paixs'!$A:$B,2,0)</f>
        <v>Espanha</v>
      </c>
      <c r="J734" t="s">
        <v>12</v>
      </c>
    </row>
    <row r="735" spans="1:10">
      <c r="A735">
        <v>2024</v>
      </c>
      <c r="B735">
        <v>4</v>
      </c>
      <c r="C735">
        <v>8807</v>
      </c>
      <c r="D735">
        <v>249</v>
      </c>
      <c r="E735" t="s">
        <v>10</v>
      </c>
      <c r="F735">
        <v>3449904</v>
      </c>
      <c r="G735" s="1">
        <v>4891</v>
      </c>
      <c r="H735" s="2">
        <v>4101641</v>
      </c>
      <c r="I735" t="str">
        <f>VLOOKUP(Tabela2[[#This Row],[PAIS]],'[1]nome do paixs'!$A:$B,2,0)</f>
        <v>Estados Unidos</v>
      </c>
      <c r="J735" t="s">
        <v>12</v>
      </c>
    </row>
    <row r="736" spans="1:10">
      <c r="A736">
        <v>2024</v>
      </c>
      <c r="B736">
        <v>3</v>
      </c>
      <c r="C736">
        <v>8807</v>
      </c>
      <c r="D736">
        <v>355</v>
      </c>
      <c r="E736" t="s">
        <v>10</v>
      </c>
      <c r="F736">
        <v>3449904</v>
      </c>
      <c r="G736" s="1">
        <v>13</v>
      </c>
      <c r="H736" s="2">
        <v>85859</v>
      </c>
      <c r="I736" t="str">
        <f>VLOOKUP(Tabela2[[#This Row],[PAIS]],'[1]nome do paixs'!$A:$B,2,0)</f>
        <v>Hungria</v>
      </c>
      <c r="J736" t="s">
        <v>12</v>
      </c>
    </row>
    <row r="737" spans="1:10">
      <c r="A737">
        <v>2024</v>
      </c>
      <c r="B737">
        <v>2</v>
      </c>
      <c r="C737">
        <v>8807</v>
      </c>
      <c r="D737">
        <v>603</v>
      </c>
      <c r="E737" t="s">
        <v>10</v>
      </c>
      <c r="F737">
        <v>3449904</v>
      </c>
      <c r="G737" s="1">
        <v>10</v>
      </c>
      <c r="H737" s="2">
        <v>216884</v>
      </c>
      <c r="I737" t="str">
        <f>VLOOKUP(Tabela2[[#This Row],[PAIS]],'[1]nome do paixs'!$A:$B,2,0)</f>
        <v>Polônia</v>
      </c>
      <c r="J737" t="s">
        <v>12</v>
      </c>
    </row>
    <row r="738" spans="1:10">
      <c r="A738">
        <v>2024</v>
      </c>
      <c r="B738">
        <v>2</v>
      </c>
      <c r="C738">
        <v>8807</v>
      </c>
      <c r="D738">
        <v>756</v>
      </c>
      <c r="E738" t="s">
        <v>10</v>
      </c>
      <c r="F738">
        <v>3449904</v>
      </c>
      <c r="G738" s="1">
        <v>4</v>
      </c>
      <c r="H738" s="2">
        <v>82887</v>
      </c>
      <c r="I738" t="str">
        <f>VLOOKUP(Tabela2[[#This Row],[PAIS]],'[1]nome do paixs'!$A:$B,2,0)</f>
        <v>África do Sul</v>
      </c>
      <c r="J738" t="s">
        <v>12</v>
      </c>
    </row>
    <row r="739" spans="1:10">
      <c r="A739">
        <v>2024</v>
      </c>
      <c r="B739">
        <v>3</v>
      </c>
      <c r="C739">
        <v>8807</v>
      </c>
      <c r="D739">
        <v>244</v>
      </c>
      <c r="E739" t="s">
        <v>10</v>
      </c>
      <c r="F739">
        <v>3449904</v>
      </c>
      <c r="G739" s="1">
        <v>373</v>
      </c>
      <c r="H739" s="2">
        <v>55381</v>
      </c>
      <c r="I739" t="str">
        <f>VLOOKUP(Tabela2[[#This Row],[PAIS]],'[1]nome do paixs'!$A:$B,2,0)</f>
        <v>Emirados Árabes Unidos</v>
      </c>
      <c r="J739" t="s">
        <v>12</v>
      </c>
    </row>
    <row r="740" spans="1:10">
      <c r="A740">
        <v>2024</v>
      </c>
      <c r="B740">
        <v>7</v>
      </c>
      <c r="C740">
        <v>8807</v>
      </c>
      <c r="D740">
        <v>169</v>
      </c>
      <c r="E740" t="s">
        <v>10</v>
      </c>
      <c r="F740">
        <v>3449904</v>
      </c>
      <c r="G740" s="1">
        <v>1</v>
      </c>
      <c r="H740" s="2">
        <v>24759</v>
      </c>
      <c r="I740" t="str">
        <f>VLOOKUP(Tabela2[[#This Row],[PAIS]],'[1]nome do paixs'!$A:$B,2,0)</f>
        <v>Colômbia</v>
      </c>
      <c r="J740" t="s">
        <v>12</v>
      </c>
    </row>
    <row r="741" spans="1:10">
      <c r="A741">
        <v>2024</v>
      </c>
      <c r="B741">
        <v>11</v>
      </c>
      <c r="C741">
        <v>8807</v>
      </c>
      <c r="D741">
        <v>573</v>
      </c>
      <c r="E741" t="s">
        <v>10</v>
      </c>
      <c r="F741">
        <v>3449904</v>
      </c>
      <c r="G741" s="1">
        <v>4</v>
      </c>
      <c r="H741" s="2">
        <v>39935</v>
      </c>
      <c r="I741" t="str">
        <f>VLOOKUP(Tabela2[[#This Row],[PAIS]],'[1]nome do paixs'!$A:$B,2,0)</f>
        <v>Países Baixos (Holanda)</v>
      </c>
      <c r="J741" t="s">
        <v>12</v>
      </c>
    </row>
    <row r="742" spans="1:10">
      <c r="A742">
        <v>2024</v>
      </c>
      <c r="B742">
        <v>12</v>
      </c>
      <c r="C742">
        <v>8807</v>
      </c>
      <c r="D742">
        <v>244</v>
      </c>
      <c r="E742" t="s">
        <v>10</v>
      </c>
      <c r="F742">
        <v>3449904</v>
      </c>
      <c r="G742" s="1">
        <v>300</v>
      </c>
      <c r="H742" s="2">
        <v>44031</v>
      </c>
      <c r="I742" t="str">
        <f>VLOOKUP(Tabela2[[#This Row],[PAIS]],'[1]nome do paixs'!$A:$B,2,0)</f>
        <v>Emirados Árabes Unidos</v>
      </c>
      <c r="J742" t="s">
        <v>12</v>
      </c>
    </row>
    <row r="743" spans="1:10">
      <c r="A743">
        <v>2024</v>
      </c>
      <c r="B743">
        <v>10</v>
      </c>
      <c r="C743">
        <v>8807</v>
      </c>
      <c r="D743">
        <v>23</v>
      </c>
      <c r="E743" t="s">
        <v>10</v>
      </c>
      <c r="F743">
        <v>3449904</v>
      </c>
      <c r="G743" s="1">
        <v>394</v>
      </c>
      <c r="H743" s="2">
        <v>511785</v>
      </c>
      <c r="I743" t="str">
        <f>VLOOKUP(Tabela2[[#This Row],[PAIS]],'[1]nome do paixs'!$A:$B,2,0)</f>
        <v>Alemanha</v>
      </c>
      <c r="J743" t="s">
        <v>12</v>
      </c>
    </row>
    <row r="744" spans="1:10">
      <c r="A744">
        <v>2024</v>
      </c>
      <c r="B744">
        <v>11</v>
      </c>
      <c r="C744">
        <v>8807</v>
      </c>
      <c r="D744">
        <v>158</v>
      </c>
      <c r="E744" t="s">
        <v>10</v>
      </c>
      <c r="F744">
        <v>3449904</v>
      </c>
      <c r="G744" s="1">
        <v>1</v>
      </c>
      <c r="H744" s="2">
        <v>68265</v>
      </c>
      <c r="I744" t="str">
        <f>VLOOKUP(Tabela2[[#This Row],[PAIS]],'[1]nome do paixs'!$A:$B,2,0)</f>
        <v>Chile</v>
      </c>
      <c r="J744" t="s">
        <v>12</v>
      </c>
    </row>
    <row r="745" spans="1:10">
      <c r="A745">
        <v>2024</v>
      </c>
      <c r="B745">
        <v>6</v>
      </c>
      <c r="C745">
        <v>8807</v>
      </c>
      <c r="D745">
        <v>455</v>
      </c>
      <c r="E745" t="s">
        <v>10</v>
      </c>
      <c r="F745">
        <v>3449904</v>
      </c>
      <c r="G745" s="1">
        <v>1</v>
      </c>
      <c r="H745" s="2">
        <v>387</v>
      </c>
      <c r="I745" t="str">
        <f>VLOOKUP(Tabela2[[#This Row],[PAIS]],'[1]nome do paixs'!$A:$B,2,0)</f>
        <v>Malásia</v>
      </c>
      <c r="J745" t="s">
        <v>12</v>
      </c>
    </row>
    <row r="746" spans="1:10">
      <c r="A746">
        <v>2024</v>
      </c>
      <c r="B746">
        <v>12</v>
      </c>
      <c r="C746">
        <v>8807</v>
      </c>
      <c r="D746">
        <v>623</v>
      </c>
      <c r="E746" t="s">
        <v>10</v>
      </c>
      <c r="F746">
        <v>3449904</v>
      </c>
      <c r="G746" s="1">
        <v>4</v>
      </c>
      <c r="H746" s="2">
        <v>88518</v>
      </c>
      <c r="I746" t="str">
        <f>VLOOKUP(Tabela2[[#This Row],[PAIS]],'[1]nome do paixs'!$A:$B,2,0)</f>
        <v>Quênia</v>
      </c>
      <c r="J746" t="s">
        <v>12</v>
      </c>
    </row>
    <row r="747" spans="1:10">
      <c r="A747">
        <v>2024</v>
      </c>
      <c r="B747">
        <v>8</v>
      </c>
      <c r="C747">
        <v>8807</v>
      </c>
      <c r="D747">
        <v>160</v>
      </c>
      <c r="E747" t="s">
        <v>10</v>
      </c>
      <c r="F747">
        <v>3449904</v>
      </c>
      <c r="G747" s="1">
        <v>5</v>
      </c>
      <c r="H747" s="2">
        <v>113809</v>
      </c>
      <c r="I747" t="str">
        <f>VLOOKUP(Tabela2[[#This Row],[PAIS]],'[1]nome do paixs'!$A:$B,2,0)</f>
        <v>China</v>
      </c>
      <c r="J747" t="s">
        <v>12</v>
      </c>
    </row>
    <row r="748" spans="1:10">
      <c r="A748">
        <v>2024</v>
      </c>
      <c r="B748">
        <v>2</v>
      </c>
      <c r="C748">
        <v>8807</v>
      </c>
      <c r="D748">
        <v>607</v>
      </c>
      <c r="E748" t="s">
        <v>10</v>
      </c>
      <c r="F748">
        <v>3449904</v>
      </c>
      <c r="G748" s="1">
        <v>44</v>
      </c>
      <c r="H748" s="2">
        <v>43581</v>
      </c>
      <c r="I748" t="str">
        <f>VLOOKUP(Tabela2[[#This Row],[PAIS]],'[1]nome do paixs'!$A:$B,2,0)</f>
        <v>Portugal</v>
      </c>
      <c r="J748" t="s">
        <v>12</v>
      </c>
    </row>
    <row r="749" spans="1:10">
      <c r="A749">
        <v>2024</v>
      </c>
      <c r="B749">
        <v>12</v>
      </c>
      <c r="C749">
        <v>8807</v>
      </c>
      <c r="D749">
        <v>23</v>
      </c>
      <c r="E749" t="s">
        <v>10</v>
      </c>
      <c r="F749">
        <v>3449904</v>
      </c>
      <c r="G749" s="1">
        <v>683</v>
      </c>
      <c r="H749" s="2">
        <v>535352</v>
      </c>
      <c r="I749" t="str">
        <f>VLOOKUP(Tabela2[[#This Row],[PAIS]],'[1]nome do paixs'!$A:$B,2,0)</f>
        <v>Alemanha</v>
      </c>
      <c r="J749" t="s">
        <v>12</v>
      </c>
    </row>
    <row r="750" spans="1:10">
      <c r="A750">
        <v>2024</v>
      </c>
      <c r="B750">
        <v>6</v>
      </c>
      <c r="C750">
        <v>8807</v>
      </c>
      <c r="D750">
        <v>169</v>
      </c>
      <c r="E750" t="s">
        <v>10</v>
      </c>
      <c r="F750">
        <v>3449904</v>
      </c>
      <c r="G750" s="1">
        <v>106</v>
      </c>
      <c r="H750" s="2">
        <v>419457</v>
      </c>
      <c r="I750" t="str">
        <f>VLOOKUP(Tabela2[[#This Row],[PAIS]],'[1]nome do paixs'!$A:$B,2,0)</f>
        <v>Colômbia</v>
      </c>
      <c r="J750" t="s">
        <v>12</v>
      </c>
    </row>
    <row r="751" spans="1:10">
      <c r="A751">
        <v>2024</v>
      </c>
      <c r="B751">
        <v>5</v>
      </c>
      <c r="C751">
        <v>8807</v>
      </c>
      <c r="D751">
        <v>455</v>
      </c>
      <c r="E751" t="s">
        <v>10</v>
      </c>
      <c r="F751">
        <v>3449904</v>
      </c>
      <c r="G751" s="1">
        <v>2</v>
      </c>
      <c r="H751" s="2">
        <v>774</v>
      </c>
      <c r="I751" t="str">
        <f>VLOOKUP(Tabela2[[#This Row],[PAIS]],'[1]nome do paixs'!$A:$B,2,0)</f>
        <v>Malásia</v>
      </c>
      <c r="J751" t="s">
        <v>12</v>
      </c>
    </row>
    <row r="752" spans="1:10">
      <c r="A752">
        <v>2024</v>
      </c>
      <c r="B752">
        <v>4</v>
      </c>
      <c r="C752">
        <v>8807</v>
      </c>
      <c r="D752">
        <v>245</v>
      </c>
      <c r="E752" t="s">
        <v>10</v>
      </c>
      <c r="F752">
        <v>3449904</v>
      </c>
      <c r="G752" s="1">
        <v>7002</v>
      </c>
      <c r="H752" s="2">
        <v>3336132</v>
      </c>
      <c r="I752" t="str">
        <f>VLOOKUP(Tabela2[[#This Row],[PAIS]],'[1]nome do paixs'!$A:$B,2,0)</f>
        <v>Espanha</v>
      </c>
      <c r="J752" t="s">
        <v>12</v>
      </c>
    </row>
    <row r="753" spans="1:10">
      <c r="A753">
        <v>2024</v>
      </c>
      <c r="B753">
        <v>6</v>
      </c>
      <c r="C753">
        <v>8807</v>
      </c>
      <c r="D753">
        <v>271</v>
      </c>
      <c r="E753" t="s">
        <v>10</v>
      </c>
      <c r="F753">
        <v>3449904</v>
      </c>
      <c r="G753" s="1">
        <v>2</v>
      </c>
      <c r="H753" s="2">
        <v>35621</v>
      </c>
      <c r="I753" t="str">
        <f>VLOOKUP(Tabela2[[#This Row],[PAIS]],'[1]nome do paixs'!$A:$B,2,0)</f>
        <v>Finlândia</v>
      </c>
      <c r="J753" t="s">
        <v>12</v>
      </c>
    </row>
    <row r="754" spans="1:10">
      <c r="A754">
        <v>2024</v>
      </c>
      <c r="B754">
        <v>6</v>
      </c>
      <c r="C754">
        <v>8807</v>
      </c>
      <c r="D754">
        <v>72</v>
      </c>
      <c r="E754" t="s">
        <v>10</v>
      </c>
      <c r="F754">
        <v>3449904</v>
      </c>
      <c r="G754" s="1">
        <v>7</v>
      </c>
      <c r="H754" s="2">
        <v>16170</v>
      </c>
      <c r="I754" t="str">
        <f>VLOOKUP(Tabela2[[#This Row],[PAIS]],'[1]nome do paixs'!$A:$B,2,0)</f>
        <v>Áustria</v>
      </c>
      <c r="J754" t="s">
        <v>12</v>
      </c>
    </row>
    <row r="755" spans="1:10">
      <c r="A755">
        <v>2024</v>
      </c>
      <c r="B755">
        <v>1</v>
      </c>
      <c r="C755">
        <v>8807</v>
      </c>
      <c r="D755">
        <v>355</v>
      </c>
      <c r="E755" t="s">
        <v>10</v>
      </c>
      <c r="F755">
        <v>3449904</v>
      </c>
      <c r="G755" s="1">
        <v>651</v>
      </c>
      <c r="H755" s="2">
        <v>236965</v>
      </c>
      <c r="I755" t="str">
        <f>VLOOKUP(Tabela2[[#This Row],[PAIS]],'[1]nome do paixs'!$A:$B,2,0)</f>
        <v>Hungria</v>
      </c>
      <c r="J755" t="s">
        <v>12</v>
      </c>
    </row>
    <row r="756" spans="1:10">
      <c r="A756">
        <v>2024</v>
      </c>
      <c r="B756">
        <v>6</v>
      </c>
      <c r="C756">
        <v>8807</v>
      </c>
      <c r="D756">
        <v>538</v>
      </c>
      <c r="E756" t="s">
        <v>10</v>
      </c>
      <c r="F756">
        <v>3449904</v>
      </c>
      <c r="G756" s="1">
        <v>11</v>
      </c>
      <c r="H756" s="2">
        <v>13821</v>
      </c>
      <c r="I756" t="str">
        <f>VLOOKUP(Tabela2[[#This Row],[PAIS]],'[1]nome do paixs'!$A:$B,2,0)</f>
        <v>Noruega</v>
      </c>
      <c r="J756" t="s">
        <v>12</v>
      </c>
    </row>
    <row r="757" spans="1:10">
      <c r="A757">
        <v>2024</v>
      </c>
      <c r="B757">
        <v>5</v>
      </c>
      <c r="C757">
        <v>8807</v>
      </c>
      <c r="D757">
        <v>383</v>
      </c>
      <c r="E757" t="s">
        <v>10</v>
      </c>
      <c r="F757">
        <v>3449904</v>
      </c>
      <c r="G757" s="1">
        <v>1</v>
      </c>
      <c r="H757" s="2">
        <v>1402</v>
      </c>
      <c r="I757" t="str">
        <f>VLOOKUP(Tabela2[[#This Row],[PAIS]],'[1]nome do paixs'!$A:$B,2,0)</f>
        <v>Israel</v>
      </c>
      <c r="J757" t="s">
        <v>12</v>
      </c>
    </row>
    <row r="758" spans="1:10">
      <c r="A758">
        <v>2024</v>
      </c>
      <c r="B758">
        <v>10</v>
      </c>
      <c r="C758">
        <v>8807</v>
      </c>
      <c r="D758">
        <v>87</v>
      </c>
      <c r="E758" t="s">
        <v>10</v>
      </c>
      <c r="F758">
        <v>3449904</v>
      </c>
      <c r="G758" s="1">
        <v>9175</v>
      </c>
      <c r="H758" s="2">
        <v>4175267</v>
      </c>
      <c r="I758" t="str">
        <f>VLOOKUP(Tabela2[[#This Row],[PAIS]],'[1]nome do paixs'!$A:$B,2,0)</f>
        <v>Bélgica</v>
      </c>
      <c r="J758" t="s">
        <v>12</v>
      </c>
    </row>
    <row r="759" spans="1:10">
      <c r="A759">
        <v>2024</v>
      </c>
      <c r="B759">
        <v>3</v>
      </c>
      <c r="C759">
        <v>8807</v>
      </c>
      <c r="D759">
        <v>741</v>
      </c>
      <c r="E759" t="s">
        <v>10</v>
      </c>
      <c r="F759">
        <v>3449904</v>
      </c>
      <c r="G759" s="1">
        <v>9</v>
      </c>
      <c r="H759" s="2">
        <v>7383</v>
      </c>
      <c r="I759" t="str">
        <f>VLOOKUP(Tabela2[[#This Row],[PAIS]],'[1]nome do paixs'!$A:$B,2,0)</f>
        <v>Singapura</v>
      </c>
      <c r="J759" t="s">
        <v>12</v>
      </c>
    </row>
    <row r="760" spans="1:10">
      <c r="A760">
        <v>2024</v>
      </c>
      <c r="B760">
        <v>5</v>
      </c>
      <c r="C760">
        <v>8807</v>
      </c>
      <c r="D760">
        <v>603</v>
      </c>
      <c r="E760" t="s">
        <v>10</v>
      </c>
      <c r="F760">
        <v>3449904</v>
      </c>
      <c r="G760" s="1">
        <v>10</v>
      </c>
      <c r="H760" s="2">
        <v>24279</v>
      </c>
      <c r="I760" t="str">
        <f>VLOOKUP(Tabela2[[#This Row],[PAIS]],'[1]nome do paixs'!$A:$B,2,0)</f>
        <v>Polônia</v>
      </c>
      <c r="J760" t="s">
        <v>12</v>
      </c>
    </row>
    <row r="761" spans="1:10">
      <c r="A761">
        <v>2024</v>
      </c>
      <c r="B761">
        <v>10</v>
      </c>
      <c r="C761">
        <v>8807</v>
      </c>
      <c r="D761">
        <v>399</v>
      </c>
      <c r="E761" t="s">
        <v>10</v>
      </c>
      <c r="F761">
        <v>3449904</v>
      </c>
      <c r="G761" s="1">
        <v>4</v>
      </c>
      <c r="H761" s="2">
        <v>6096</v>
      </c>
      <c r="I761" t="str">
        <f>VLOOKUP(Tabela2[[#This Row],[PAIS]],'[1]nome do paixs'!$A:$B,2,0)</f>
        <v>Japão</v>
      </c>
      <c r="J761" t="s">
        <v>12</v>
      </c>
    </row>
    <row r="762" spans="1:10">
      <c r="A762">
        <v>2024</v>
      </c>
      <c r="B762">
        <v>6</v>
      </c>
      <c r="C762">
        <v>8807</v>
      </c>
      <c r="D762">
        <v>607</v>
      </c>
      <c r="E762" t="s">
        <v>10</v>
      </c>
      <c r="F762">
        <v>3449904</v>
      </c>
      <c r="G762" s="1">
        <v>102</v>
      </c>
      <c r="H762" s="2">
        <v>290783</v>
      </c>
      <c r="I762" t="str">
        <f>VLOOKUP(Tabela2[[#This Row],[PAIS]],'[1]nome do paixs'!$A:$B,2,0)</f>
        <v>Portugal</v>
      </c>
      <c r="J762" t="s">
        <v>12</v>
      </c>
    </row>
    <row r="763" spans="1:10">
      <c r="A763">
        <v>2024</v>
      </c>
      <c r="B763">
        <v>5</v>
      </c>
      <c r="C763">
        <v>8807</v>
      </c>
      <c r="D763">
        <v>69</v>
      </c>
      <c r="E763" t="s">
        <v>10</v>
      </c>
      <c r="F763">
        <v>3449904</v>
      </c>
      <c r="G763" s="1">
        <v>25</v>
      </c>
      <c r="H763" s="2">
        <v>2724</v>
      </c>
      <c r="I763" t="str">
        <f>VLOOKUP(Tabela2[[#This Row],[PAIS]],'[1]nome do paixs'!$A:$B,2,0)</f>
        <v>Austrália</v>
      </c>
      <c r="J763" t="s">
        <v>12</v>
      </c>
    </row>
    <row r="764" spans="1:10">
      <c r="A764">
        <v>2024</v>
      </c>
      <c r="B764">
        <v>10</v>
      </c>
      <c r="C764">
        <v>8807</v>
      </c>
      <c r="D764">
        <v>488</v>
      </c>
      <c r="E764" t="s">
        <v>10</v>
      </c>
      <c r="F764">
        <v>3449904</v>
      </c>
      <c r="G764" s="1">
        <v>0</v>
      </c>
      <c r="H764" s="2">
        <v>86</v>
      </c>
      <c r="I764" t="str">
        <f>VLOOKUP(Tabela2[[#This Row],[PAIS]],'[1]nome do paixs'!$A:$B,2,0)</f>
        <v>Mauritânia</v>
      </c>
      <c r="J764" t="s">
        <v>12</v>
      </c>
    </row>
    <row r="765" spans="1:10">
      <c r="A765">
        <v>2024</v>
      </c>
      <c r="B765">
        <v>9</v>
      </c>
      <c r="C765">
        <v>8807</v>
      </c>
      <c r="D765">
        <v>399</v>
      </c>
      <c r="E765" t="s">
        <v>10</v>
      </c>
      <c r="F765">
        <v>3449904</v>
      </c>
      <c r="G765" s="1">
        <v>490</v>
      </c>
      <c r="H765" s="2">
        <v>103083</v>
      </c>
      <c r="I765" t="str">
        <f>VLOOKUP(Tabela2[[#This Row],[PAIS]],'[1]nome do paixs'!$A:$B,2,0)</f>
        <v>Japão</v>
      </c>
      <c r="J765" t="s">
        <v>12</v>
      </c>
    </row>
    <row r="766" spans="1:10">
      <c r="A766">
        <v>2024</v>
      </c>
      <c r="B766">
        <v>3</v>
      </c>
      <c r="C766">
        <v>8807</v>
      </c>
      <c r="D766">
        <v>321</v>
      </c>
      <c r="E766" t="s">
        <v>10</v>
      </c>
      <c r="F766">
        <v>3449904</v>
      </c>
      <c r="G766" s="1">
        <v>0</v>
      </c>
      <c r="H766" s="2">
        <v>5670</v>
      </c>
      <c r="I766" t="str">
        <f>VLOOKUP(Tabela2[[#This Row],[PAIS]],'[1]nome do paixs'!$A:$B,2,0)</f>
        <v>Guernsey</v>
      </c>
      <c r="J766" t="s">
        <v>12</v>
      </c>
    </row>
    <row r="767" spans="1:10">
      <c r="A767">
        <v>2024</v>
      </c>
      <c r="B767">
        <v>8</v>
      </c>
      <c r="C767">
        <v>8807</v>
      </c>
      <c r="D767">
        <v>741</v>
      </c>
      <c r="E767" t="s">
        <v>10</v>
      </c>
      <c r="F767">
        <v>3449904</v>
      </c>
      <c r="G767" s="1">
        <v>4</v>
      </c>
      <c r="H767" s="2">
        <v>3995</v>
      </c>
      <c r="I767" t="str">
        <f>VLOOKUP(Tabela2[[#This Row],[PAIS]],'[1]nome do paixs'!$A:$B,2,0)</f>
        <v>Singapura</v>
      </c>
      <c r="J767" t="s">
        <v>12</v>
      </c>
    </row>
    <row r="768" spans="1:10">
      <c r="A768">
        <v>2024</v>
      </c>
      <c r="B768">
        <v>6</v>
      </c>
      <c r="C768">
        <v>8807</v>
      </c>
      <c r="D768">
        <v>528</v>
      </c>
      <c r="E768" t="s">
        <v>10</v>
      </c>
      <c r="F768">
        <v>3449904</v>
      </c>
      <c r="G768" s="1">
        <v>2</v>
      </c>
      <c r="H768" s="2">
        <v>2747</v>
      </c>
      <c r="I768" t="str">
        <f>VLOOKUP(Tabela2[[#This Row],[PAIS]],'[1]nome do paixs'!$A:$B,2,0)</f>
        <v>Nigéria</v>
      </c>
      <c r="J768" t="s">
        <v>12</v>
      </c>
    </row>
    <row r="769" spans="1:10">
      <c r="A769">
        <v>2024</v>
      </c>
      <c r="B769">
        <v>9</v>
      </c>
      <c r="C769">
        <v>8807</v>
      </c>
      <c r="D769">
        <v>275</v>
      </c>
      <c r="E769" t="s">
        <v>10</v>
      </c>
      <c r="F769">
        <v>3449904</v>
      </c>
      <c r="G769" s="1">
        <v>206</v>
      </c>
      <c r="H769" s="2">
        <v>259034</v>
      </c>
      <c r="I769" t="str">
        <f>VLOOKUP(Tabela2[[#This Row],[PAIS]],'[1]nome do paixs'!$A:$B,2,0)</f>
        <v>França</v>
      </c>
      <c r="J769" t="s">
        <v>12</v>
      </c>
    </row>
    <row r="770" spans="1:10">
      <c r="A770">
        <v>2024</v>
      </c>
      <c r="B770">
        <v>3</v>
      </c>
      <c r="C770">
        <v>8807</v>
      </c>
      <c r="D770">
        <v>573</v>
      </c>
      <c r="E770" t="s">
        <v>10</v>
      </c>
      <c r="F770">
        <v>3449904</v>
      </c>
      <c r="G770" s="1">
        <v>0</v>
      </c>
      <c r="H770" s="2">
        <v>2283</v>
      </c>
      <c r="I770" t="str">
        <f>VLOOKUP(Tabela2[[#This Row],[PAIS]],'[1]nome do paixs'!$A:$B,2,0)</f>
        <v>Países Baixos (Holanda)</v>
      </c>
      <c r="J770" t="s">
        <v>12</v>
      </c>
    </row>
    <row r="771" spans="1:10">
      <c r="A771">
        <v>2024</v>
      </c>
      <c r="B771">
        <v>1</v>
      </c>
      <c r="C771">
        <v>8807</v>
      </c>
      <c r="D771">
        <v>245</v>
      </c>
      <c r="E771" t="s">
        <v>10</v>
      </c>
      <c r="F771">
        <v>3449904</v>
      </c>
      <c r="G771" s="1">
        <v>4141</v>
      </c>
      <c r="H771" s="2">
        <v>2134719</v>
      </c>
      <c r="I771" t="str">
        <f>VLOOKUP(Tabela2[[#This Row],[PAIS]],'[1]nome do paixs'!$A:$B,2,0)</f>
        <v>Espanha</v>
      </c>
      <c r="J771" t="s">
        <v>12</v>
      </c>
    </row>
    <row r="772" spans="1:10">
      <c r="A772">
        <v>2024</v>
      </c>
      <c r="B772">
        <v>6</v>
      </c>
      <c r="C772">
        <v>8807</v>
      </c>
      <c r="D772">
        <v>160</v>
      </c>
      <c r="E772" t="s">
        <v>10</v>
      </c>
      <c r="F772">
        <v>3449904</v>
      </c>
      <c r="G772" s="1">
        <v>12</v>
      </c>
      <c r="H772" s="2">
        <v>9981</v>
      </c>
      <c r="I772" t="str">
        <f>VLOOKUP(Tabela2[[#This Row],[PAIS]],'[1]nome do paixs'!$A:$B,2,0)</f>
        <v>China</v>
      </c>
      <c r="J772" t="s">
        <v>12</v>
      </c>
    </row>
    <row r="773" spans="1:10">
      <c r="A773">
        <v>2024</v>
      </c>
      <c r="B773">
        <v>11</v>
      </c>
      <c r="C773">
        <v>8807</v>
      </c>
      <c r="D773">
        <v>275</v>
      </c>
      <c r="E773" t="s">
        <v>10</v>
      </c>
      <c r="F773">
        <v>3449904</v>
      </c>
      <c r="G773" s="1">
        <v>403</v>
      </c>
      <c r="H773" s="2">
        <v>232821</v>
      </c>
      <c r="I773" t="str">
        <f>VLOOKUP(Tabela2[[#This Row],[PAIS]],'[1]nome do paixs'!$A:$B,2,0)</f>
        <v>França</v>
      </c>
      <c r="J773" t="s">
        <v>12</v>
      </c>
    </row>
    <row r="774" spans="1:10">
      <c r="A774">
        <v>2024</v>
      </c>
      <c r="B774">
        <v>9</v>
      </c>
      <c r="C774">
        <v>8807</v>
      </c>
      <c r="D774">
        <v>756</v>
      </c>
      <c r="E774" t="s">
        <v>10</v>
      </c>
      <c r="F774">
        <v>3449904</v>
      </c>
      <c r="G774" s="1">
        <v>6</v>
      </c>
      <c r="H774" s="2">
        <v>130610</v>
      </c>
      <c r="I774" t="str">
        <f>VLOOKUP(Tabela2[[#This Row],[PAIS]],'[1]nome do paixs'!$A:$B,2,0)</f>
        <v>África do Sul</v>
      </c>
      <c r="J774" t="s">
        <v>12</v>
      </c>
    </row>
    <row r="775" spans="1:10">
      <c r="A775">
        <v>2024</v>
      </c>
      <c r="B775">
        <v>2</v>
      </c>
      <c r="C775">
        <v>8807</v>
      </c>
      <c r="D775">
        <v>72</v>
      </c>
      <c r="E775" t="s">
        <v>10</v>
      </c>
      <c r="F775">
        <v>3449904</v>
      </c>
      <c r="G775" s="1">
        <v>1</v>
      </c>
      <c r="H775" s="2">
        <v>380</v>
      </c>
      <c r="I775" t="str">
        <f>VLOOKUP(Tabela2[[#This Row],[PAIS]],'[1]nome do paixs'!$A:$B,2,0)</f>
        <v>Áustria</v>
      </c>
      <c r="J775" t="s">
        <v>12</v>
      </c>
    </row>
    <row r="776" spans="1:10">
      <c r="A776">
        <v>2024</v>
      </c>
      <c r="B776">
        <v>8</v>
      </c>
      <c r="C776">
        <v>8807</v>
      </c>
      <c r="D776">
        <v>72</v>
      </c>
      <c r="E776" t="s">
        <v>10</v>
      </c>
      <c r="F776">
        <v>3449904</v>
      </c>
      <c r="G776" s="1">
        <v>7</v>
      </c>
      <c r="H776" s="2">
        <v>157554</v>
      </c>
      <c r="I776" t="str">
        <f>VLOOKUP(Tabela2[[#This Row],[PAIS]],'[1]nome do paixs'!$A:$B,2,0)</f>
        <v>Áustria</v>
      </c>
      <c r="J776" t="s">
        <v>12</v>
      </c>
    </row>
    <row r="777" spans="1:10">
      <c r="A777">
        <v>2024</v>
      </c>
      <c r="B777">
        <v>9</v>
      </c>
      <c r="C777">
        <v>8807</v>
      </c>
      <c r="D777">
        <v>69</v>
      </c>
      <c r="E777" t="s">
        <v>10</v>
      </c>
      <c r="F777">
        <v>3449904</v>
      </c>
      <c r="G777" s="1">
        <v>16</v>
      </c>
      <c r="H777" s="2">
        <v>332234</v>
      </c>
      <c r="I777" t="str">
        <f>VLOOKUP(Tabela2[[#This Row],[PAIS]],'[1]nome do paixs'!$A:$B,2,0)</f>
        <v>Austrália</v>
      </c>
      <c r="J777" t="s">
        <v>12</v>
      </c>
    </row>
    <row r="778" spans="1:10">
      <c r="A778">
        <v>2024</v>
      </c>
      <c r="B778">
        <v>2</v>
      </c>
      <c r="C778">
        <v>8807</v>
      </c>
      <c r="D778">
        <v>149</v>
      </c>
      <c r="E778" t="s">
        <v>10</v>
      </c>
      <c r="F778">
        <v>3449904</v>
      </c>
      <c r="G778" s="1">
        <v>1</v>
      </c>
      <c r="H778" s="2">
        <v>1220</v>
      </c>
      <c r="I778" t="str">
        <f>VLOOKUP(Tabela2[[#This Row],[PAIS]],'[1]nome do paixs'!$A:$B,2,0)</f>
        <v>Canadá</v>
      </c>
      <c r="J778" t="s">
        <v>12</v>
      </c>
    </row>
    <row r="779" spans="1:10">
      <c r="A779">
        <v>2024</v>
      </c>
      <c r="B779">
        <v>10</v>
      </c>
      <c r="C779">
        <v>8807</v>
      </c>
      <c r="D779">
        <v>267</v>
      </c>
      <c r="E779" t="s">
        <v>10</v>
      </c>
      <c r="F779">
        <v>3449904</v>
      </c>
      <c r="G779" s="1">
        <v>27</v>
      </c>
      <c r="H779" s="2">
        <v>92521</v>
      </c>
      <c r="I779" t="str">
        <f>VLOOKUP(Tabela2[[#This Row],[PAIS]],'[1]nome do paixs'!$A:$B,2,0)</f>
        <v>Filipinas</v>
      </c>
      <c r="J779" t="s">
        <v>12</v>
      </c>
    </row>
    <row r="780" spans="1:10">
      <c r="A780">
        <v>2024</v>
      </c>
      <c r="B780">
        <v>2</v>
      </c>
      <c r="C780">
        <v>8807</v>
      </c>
      <c r="D780">
        <v>275</v>
      </c>
      <c r="E780" t="s">
        <v>10</v>
      </c>
      <c r="F780">
        <v>3449904</v>
      </c>
      <c r="G780" s="1">
        <v>176</v>
      </c>
      <c r="H780" s="2">
        <v>122196</v>
      </c>
      <c r="I780" t="str">
        <f>VLOOKUP(Tabela2[[#This Row],[PAIS]],'[1]nome do paixs'!$A:$B,2,0)</f>
        <v>França</v>
      </c>
      <c r="J780" t="s">
        <v>12</v>
      </c>
    </row>
    <row r="781" spans="1:10">
      <c r="A781">
        <v>2024</v>
      </c>
      <c r="B781">
        <v>3</v>
      </c>
      <c r="C781">
        <v>8807</v>
      </c>
      <c r="D781">
        <v>528</v>
      </c>
      <c r="E781" t="s">
        <v>10</v>
      </c>
      <c r="F781">
        <v>3449904</v>
      </c>
      <c r="G781" s="1">
        <v>5</v>
      </c>
      <c r="H781" s="2">
        <v>8853</v>
      </c>
      <c r="I781" t="str">
        <f>VLOOKUP(Tabela2[[#This Row],[PAIS]],'[1]nome do paixs'!$A:$B,2,0)</f>
        <v>Nigéria</v>
      </c>
      <c r="J781" t="s">
        <v>12</v>
      </c>
    </row>
    <row r="782" spans="1:10">
      <c r="A782">
        <v>2024</v>
      </c>
      <c r="B782">
        <v>8</v>
      </c>
      <c r="C782">
        <v>8807</v>
      </c>
      <c r="D782">
        <v>493</v>
      </c>
      <c r="E782" t="s">
        <v>10</v>
      </c>
      <c r="F782">
        <v>3449904</v>
      </c>
      <c r="G782" s="1">
        <v>41</v>
      </c>
      <c r="H782" s="2">
        <v>30451</v>
      </c>
      <c r="I782" t="str">
        <f>VLOOKUP(Tabela2[[#This Row],[PAIS]],'[1]nome do paixs'!$A:$B,2,0)</f>
        <v>México</v>
      </c>
      <c r="J782" t="s">
        <v>12</v>
      </c>
    </row>
    <row r="783" spans="1:10">
      <c r="A783">
        <v>2024</v>
      </c>
      <c r="B783">
        <v>3</v>
      </c>
      <c r="C783">
        <v>8807</v>
      </c>
      <c r="D783">
        <v>245</v>
      </c>
      <c r="E783" t="s">
        <v>10</v>
      </c>
      <c r="F783">
        <v>3449904</v>
      </c>
      <c r="G783" s="1">
        <v>5877</v>
      </c>
      <c r="H783" s="2">
        <v>2909818</v>
      </c>
      <c r="I783" t="str">
        <f>VLOOKUP(Tabela2[[#This Row],[PAIS]],'[1]nome do paixs'!$A:$B,2,0)</f>
        <v>Espanha</v>
      </c>
      <c r="J783" t="s">
        <v>12</v>
      </c>
    </row>
    <row r="784" spans="1:10">
      <c r="A784">
        <v>2024</v>
      </c>
      <c r="B784">
        <v>7</v>
      </c>
      <c r="C784">
        <v>8807</v>
      </c>
      <c r="D784">
        <v>603</v>
      </c>
      <c r="E784" t="s">
        <v>10</v>
      </c>
      <c r="F784">
        <v>3449904</v>
      </c>
      <c r="G784" s="1">
        <v>60</v>
      </c>
      <c r="H784" s="2">
        <v>146508</v>
      </c>
      <c r="I784" t="str">
        <f>VLOOKUP(Tabela2[[#This Row],[PAIS]],'[1]nome do paixs'!$A:$B,2,0)</f>
        <v>Polônia</v>
      </c>
      <c r="J784" t="s">
        <v>12</v>
      </c>
    </row>
    <row r="785" spans="1:10">
      <c r="A785">
        <v>2024</v>
      </c>
      <c r="B785">
        <v>4</v>
      </c>
      <c r="C785">
        <v>8807</v>
      </c>
      <c r="D785">
        <v>607</v>
      </c>
      <c r="E785" t="s">
        <v>10</v>
      </c>
      <c r="F785">
        <v>3449904</v>
      </c>
      <c r="G785" s="1">
        <v>27</v>
      </c>
      <c r="H785" s="2">
        <v>39376</v>
      </c>
      <c r="I785" t="str">
        <f>VLOOKUP(Tabela2[[#This Row],[PAIS]],'[1]nome do paixs'!$A:$B,2,0)</f>
        <v>Portugal</v>
      </c>
      <c r="J785" t="s">
        <v>12</v>
      </c>
    </row>
    <row r="786" spans="1:10">
      <c r="A786">
        <v>2024</v>
      </c>
      <c r="B786">
        <v>5</v>
      </c>
      <c r="C786">
        <v>8807</v>
      </c>
      <c r="D786">
        <v>528</v>
      </c>
      <c r="E786" t="s">
        <v>10</v>
      </c>
      <c r="F786">
        <v>3449904</v>
      </c>
      <c r="G786" s="1">
        <v>4</v>
      </c>
      <c r="H786" s="2">
        <v>15256</v>
      </c>
      <c r="I786" t="str">
        <f>VLOOKUP(Tabela2[[#This Row],[PAIS]],'[1]nome do paixs'!$A:$B,2,0)</f>
        <v>Nigéria</v>
      </c>
      <c r="J786" t="s">
        <v>12</v>
      </c>
    </row>
    <row r="787" spans="1:10">
      <c r="A787">
        <v>2024</v>
      </c>
      <c r="B787">
        <v>2</v>
      </c>
      <c r="C787">
        <v>8807</v>
      </c>
      <c r="D787">
        <v>23</v>
      </c>
      <c r="E787" t="s">
        <v>10</v>
      </c>
      <c r="F787">
        <v>3449904</v>
      </c>
      <c r="G787" s="1">
        <v>222</v>
      </c>
      <c r="H787" s="2">
        <v>244900</v>
      </c>
      <c r="I787" t="str">
        <f>VLOOKUP(Tabela2[[#This Row],[PAIS]],'[1]nome do paixs'!$A:$B,2,0)</f>
        <v>Alemanha</v>
      </c>
      <c r="J787" t="s">
        <v>12</v>
      </c>
    </row>
    <row r="788" spans="1:10">
      <c r="A788">
        <v>2024</v>
      </c>
      <c r="B788">
        <v>3</v>
      </c>
      <c r="C788">
        <v>8807</v>
      </c>
      <c r="D788">
        <v>386</v>
      </c>
      <c r="E788" t="s">
        <v>10</v>
      </c>
      <c r="F788">
        <v>3449904</v>
      </c>
      <c r="G788" s="1">
        <v>422</v>
      </c>
      <c r="H788" s="2">
        <v>310483</v>
      </c>
      <c r="I788" t="str">
        <f>VLOOKUP(Tabela2[[#This Row],[PAIS]],'[1]nome do paixs'!$A:$B,2,0)</f>
        <v>Itália</v>
      </c>
      <c r="J788" t="s">
        <v>12</v>
      </c>
    </row>
    <row r="789" spans="1:10">
      <c r="A789">
        <v>2024</v>
      </c>
      <c r="B789">
        <v>2</v>
      </c>
      <c r="C789">
        <v>8807</v>
      </c>
      <c r="D789">
        <v>69</v>
      </c>
      <c r="E789" t="s">
        <v>10</v>
      </c>
      <c r="F789">
        <v>3449904</v>
      </c>
      <c r="G789" s="1">
        <v>8</v>
      </c>
      <c r="H789" s="2">
        <v>178104</v>
      </c>
      <c r="I789" t="str">
        <f>VLOOKUP(Tabela2[[#This Row],[PAIS]],'[1]nome do paixs'!$A:$B,2,0)</f>
        <v>Austrália</v>
      </c>
      <c r="J789" t="s">
        <v>12</v>
      </c>
    </row>
    <row r="790" spans="1:10">
      <c r="A790">
        <v>2024</v>
      </c>
      <c r="B790">
        <v>6</v>
      </c>
      <c r="C790">
        <v>8807</v>
      </c>
      <c r="D790">
        <v>245</v>
      </c>
      <c r="E790" t="s">
        <v>10</v>
      </c>
      <c r="F790">
        <v>3449904</v>
      </c>
      <c r="G790" s="1">
        <v>7606</v>
      </c>
      <c r="H790" s="2">
        <v>3623784</v>
      </c>
      <c r="I790" t="str">
        <f>VLOOKUP(Tabela2[[#This Row],[PAIS]],'[1]nome do paixs'!$A:$B,2,0)</f>
        <v>Espanha</v>
      </c>
      <c r="J790" t="s">
        <v>12</v>
      </c>
    </row>
    <row r="791" spans="1:10">
      <c r="A791">
        <v>2024</v>
      </c>
      <c r="B791">
        <v>6</v>
      </c>
      <c r="C791">
        <v>8807</v>
      </c>
      <c r="D791">
        <v>603</v>
      </c>
      <c r="E791" t="s">
        <v>10</v>
      </c>
      <c r="F791">
        <v>3449904</v>
      </c>
      <c r="G791" s="1">
        <v>28</v>
      </c>
      <c r="H791" s="2">
        <v>7479</v>
      </c>
      <c r="I791" t="str">
        <f>VLOOKUP(Tabela2[[#This Row],[PAIS]],'[1]nome do paixs'!$A:$B,2,0)</f>
        <v>Polônia</v>
      </c>
      <c r="J791" t="s">
        <v>12</v>
      </c>
    </row>
    <row r="792" spans="1:10">
      <c r="A792">
        <v>2024</v>
      </c>
      <c r="B792">
        <v>1</v>
      </c>
      <c r="C792">
        <v>8807</v>
      </c>
      <c r="D792">
        <v>246</v>
      </c>
      <c r="E792" t="s">
        <v>10</v>
      </c>
      <c r="F792">
        <v>3449904</v>
      </c>
      <c r="G792" s="1">
        <v>0</v>
      </c>
      <c r="H792" s="2">
        <v>75</v>
      </c>
      <c r="I792" t="str">
        <f>VLOOKUP(Tabela2[[#This Row],[PAIS]],'[1]nome do paixs'!$A:$B,2,0)</f>
        <v>Eslovênia</v>
      </c>
      <c r="J792" t="s">
        <v>12</v>
      </c>
    </row>
    <row r="793" spans="1:10">
      <c r="A793">
        <v>2024</v>
      </c>
      <c r="B793">
        <v>7</v>
      </c>
      <c r="C793">
        <v>8807</v>
      </c>
      <c r="D793">
        <v>573</v>
      </c>
      <c r="E793" t="s">
        <v>10</v>
      </c>
      <c r="F793">
        <v>3449904</v>
      </c>
      <c r="G793" s="1">
        <v>1</v>
      </c>
      <c r="H793" s="2">
        <v>5817</v>
      </c>
      <c r="I793" t="str">
        <f>VLOOKUP(Tabela2[[#This Row],[PAIS]],'[1]nome do paixs'!$A:$B,2,0)</f>
        <v>Países Baixos (Holanda)</v>
      </c>
      <c r="J793" t="s">
        <v>12</v>
      </c>
    </row>
    <row r="794" spans="1:10">
      <c r="A794">
        <v>2024</v>
      </c>
      <c r="B794">
        <v>9</v>
      </c>
      <c r="C794">
        <v>8807</v>
      </c>
      <c r="D794">
        <v>158</v>
      </c>
      <c r="E794" t="s">
        <v>10</v>
      </c>
      <c r="F794">
        <v>3449904</v>
      </c>
      <c r="G794" s="1">
        <v>46</v>
      </c>
      <c r="H794" s="2">
        <v>112688</v>
      </c>
      <c r="I794" t="str">
        <f>VLOOKUP(Tabela2[[#This Row],[PAIS]],'[1]nome do paixs'!$A:$B,2,0)</f>
        <v>Chile</v>
      </c>
      <c r="J794" t="s">
        <v>12</v>
      </c>
    </row>
    <row r="795" spans="1:10">
      <c r="A795">
        <v>2024</v>
      </c>
      <c r="B795">
        <v>3</v>
      </c>
      <c r="C795">
        <v>8807</v>
      </c>
      <c r="D795">
        <v>442</v>
      </c>
      <c r="E795" t="s">
        <v>10</v>
      </c>
      <c r="F795">
        <v>3449904</v>
      </c>
      <c r="G795" s="1">
        <v>1</v>
      </c>
      <c r="H795" s="2">
        <v>313</v>
      </c>
      <c r="I795" t="str">
        <f>VLOOKUP(Tabela2[[#This Row],[PAIS]],'[1]nome do paixs'!$A:$B,2,0)</f>
        <v>Lituânia</v>
      </c>
      <c r="J795" t="s">
        <v>12</v>
      </c>
    </row>
    <row r="796" spans="1:10">
      <c r="A796">
        <v>2024</v>
      </c>
      <c r="B796">
        <v>7</v>
      </c>
      <c r="C796">
        <v>8807</v>
      </c>
      <c r="D796">
        <v>87</v>
      </c>
      <c r="E796" t="s">
        <v>10</v>
      </c>
      <c r="F796">
        <v>3449904</v>
      </c>
      <c r="G796" s="1">
        <v>7478</v>
      </c>
      <c r="H796" s="2">
        <v>3996494</v>
      </c>
      <c r="I796" t="str">
        <f>VLOOKUP(Tabela2[[#This Row],[PAIS]],'[1]nome do paixs'!$A:$B,2,0)</f>
        <v>Bélgica</v>
      </c>
      <c r="J796" t="s">
        <v>12</v>
      </c>
    </row>
    <row r="797" spans="1:10">
      <c r="A797">
        <v>2024</v>
      </c>
      <c r="B797">
        <v>1</v>
      </c>
      <c r="C797">
        <v>8807</v>
      </c>
      <c r="D797">
        <v>23</v>
      </c>
      <c r="E797" t="s">
        <v>10</v>
      </c>
      <c r="F797">
        <v>3449904</v>
      </c>
      <c r="G797" s="1">
        <v>190</v>
      </c>
      <c r="H797" s="2">
        <v>495948</v>
      </c>
      <c r="I797" t="str">
        <f>VLOOKUP(Tabela2[[#This Row],[PAIS]],'[1]nome do paixs'!$A:$B,2,0)</f>
        <v>Alemanha</v>
      </c>
      <c r="J797" t="s">
        <v>12</v>
      </c>
    </row>
    <row r="798" spans="1:10">
      <c r="A798">
        <v>2024</v>
      </c>
      <c r="B798">
        <v>5</v>
      </c>
      <c r="C798">
        <v>8807</v>
      </c>
      <c r="D798">
        <v>149</v>
      </c>
      <c r="E798" t="s">
        <v>10</v>
      </c>
      <c r="F798">
        <v>3449904</v>
      </c>
      <c r="G798" s="1">
        <v>12</v>
      </c>
      <c r="H798" s="2">
        <v>13735</v>
      </c>
      <c r="I798" t="str">
        <f>VLOOKUP(Tabela2[[#This Row],[PAIS]],'[1]nome do paixs'!$A:$B,2,0)</f>
        <v>Canadá</v>
      </c>
      <c r="J798" t="s">
        <v>12</v>
      </c>
    </row>
    <row r="799" spans="1:10">
      <c r="A799">
        <v>2024</v>
      </c>
      <c r="B799">
        <v>7</v>
      </c>
      <c r="C799">
        <v>8807</v>
      </c>
      <c r="D799">
        <v>249</v>
      </c>
      <c r="E799" t="s">
        <v>10</v>
      </c>
      <c r="F799">
        <v>3449904</v>
      </c>
      <c r="G799" s="1">
        <v>10176</v>
      </c>
      <c r="H799" s="2">
        <v>8264372</v>
      </c>
      <c r="I799" t="str">
        <f>VLOOKUP(Tabela2[[#This Row],[PAIS]],'[1]nome do paixs'!$A:$B,2,0)</f>
        <v>Estados Unidos</v>
      </c>
      <c r="J799" t="s">
        <v>12</v>
      </c>
    </row>
    <row r="800" spans="1:10">
      <c r="A800">
        <v>2024</v>
      </c>
      <c r="B800">
        <v>11</v>
      </c>
      <c r="C800">
        <v>8807</v>
      </c>
      <c r="D800">
        <v>611</v>
      </c>
      <c r="E800" t="s">
        <v>10</v>
      </c>
      <c r="F800">
        <v>3449904</v>
      </c>
      <c r="G800" s="1">
        <v>2</v>
      </c>
      <c r="H800" s="2">
        <v>29</v>
      </c>
      <c r="I800" t="str">
        <f>VLOOKUP(Tabela2[[#This Row],[PAIS]],'[1]nome do paixs'!$A:$B,2,0)</f>
        <v>Porto Rico</v>
      </c>
      <c r="J800" t="s">
        <v>12</v>
      </c>
    </row>
    <row r="801" spans="1:10">
      <c r="A801">
        <v>2024</v>
      </c>
      <c r="B801">
        <v>11</v>
      </c>
      <c r="C801">
        <v>8807</v>
      </c>
      <c r="D801">
        <v>741</v>
      </c>
      <c r="E801" t="s">
        <v>10</v>
      </c>
      <c r="F801">
        <v>3449904</v>
      </c>
      <c r="G801" s="1">
        <v>1</v>
      </c>
      <c r="H801" s="2">
        <v>2046</v>
      </c>
      <c r="I801" t="str">
        <f>VLOOKUP(Tabela2[[#This Row],[PAIS]],'[1]nome do paixs'!$A:$B,2,0)</f>
        <v>Singapura</v>
      </c>
      <c r="J801" t="s">
        <v>12</v>
      </c>
    </row>
    <row r="802" spans="1:10">
      <c r="A802">
        <v>2024</v>
      </c>
      <c r="B802">
        <v>9</v>
      </c>
      <c r="C802">
        <v>8807</v>
      </c>
      <c r="D802">
        <v>149</v>
      </c>
      <c r="E802" t="s">
        <v>10</v>
      </c>
      <c r="F802">
        <v>3449904</v>
      </c>
      <c r="G802" s="1">
        <v>0</v>
      </c>
      <c r="H802" s="2">
        <v>539</v>
      </c>
      <c r="I802" t="str">
        <f>VLOOKUP(Tabela2[[#This Row],[PAIS]],'[1]nome do paixs'!$A:$B,2,0)</f>
        <v>Canadá</v>
      </c>
      <c r="J802" t="s">
        <v>12</v>
      </c>
    </row>
    <row r="803" spans="1:10">
      <c r="A803">
        <v>2024</v>
      </c>
      <c r="B803">
        <v>3</v>
      </c>
      <c r="C803">
        <v>8807</v>
      </c>
      <c r="D803">
        <v>249</v>
      </c>
      <c r="E803" t="s">
        <v>10</v>
      </c>
      <c r="F803">
        <v>3449904</v>
      </c>
      <c r="G803" s="1">
        <v>4554</v>
      </c>
      <c r="H803" s="2">
        <v>3994672</v>
      </c>
      <c r="I803" t="str">
        <f>VLOOKUP(Tabela2[[#This Row],[PAIS]],'[1]nome do paixs'!$A:$B,2,0)</f>
        <v>Estados Unidos</v>
      </c>
      <c r="J803" t="s">
        <v>12</v>
      </c>
    </row>
    <row r="804" spans="1:10">
      <c r="A804">
        <v>2024</v>
      </c>
      <c r="B804">
        <v>12</v>
      </c>
      <c r="C804">
        <v>8807</v>
      </c>
      <c r="D804">
        <v>69</v>
      </c>
      <c r="E804" t="s">
        <v>10</v>
      </c>
      <c r="F804">
        <v>3449904</v>
      </c>
      <c r="G804" s="1">
        <v>7</v>
      </c>
      <c r="H804" s="2">
        <v>142339</v>
      </c>
      <c r="I804" t="str">
        <f>VLOOKUP(Tabela2[[#This Row],[PAIS]],'[1]nome do paixs'!$A:$B,2,0)</f>
        <v>Austrália</v>
      </c>
      <c r="J804" t="s">
        <v>12</v>
      </c>
    </row>
    <row r="805" spans="1:10">
      <c r="A805">
        <v>2024</v>
      </c>
      <c r="B805">
        <v>4</v>
      </c>
      <c r="C805">
        <v>8807</v>
      </c>
      <c r="D805">
        <v>97</v>
      </c>
      <c r="E805" t="s">
        <v>10</v>
      </c>
      <c r="F805">
        <v>3449904</v>
      </c>
      <c r="G805" s="1">
        <v>0</v>
      </c>
      <c r="H805" s="2">
        <v>3000</v>
      </c>
      <c r="I805" t="str">
        <f>VLOOKUP(Tabela2[[#This Row],[PAIS]],'[1]nome do paixs'!$A:$B,2,0)</f>
        <v>Bolívia</v>
      </c>
      <c r="J805" t="s">
        <v>12</v>
      </c>
    </row>
    <row r="806" spans="1:10">
      <c r="A806">
        <v>2024</v>
      </c>
      <c r="B806">
        <v>12</v>
      </c>
      <c r="C806">
        <v>8807</v>
      </c>
      <c r="D806">
        <v>245</v>
      </c>
      <c r="E806" t="s">
        <v>10</v>
      </c>
      <c r="F806">
        <v>3449904</v>
      </c>
      <c r="G806" s="1">
        <v>6479</v>
      </c>
      <c r="H806" s="2">
        <v>4665155</v>
      </c>
      <c r="I806" t="str">
        <f>VLOOKUP(Tabela2[[#This Row],[PAIS]],'[1]nome do paixs'!$A:$B,2,0)</f>
        <v>Espanha</v>
      </c>
      <c r="J806" t="s">
        <v>12</v>
      </c>
    </row>
    <row r="807" spans="1:10">
      <c r="A807">
        <v>2024</v>
      </c>
      <c r="B807">
        <v>11</v>
      </c>
      <c r="C807">
        <v>8807</v>
      </c>
      <c r="D807">
        <v>488</v>
      </c>
      <c r="E807" t="s">
        <v>10</v>
      </c>
      <c r="F807">
        <v>3449904</v>
      </c>
      <c r="G807" s="1">
        <v>0</v>
      </c>
      <c r="H807" s="2">
        <v>637</v>
      </c>
      <c r="I807" t="str">
        <f>VLOOKUP(Tabela2[[#This Row],[PAIS]],'[1]nome do paixs'!$A:$B,2,0)</f>
        <v>Mauritânia</v>
      </c>
      <c r="J807" t="s">
        <v>12</v>
      </c>
    </row>
    <row r="808" spans="1:10">
      <c r="A808">
        <v>2024</v>
      </c>
      <c r="B808">
        <v>11</v>
      </c>
      <c r="C808">
        <v>8807</v>
      </c>
      <c r="D808">
        <v>603</v>
      </c>
      <c r="E808" t="s">
        <v>10</v>
      </c>
      <c r="F808">
        <v>3449904</v>
      </c>
      <c r="G808" s="1">
        <v>1</v>
      </c>
      <c r="H808" s="2">
        <v>4601</v>
      </c>
      <c r="I808" t="str">
        <f>VLOOKUP(Tabela2[[#This Row],[PAIS]],'[1]nome do paixs'!$A:$B,2,0)</f>
        <v>Polônia</v>
      </c>
      <c r="J808" t="s">
        <v>12</v>
      </c>
    </row>
    <row r="809" spans="1:10">
      <c r="A809">
        <v>2024</v>
      </c>
      <c r="B809">
        <v>5</v>
      </c>
      <c r="C809">
        <v>8807</v>
      </c>
      <c r="D809">
        <v>573</v>
      </c>
      <c r="E809" t="s">
        <v>10</v>
      </c>
      <c r="F809">
        <v>3449904</v>
      </c>
      <c r="G809" s="1">
        <v>0</v>
      </c>
      <c r="H809" s="2">
        <v>1187</v>
      </c>
      <c r="I809" t="str">
        <f>VLOOKUP(Tabela2[[#This Row],[PAIS]],'[1]nome do paixs'!$A:$B,2,0)</f>
        <v>Países Baixos (Holanda)</v>
      </c>
      <c r="J809" t="s">
        <v>12</v>
      </c>
    </row>
    <row r="810" spans="1:10">
      <c r="A810">
        <v>2024</v>
      </c>
      <c r="B810">
        <v>6</v>
      </c>
      <c r="C810">
        <v>8807</v>
      </c>
      <c r="D810">
        <v>275</v>
      </c>
      <c r="E810" t="s">
        <v>10</v>
      </c>
      <c r="F810">
        <v>3424402</v>
      </c>
      <c r="G810" s="1">
        <v>4586</v>
      </c>
      <c r="H810" s="2">
        <v>4362421</v>
      </c>
      <c r="I810" t="str">
        <f>VLOOKUP(Tabela2[[#This Row],[PAIS]],'[1]nome do paixs'!$A:$B,2,0)</f>
        <v>França</v>
      </c>
      <c r="J810" t="s">
        <v>13</v>
      </c>
    </row>
    <row r="811" spans="1:10">
      <c r="A811">
        <v>2024</v>
      </c>
      <c r="B811">
        <v>10</v>
      </c>
      <c r="C811">
        <v>8807</v>
      </c>
      <c r="D811">
        <v>275</v>
      </c>
      <c r="E811" t="s">
        <v>10</v>
      </c>
      <c r="F811">
        <v>3424402</v>
      </c>
      <c r="G811" s="1">
        <v>6121</v>
      </c>
      <c r="H811" s="2">
        <v>4192592</v>
      </c>
      <c r="I811" t="str">
        <f>VLOOKUP(Tabela2[[#This Row],[PAIS]],'[1]nome do paixs'!$A:$B,2,0)</f>
        <v>França</v>
      </c>
      <c r="J811" t="s">
        <v>13</v>
      </c>
    </row>
    <row r="812" spans="1:10">
      <c r="A812">
        <v>2024</v>
      </c>
      <c r="B812">
        <v>7</v>
      </c>
      <c r="C812">
        <v>8807</v>
      </c>
      <c r="D812">
        <v>249</v>
      </c>
      <c r="E812" t="s">
        <v>10</v>
      </c>
      <c r="F812">
        <v>3424402</v>
      </c>
      <c r="G812" s="1">
        <v>265</v>
      </c>
      <c r="H812" s="2">
        <v>172689</v>
      </c>
      <c r="I812" t="str">
        <f>VLOOKUP(Tabela2[[#This Row],[PAIS]],'[1]nome do paixs'!$A:$B,2,0)</f>
        <v>Estados Unidos</v>
      </c>
      <c r="J812" t="s">
        <v>13</v>
      </c>
    </row>
    <row r="813" spans="1:10">
      <c r="A813">
        <v>2024</v>
      </c>
      <c r="B813">
        <v>11</v>
      </c>
      <c r="C813">
        <v>8807</v>
      </c>
      <c r="D813">
        <v>275</v>
      </c>
      <c r="E813" t="s">
        <v>10</v>
      </c>
      <c r="F813">
        <v>3424402</v>
      </c>
      <c r="G813" s="1">
        <v>8438</v>
      </c>
      <c r="H813" s="2">
        <v>6081758</v>
      </c>
      <c r="I813" t="str">
        <f>VLOOKUP(Tabela2[[#This Row],[PAIS]],'[1]nome do paixs'!$A:$B,2,0)</f>
        <v>França</v>
      </c>
      <c r="J813" t="s">
        <v>13</v>
      </c>
    </row>
    <row r="814" spans="1:10">
      <c r="A814">
        <v>2024</v>
      </c>
      <c r="B814">
        <v>2</v>
      </c>
      <c r="C814">
        <v>8807</v>
      </c>
      <c r="D814">
        <v>249</v>
      </c>
      <c r="E814" t="s">
        <v>10</v>
      </c>
      <c r="F814">
        <v>3424402</v>
      </c>
      <c r="G814" s="1">
        <v>168</v>
      </c>
      <c r="H814" s="2">
        <v>66032</v>
      </c>
      <c r="I814" t="str">
        <f>VLOOKUP(Tabela2[[#This Row],[PAIS]],'[1]nome do paixs'!$A:$B,2,0)</f>
        <v>Estados Unidos</v>
      </c>
      <c r="J814" t="s">
        <v>13</v>
      </c>
    </row>
    <row r="815" spans="1:10">
      <c r="A815">
        <v>2024</v>
      </c>
      <c r="B815">
        <v>4</v>
      </c>
      <c r="C815">
        <v>8807</v>
      </c>
      <c r="D815">
        <v>249</v>
      </c>
      <c r="E815" t="s">
        <v>10</v>
      </c>
      <c r="F815">
        <v>3424402</v>
      </c>
      <c r="G815" s="1">
        <v>260</v>
      </c>
      <c r="H815" s="2">
        <v>113388</v>
      </c>
      <c r="I815" t="str">
        <f>VLOOKUP(Tabela2[[#This Row],[PAIS]],'[1]nome do paixs'!$A:$B,2,0)</f>
        <v>Estados Unidos</v>
      </c>
      <c r="J815" t="s">
        <v>13</v>
      </c>
    </row>
    <row r="816" spans="1:10">
      <c r="A816">
        <v>2024</v>
      </c>
      <c r="B816">
        <v>12</v>
      </c>
      <c r="C816">
        <v>8807</v>
      </c>
      <c r="D816">
        <v>275</v>
      </c>
      <c r="E816" t="s">
        <v>10</v>
      </c>
      <c r="F816">
        <v>3424402</v>
      </c>
      <c r="G816" s="1">
        <v>5621</v>
      </c>
      <c r="H816" s="2">
        <v>3988856</v>
      </c>
      <c r="I816" t="str">
        <f>VLOOKUP(Tabela2[[#This Row],[PAIS]],'[1]nome do paixs'!$A:$B,2,0)</f>
        <v>França</v>
      </c>
      <c r="J816" t="s">
        <v>13</v>
      </c>
    </row>
    <row r="817" spans="1:10">
      <c r="A817">
        <v>2024</v>
      </c>
      <c r="B817">
        <v>8</v>
      </c>
      <c r="C817">
        <v>8807</v>
      </c>
      <c r="D817">
        <v>275</v>
      </c>
      <c r="E817" t="s">
        <v>10</v>
      </c>
      <c r="F817">
        <v>3424402</v>
      </c>
      <c r="G817" s="1">
        <v>6972</v>
      </c>
      <c r="H817" s="2">
        <v>5182051</v>
      </c>
      <c r="I817" t="str">
        <f>VLOOKUP(Tabela2[[#This Row],[PAIS]],'[1]nome do paixs'!$A:$B,2,0)</f>
        <v>França</v>
      </c>
      <c r="J817" t="s">
        <v>13</v>
      </c>
    </row>
    <row r="818" spans="1:10">
      <c r="A818">
        <v>2024</v>
      </c>
      <c r="B818">
        <v>10</v>
      </c>
      <c r="C818">
        <v>8807</v>
      </c>
      <c r="D818">
        <v>249</v>
      </c>
      <c r="E818" t="s">
        <v>10</v>
      </c>
      <c r="F818">
        <v>3424402</v>
      </c>
      <c r="G818" s="1">
        <v>262</v>
      </c>
      <c r="H818" s="2">
        <v>131202</v>
      </c>
      <c r="I818" t="str">
        <f>VLOOKUP(Tabela2[[#This Row],[PAIS]],'[1]nome do paixs'!$A:$B,2,0)</f>
        <v>Estados Unidos</v>
      </c>
      <c r="J818" t="s">
        <v>13</v>
      </c>
    </row>
    <row r="819" spans="1:10">
      <c r="A819">
        <v>2024</v>
      </c>
      <c r="B819">
        <v>5</v>
      </c>
      <c r="C819">
        <v>8807</v>
      </c>
      <c r="D819">
        <v>249</v>
      </c>
      <c r="E819" t="s">
        <v>10</v>
      </c>
      <c r="F819">
        <v>3424402</v>
      </c>
      <c r="G819" s="1">
        <v>255</v>
      </c>
      <c r="H819" s="2">
        <v>124739</v>
      </c>
      <c r="I819" t="str">
        <f>VLOOKUP(Tabela2[[#This Row],[PAIS]],'[1]nome do paixs'!$A:$B,2,0)</f>
        <v>Estados Unidos</v>
      </c>
      <c r="J819" t="s">
        <v>13</v>
      </c>
    </row>
    <row r="820" spans="1:10">
      <c r="A820">
        <v>2024</v>
      </c>
      <c r="B820">
        <v>11</v>
      </c>
      <c r="C820">
        <v>8807</v>
      </c>
      <c r="D820">
        <v>791</v>
      </c>
      <c r="E820" t="s">
        <v>10</v>
      </c>
      <c r="F820">
        <v>3424402</v>
      </c>
      <c r="G820" s="1">
        <v>0</v>
      </c>
      <c r="H820" s="2">
        <v>61</v>
      </c>
      <c r="I820" t="str">
        <f>VLOOKUP(Tabela2[[#This Row],[PAIS]],'[1]nome do paixs'!$A:$B,2,0)</f>
        <v>Tcheca, República</v>
      </c>
      <c r="J820" t="s">
        <v>13</v>
      </c>
    </row>
    <row r="821" spans="1:10">
      <c r="A821">
        <v>2024</v>
      </c>
      <c r="B821">
        <v>4</v>
      </c>
      <c r="C821">
        <v>8807</v>
      </c>
      <c r="D821">
        <v>275</v>
      </c>
      <c r="E821" t="s">
        <v>10</v>
      </c>
      <c r="F821">
        <v>3424402</v>
      </c>
      <c r="G821" s="1">
        <v>5606</v>
      </c>
      <c r="H821" s="2">
        <v>4549064</v>
      </c>
      <c r="I821" t="str">
        <f>VLOOKUP(Tabela2[[#This Row],[PAIS]],'[1]nome do paixs'!$A:$B,2,0)</f>
        <v>França</v>
      </c>
      <c r="J821" t="s">
        <v>13</v>
      </c>
    </row>
    <row r="822" spans="1:10">
      <c r="A822">
        <v>2024</v>
      </c>
      <c r="B822">
        <v>3</v>
      </c>
      <c r="C822">
        <v>8807</v>
      </c>
      <c r="D822">
        <v>249</v>
      </c>
      <c r="E822" t="s">
        <v>10</v>
      </c>
      <c r="F822">
        <v>3424402</v>
      </c>
      <c r="G822" s="1">
        <v>237</v>
      </c>
      <c r="H822" s="2">
        <v>98332</v>
      </c>
      <c r="I822" t="str">
        <f>VLOOKUP(Tabela2[[#This Row],[PAIS]],'[1]nome do paixs'!$A:$B,2,0)</f>
        <v>Estados Unidos</v>
      </c>
      <c r="J822" t="s">
        <v>13</v>
      </c>
    </row>
    <row r="823" spans="1:10">
      <c r="A823">
        <v>2024</v>
      </c>
      <c r="B823">
        <v>7</v>
      </c>
      <c r="C823">
        <v>8807</v>
      </c>
      <c r="D823">
        <v>275</v>
      </c>
      <c r="E823" t="s">
        <v>10</v>
      </c>
      <c r="F823">
        <v>3424402</v>
      </c>
      <c r="G823" s="1">
        <v>8945</v>
      </c>
      <c r="H823" s="2">
        <v>6465733</v>
      </c>
      <c r="I823" t="str">
        <f>VLOOKUP(Tabela2[[#This Row],[PAIS]],'[1]nome do paixs'!$A:$B,2,0)</f>
        <v>França</v>
      </c>
      <c r="J823" t="s">
        <v>13</v>
      </c>
    </row>
    <row r="824" spans="1:10">
      <c r="A824">
        <v>2024</v>
      </c>
      <c r="B824">
        <v>6</v>
      </c>
      <c r="C824">
        <v>8807</v>
      </c>
      <c r="D824">
        <v>493</v>
      </c>
      <c r="E824" t="s">
        <v>10</v>
      </c>
      <c r="F824">
        <v>3424402</v>
      </c>
      <c r="G824" s="1">
        <v>0</v>
      </c>
      <c r="H824" s="2">
        <v>65</v>
      </c>
      <c r="I824" t="str">
        <f>VLOOKUP(Tabela2[[#This Row],[PAIS]],'[1]nome do paixs'!$A:$B,2,0)</f>
        <v>México</v>
      </c>
      <c r="J824" t="s">
        <v>13</v>
      </c>
    </row>
    <row r="825" spans="1:10">
      <c r="A825">
        <v>2024</v>
      </c>
      <c r="B825">
        <v>11</v>
      </c>
      <c r="C825">
        <v>8807</v>
      </c>
      <c r="D825">
        <v>249</v>
      </c>
      <c r="E825" t="s">
        <v>10</v>
      </c>
      <c r="F825">
        <v>3424402</v>
      </c>
      <c r="G825" s="1">
        <v>216</v>
      </c>
      <c r="H825" s="2">
        <v>103063</v>
      </c>
      <c r="I825" t="str">
        <f>VLOOKUP(Tabela2[[#This Row],[PAIS]],'[1]nome do paixs'!$A:$B,2,0)</f>
        <v>Estados Unidos</v>
      </c>
      <c r="J825" t="s">
        <v>13</v>
      </c>
    </row>
    <row r="826" spans="1:10">
      <c r="A826">
        <v>2024</v>
      </c>
      <c r="B826">
        <v>5</v>
      </c>
      <c r="C826">
        <v>8807</v>
      </c>
      <c r="D826">
        <v>275</v>
      </c>
      <c r="E826" t="s">
        <v>10</v>
      </c>
      <c r="F826">
        <v>3424402</v>
      </c>
      <c r="G826" s="1">
        <v>5931</v>
      </c>
      <c r="H826" s="2">
        <v>4014446</v>
      </c>
      <c r="I826" t="str">
        <f>VLOOKUP(Tabela2[[#This Row],[PAIS]],'[1]nome do paixs'!$A:$B,2,0)</f>
        <v>França</v>
      </c>
      <c r="J826" t="s">
        <v>13</v>
      </c>
    </row>
    <row r="827" spans="1:10">
      <c r="A827">
        <v>2024</v>
      </c>
      <c r="B827">
        <v>8</v>
      </c>
      <c r="C827">
        <v>8807</v>
      </c>
      <c r="D827">
        <v>249</v>
      </c>
      <c r="E827" t="s">
        <v>10</v>
      </c>
      <c r="F827">
        <v>3424402</v>
      </c>
      <c r="G827" s="1">
        <v>327</v>
      </c>
      <c r="H827" s="2">
        <v>169606</v>
      </c>
      <c r="I827" t="str">
        <f>VLOOKUP(Tabela2[[#This Row],[PAIS]],'[1]nome do paixs'!$A:$B,2,0)</f>
        <v>Estados Unidos</v>
      </c>
      <c r="J827" t="s">
        <v>13</v>
      </c>
    </row>
    <row r="828" spans="1:10">
      <c r="A828">
        <v>2024</v>
      </c>
      <c r="B828">
        <v>1</v>
      </c>
      <c r="C828">
        <v>8807</v>
      </c>
      <c r="D828">
        <v>249</v>
      </c>
      <c r="E828" t="s">
        <v>10</v>
      </c>
      <c r="F828">
        <v>3424402</v>
      </c>
      <c r="G828" s="1">
        <v>176</v>
      </c>
      <c r="H828" s="2">
        <v>80524</v>
      </c>
      <c r="I828" t="str">
        <f>VLOOKUP(Tabela2[[#This Row],[PAIS]],'[1]nome do paixs'!$A:$B,2,0)</f>
        <v>Estados Unidos</v>
      </c>
      <c r="J828" t="s">
        <v>13</v>
      </c>
    </row>
    <row r="829" spans="1:10">
      <c r="A829">
        <v>2024</v>
      </c>
      <c r="B829">
        <v>12</v>
      </c>
      <c r="C829">
        <v>8807</v>
      </c>
      <c r="D829">
        <v>791</v>
      </c>
      <c r="E829" t="s">
        <v>10</v>
      </c>
      <c r="F829">
        <v>3424402</v>
      </c>
      <c r="G829" s="1">
        <v>16</v>
      </c>
      <c r="H829" s="2">
        <v>12700</v>
      </c>
      <c r="I829" t="str">
        <f>VLOOKUP(Tabela2[[#This Row],[PAIS]],'[1]nome do paixs'!$A:$B,2,0)</f>
        <v>Tcheca, República</v>
      </c>
      <c r="J829" t="s">
        <v>13</v>
      </c>
    </row>
    <row r="830" spans="1:10">
      <c r="A830">
        <v>2024</v>
      </c>
      <c r="B830">
        <v>3</v>
      </c>
      <c r="C830">
        <v>8807</v>
      </c>
      <c r="D830">
        <v>275</v>
      </c>
      <c r="E830" t="s">
        <v>10</v>
      </c>
      <c r="F830">
        <v>3424402</v>
      </c>
      <c r="G830" s="1">
        <v>5565</v>
      </c>
      <c r="H830" s="2">
        <v>4443251</v>
      </c>
      <c r="I830" t="str">
        <f>VLOOKUP(Tabela2[[#This Row],[PAIS]],'[1]nome do paixs'!$A:$B,2,0)</f>
        <v>França</v>
      </c>
      <c r="J830" t="s">
        <v>13</v>
      </c>
    </row>
    <row r="831" spans="1:10">
      <c r="A831">
        <v>2024</v>
      </c>
      <c r="B831">
        <v>9</v>
      </c>
      <c r="C831">
        <v>8807</v>
      </c>
      <c r="D831">
        <v>249</v>
      </c>
      <c r="E831" t="s">
        <v>10</v>
      </c>
      <c r="F831">
        <v>3424402</v>
      </c>
      <c r="G831" s="1">
        <v>151</v>
      </c>
      <c r="H831" s="2">
        <v>76187</v>
      </c>
      <c r="I831" t="str">
        <f>VLOOKUP(Tabela2[[#This Row],[PAIS]],'[1]nome do paixs'!$A:$B,2,0)</f>
        <v>Estados Unidos</v>
      </c>
      <c r="J831" t="s">
        <v>13</v>
      </c>
    </row>
    <row r="832" spans="1:10">
      <c r="A832">
        <v>2024</v>
      </c>
      <c r="B832">
        <v>1</v>
      </c>
      <c r="C832">
        <v>8807</v>
      </c>
      <c r="D832">
        <v>275</v>
      </c>
      <c r="E832" t="s">
        <v>10</v>
      </c>
      <c r="F832">
        <v>3424402</v>
      </c>
      <c r="G832" s="1">
        <v>5155</v>
      </c>
      <c r="H832" s="2">
        <v>3820013</v>
      </c>
      <c r="I832" t="str">
        <f>VLOOKUP(Tabela2[[#This Row],[PAIS]],'[1]nome do paixs'!$A:$B,2,0)</f>
        <v>França</v>
      </c>
      <c r="J832" t="s">
        <v>13</v>
      </c>
    </row>
    <row r="833" spans="1:10">
      <c r="A833">
        <v>2024</v>
      </c>
      <c r="B833">
        <v>12</v>
      </c>
      <c r="C833">
        <v>8807</v>
      </c>
      <c r="D833">
        <v>249</v>
      </c>
      <c r="E833" t="s">
        <v>10</v>
      </c>
      <c r="F833">
        <v>3424402</v>
      </c>
      <c r="G833" s="1">
        <v>236</v>
      </c>
      <c r="H833" s="2">
        <v>138228</v>
      </c>
      <c r="I833" t="str">
        <f>VLOOKUP(Tabela2[[#This Row],[PAIS]],'[1]nome do paixs'!$A:$B,2,0)</f>
        <v>Estados Unidos</v>
      </c>
      <c r="J833" t="s">
        <v>13</v>
      </c>
    </row>
    <row r="834" spans="1:10">
      <c r="A834">
        <v>2024</v>
      </c>
      <c r="B834">
        <v>9</v>
      </c>
      <c r="C834">
        <v>8807</v>
      </c>
      <c r="D834">
        <v>741</v>
      </c>
      <c r="E834" t="s">
        <v>10</v>
      </c>
      <c r="F834">
        <v>3424402</v>
      </c>
      <c r="G834" s="1">
        <v>3</v>
      </c>
      <c r="H834" s="2">
        <v>2446</v>
      </c>
      <c r="I834" t="str">
        <f>VLOOKUP(Tabela2[[#This Row],[PAIS]],'[1]nome do paixs'!$A:$B,2,0)</f>
        <v>Singapura</v>
      </c>
      <c r="J834" t="s">
        <v>13</v>
      </c>
    </row>
    <row r="835" spans="1:10">
      <c r="A835">
        <v>2024</v>
      </c>
      <c r="B835">
        <v>2</v>
      </c>
      <c r="C835">
        <v>8807</v>
      </c>
      <c r="D835">
        <v>275</v>
      </c>
      <c r="E835" t="s">
        <v>10</v>
      </c>
      <c r="F835">
        <v>3424402</v>
      </c>
      <c r="G835" s="1">
        <v>5361</v>
      </c>
      <c r="H835" s="2">
        <v>4183316</v>
      </c>
      <c r="I835" t="str">
        <f>VLOOKUP(Tabela2[[#This Row],[PAIS]],'[1]nome do paixs'!$A:$B,2,0)</f>
        <v>França</v>
      </c>
      <c r="J835" t="s">
        <v>13</v>
      </c>
    </row>
    <row r="836" spans="1:10">
      <c r="A836">
        <v>2024</v>
      </c>
      <c r="B836">
        <v>9</v>
      </c>
      <c r="C836">
        <v>8807</v>
      </c>
      <c r="D836">
        <v>275</v>
      </c>
      <c r="E836" t="s">
        <v>10</v>
      </c>
      <c r="F836">
        <v>3424402</v>
      </c>
      <c r="G836" s="1">
        <v>8982</v>
      </c>
      <c r="H836" s="2">
        <v>6417316</v>
      </c>
      <c r="I836" t="str">
        <f>VLOOKUP(Tabela2[[#This Row],[PAIS]],'[1]nome do paixs'!$A:$B,2,0)</f>
        <v>França</v>
      </c>
      <c r="J836" t="s">
        <v>13</v>
      </c>
    </row>
    <row r="837" spans="1:10">
      <c r="A837">
        <v>2024</v>
      </c>
      <c r="B837">
        <v>6</v>
      </c>
      <c r="C837">
        <v>8807</v>
      </c>
      <c r="D837">
        <v>249</v>
      </c>
      <c r="E837" t="s">
        <v>10</v>
      </c>
      <c r="F837">
        <v>3424402</v>
      </c>
      <c r="G837" s="1">
        <v>201</v>
      </c>
      <c r="H837" s="2">
        <v>94761</v>
      </c>
      <c r="I837" t="str">
        <f>VLOOKUP(Tabela2[[#This Row],[PAIS]],'[1]nome do paixs'!$A:$B,2,0)</f>
        <v>Estados Unidos</v>
      </c>
      <c r="J837" t="s">
        <v>13</v>
      </c>
    </row>
    <row r="838" spans="1:10">
      <c r="A838">
        <v>2023</v>
      </c>
      <c r="B838">
        <v>5</v>
      </c>
      <c r="C838">
        <v>8807</v>
      </c>
      <c r="D838">
        <v>275</v>
      </c>
      <c r="E838" t="s">
        <v>10</v>
      </c>
      <c r="F838">
        <v>3454102</v>
      </c>
      <c r="G838" s="1">
        <v>418</v>
      </c>
      <c r="H838" s="2">
        <v>246811</v>
      </c>
      <c r="I838" t="str">
        <f>VLOOKUP(Tabela2[[#This Row],[PAIS]],'[1]nome do paixs'!$A:$B,2,0)</f>
        <v>França</v>
      </c>
      <c r="J838" t="s">
        <v>11</v>
      </c>
    </row>
    <row r="839" spans="1:10">
      <c r="A839">
        <v>2023</v>
      </c>
      <c r="B839">
        <v>4</v>
      </c>
      <c r="C839">
        <v>8807</v>
      </c>
      <c r="D839">
        <v>23</v>
      </c>
      <c r="E839" t="s">
        <v>10</v>
      </c>
      <c r="F839">
        <v>3454102</v>
      </c>
      <c r="G839" s="1">
        <v>1</v>
      </c>
      <c r="H839" s="2">
        <v>4068</v>
      </c>
      <c r="I839" t="str">
        <f>VLOOKUP(Tabela2[[#This Row],[PAIS]],'[1]nome do paixs'!$A:$B,2,0)</f>
        <v>Alemanha</v>
      </c>
      <c r="J839" t="s">
        <v>11</v>
      </c>
    </row>
    <row r="840" spans="1:10">
      <c r="A840">
        <v>2023</v>
      </c>
      <c r="B840">
        <v>9</v>
      </c>
      <c r="C840">
        <v>8807</v>
      </c>
      <c r="D840">
        <v>275</v>
      </c>
      <c r="E840" t="s">
        <v>10</v>
      </c>
      <c r="F840">
        <v>3454102</v>
      </c>
      <c r="G840" s="1">
        <v>123</v>
      </c>
      <c r="H840" s="2">
        <v>98723</v>
      </c>
      <c r="I840" t="str">
        <f>VLOOKUP(Tabela2[[#This Row],[PAIS]],'[1]nome do paixs'!$A:$B,2,0)</f>
        <v>França</v>
      </c>
      <c r="J840" t="s">
        <v>11</v>
      </c>
    </row>
    <row r="841" spans="1:10">
      <c r="A841">
        <v>2023</v>
      </c>
      <c r="B841">
        <v>10</v>
      </c>
      <c r="C841">
        <v>8807</v>
      </c>
      <c r="D841">
        <v>275</v>
      </c>
      <c r="E841" t="s">
        <v>10</v>
      </c>
      <c r="F841">
        <v>3454102</v>
      </c>
      <c r="G841" s="1">
        <v>240</v>
      </c>
      <c r="H841" s="2">
        <v>201576</v>
      </c>
      <c r="I841" t="str">
        <f>VLOOKUP(Tabela2[[#This Row],[PAIS]],'[1]nome do paixs'!$A:$B,2,0)</f>
        <v>França</v>
      </c>
      <c r="J841" t="s">
        <v>11</v>
      </c>
    </row>
    <row r="842" spans="1:10">
      <c r="A842">
        <v>2023</v>
      </c>
      <c r="B842">
        <v>7</v>
      </c>
      <c r="C842">
        <v>8807</v>
      </c>
      <c r="D842">
        <v>756</v>
      </c>
      <c r="E842" t="s">
        <v>10</v>
      </c>
      <c r="F842">
        <v>3454102</v>
      </c>
      <c r="G842" s="1">
        <v>0</v>
      </c>
      <c r="H842" s="2">
        <v>1449</v>
      </c>
      <c r="I842" t="str">
        <f>VLOOKUP(Tabela2[[#This Row],[PAIS]],'[1]nome do paixs'!$A:$B,2,0)</f>
        <v>África do Sul</v>
      </c>
      <c r="J842" t="s">
        <v>11</v>
      </c>
    </row>
    <row r="843" spans="1:10">
      <c r="A843">
        <v>2023</v>
      </c>
      <c r="B843">
        <v>2</v>
      </c>
      <c r="C843">
        <v>8807</v>
      </c>
      <c r="D843">
        <v>607</v>
      </c>
      <c r="E843" t="s">
        <v>10</v>
      </c>
      <c r="F843">
        <v>3454102</v>
      </c>
      <c r="G843" s="1">
        <v>2</v>
      </c>
      <c r="H843" s="2">
        <v>4010</v>
      </c>
      <c r="I843" t="str">
        <f>VLOOKUP(Tabela2[[#This Row],[PAIS]],'[1]nome do paixs'!$A:$B,2,0)</f>
        <v>Portugal</v>
      </c>
      <c r="J843" t="s">
        <v>11</v>
      </c>
    </row>
    <row r="844" spans="1:10">
      <c r="A844">
        <v>2023</v>
      </c>
      <c r="B844">
        <v>11</v>
      </c>
      <c r="C844">
        <v>8807</v>
      </c>
      <c r="D844">
        <v>160</v>
      </c>
      <c r="E844" t="s">
        <v>10</v>
      </c>
      <c r="F844">
        <v>3454102</v>
      </c>
      <c r="G844" s="1">
        <v>11</v>
      </c>
      <c r="H844" s="2">
        <v>8410</v>
      </c>
      <c r="I844" t="str">
        <f>VLOOKUP(Tabela2[[#This Row],[PAIS]],'[1]nome do paixs'!$A:$B,2,0)</f>
        <v>China</v>
      </c>
      <c r="J844" t="s">
        <v>11</v>
      </c>
    </row>
    <row r="845" spans="1:10">
      <c r="A845">
        <v>2023</v>
      </c>
      <c r="B845">
        <v>2</v>
      </c>
      <c r="C845">
        <v>8807</v>
      </c>
      <c r="D845">
        <v>245</v>
      </c>
      <c r="E845" t="s">
        <v>10</v>
      </c>
      <c r="F845">
        <v>3454102</v>
      </c>
      <c r="G845" s="1">
        <v>1</v>
      </c>
      <c r="H845" s="2">
        <v>616</v>
      </c>
      <c r="I845" t="str">
        <f>VLOOKUP(Tabela2[[#This Row],[PAIS]],'[1]nome do paixs'!$A:$B,2,0)</f>
        <v>Espanha</v>
      </c>
      <c r="J845" t="s">
        <v>11</v>
      </c>
    </row>
    <row r="846" spans="1:10">
      <c r="A846">
        <v>2023</v>
      </c>
      <c r="B846">
        <v>9</v>
      </c>
      <c r="C846">
        <v>8807</v>
      </c>
      <c r="D846">
        <v>741</v>
      </c>
      <c r="E846" t="s">
        <v>10</v>
      </c>
      <c r="F846">
        <v>3454102</v>
      </c>
      <c r="G846" s="1">
        <v>4</v>
      </c>
      <c r="H846" s="2">
        <v>9006</v>
      </c>
      <c r="I846" t="str">
        <f>VLOOKUP(Tabela2[[#This Row],[PAIS]],'[1]nome do paixs'!$A:$B,2,0)</f>
        <v>Singapura</v>
      </c>
      <c r="J846" t="s">
        <v>11</v>
      </c>
    </row>
    <row r="847" spans="1:10">
      <c r="A847">
        <v>2023</v>
      </c>
      <c r="B847">
        <v>2</v>
      </c>
      <c r="C847">
        <v>8807</v>
      </c>
      <c r="D847">
        <v>442</v>
      </c>
      <c r="E847" t="s">
        <v>10</v>
      </c>
      <c r="F847">
        <v>3454102</v>
      </c>
      <c r="G847" s="1">
        <v>7</v>
      </c>
      <c r="H847" s="2">
        <v>14275</v>
      </c>
      <c r="I847" t="str">
        <f>VLOOKUP(Tabela2[[#This Row],[PAIS]],'[1]nome do paixs'!$A:$B,2,0)</f>
        <v>Lituânia</v>
      </c>
      <c r="J847" t="s">
        <v>11</v>
      </c>
    </row>
    <row r="848" spans="1:10">
      <c r="A848">
        <v>2023</v>
      </c>
      <c r="B848">
        <v>2</v>
      </c>
      <c r="C848">
        <v>8807</v>
      </c>
      <c r="D848">
        <v>603</v>
      </c>
      <c r="E848" t="s">
        <v>10</v>
      </c>
      <c r="F848">
        <v>3454102</v>
      </c>
      <c r="G848" s="1">
        <v>11</v>
      </c>
      <c r="H848" s="2">
        <v>17954</v>
      </c>
      <c r="I848" t="str">
        <f>VLOOKUP(Tabela2[[#This Row],[PAIS]],'[1]nome do paixs'!$A:$B,2,0)</f>
        <v>Polônia</v>
      </c>
      <c r="J848" t="s">
        <v>11</v>
      </c>
    </row>
    <row r="849" spans="1:10">
      <c r="A849">
        <v>2023</v>
      </c>
      <c r="B849">
        <v>5</v>
      </c>
      <c r="C849">
        <v>8807</v>
      </c>
      <c r="D849">
        <v>756</v>
      </c>
      <c r="E849" t="s">
        <v>10</v>
      </c>
      <c r="F849">
        <v>3454102</v>
      </c>
      <c r="G849" s="1">
        <v>29</v>
      </c>
      <c r="H849" s="2">
        <v>72715</v>
      </c>
      <c r="I849" t="str">
        <f>VLOOKUP(Tabela2[[#This Row],[PAIS]],'[1]nome do paixs'!$A:$B,2,0)</f>
        <v>África do Sul</v>
      </c>
      <c r="J849" t="s">
        <v>11</v>
      </c>
    </row>
    <row r="850" spans="1:10">
      <c r="A850">
        <v>2023</v>
      </c>
      <c r="B850">
        <v>11</v>
      </c>
      <c r="C850">
        <v>8807</v>
      </c>
      <c r="D850">
        <v>158</v>
      </c>
      <c r="E850" t="s">
        <v>10</v>
      </c>
      <c r="F850">
        <v>3454102</v>
      </c>
      <c r="G850" s="1">
        <v>6</v>
      </c>
      <c r="H850" s="2">
        <v>20576</v>
      </c>
      <c r="I850" t="str">
        <f>VLOOKUP(Tabela2[[#This Row],[PAIS]],'[1]nome do paixs'!$A:$B,2,0)</f>
        <v>Chile</v>
      </c>
      <c r="J850" t="s">
        <v>11</v>
      </c>
    </row>
    <row r="851" spans="1:10">
      <c r="A851">
        <v>2023</v>
      </c>
      <c r="B851">
        <v>10</v>
      </c>
      <c r="C851">
        <v>8807</v>
      </c>
      <c r="D851">
        <v>87</v>
      </c>
      <c r="E851" t="s">
        <v>10</v>
      </c>
      <c r="F851">
        <v>3454102</v>
      </c>
      <c r="G851" s="1">
        <v>7</v>
      </c>
      <c r="H851" s="2">
        <v>17412</v>
      </c>
      <c r="I851" t="str">
        <f>VLOOKUP(Tabela2[[#This Row],[PAIS]],'[1]nome do paixs'!$A:$B,2,0)</f>
        <v>Bélgica</v>
      </c>
      <c r="J851" t="s">
        <v>11</v>
      </c>
    </row>
    <row r="852" spans="1:10">
      <c r="A852">
        <v>2023</v>
      </c>
      <c r="B852">
        <v>3</v>
      </c>
      <c r="C852">
        <v>8807</v>
      </c>
      <c r="D852">
        <v>87</v>
      </c>
      <c r="E852" t="s">
        <v>10</v>
      </c>
      <c r="F852">
        <v>3454102</v>
      </c>
      <c r="G852" s="1">
        <v>0</v>
      </c>
      <c r="H852" s="2">
        <v>616</v>
      </c>
      <c r="I852" t="str">
        <f>VLOOKUP(Tabela2[[#This Row],[PAIS]],'[1]nome do paixs'!$A:$B,2,0)</f>
        <v>Bélgica</v>
      </c>
      <c r="J852" t="s">
        <v>11</v>
      </c>
    </row>
    <row r="853" spans="1:10">
      <c r="A853">
        <v>2023</v>
      </c>
      <c r="B853">
        <v>10</v>
      </c>
      <c r="C853">
        <v>8807</v>
      </c>
      <c r="D853">
        <v>756</v>
      </c>
      <c r="E853" t="s">
        <v>10</v>
      </c>
      <c r="F853">
        <v>3454102</v>
      </c>
      <c r="G853" s="1">
        <v>3</v>
      </c>
      <c r="H853" s="2">
        <v>11971</v>
      </c>
      <c r="I853" t="str">
        <f>VLOOKUP(Tabela2[[#This Row],[PAIS]],'[1]nome do paixs'!$A:$B,2,0)</f>
        <v>África do Sul</v>
      </c>
      <c r="J853" t="s">
        <v>11</v>
      </c>
    </row>
    <row r="854" spans="1:10">
      <c r="A854">
        <v>2023</v>
      </c>
      <c r="B854">
        <v>3</v>
      </c>
      <c r="C854">
        <v>8807</v>
      </c>
      <c r="D854">
        <v>741</v>
      </c>
      <c r="E854" t="s">
        <v>10</v>
      </c>
      <c r="F854">
        <v>3454102</v>
      </c>
      <c r="G854" s="1">
        <v>4</v>
      </c>
      <c r="H854" s="2">
        <v>8941</v>
      </c>
      <c r="I854" t="str">
        <f>VLOOKUP(Tabela2[[#This Row],[PAIS]],'[1]nome do paixs'!$A:$B,2,0)</f>
        <v>Singapura</v>
      </c>
      <c r="J854" t="s">
        <v>11</v>
      </c>
    </row>
    <row r="855" spans="1:10">
      <c r="A855">
        <v>2023</v>
      </c>
      <c r="B855">
        <v>12</v>
      </c>
      <c r="C855">
        <v>8807</v>
      </c>
      <c r="D855">
        <v>603</v>
      </c>
      <c r="E855" t="s">
        <v>10</v>
      </c>
      <c r="F855">
        <v>3454102</v>
      </c>
      <c r="G855" s="1">
        <v>1</v>
      </c>
      <c r="H855" s="2">
        <v>661</v>
      </c>
      <c r="I855" t="str">
        <f>VLOOKUP(Tabela2[[#This Row],[PAIS]],'[1]nome do paixs'!$A:$B,2,0)</f>
        <v>Polônia</v>
      </c>
      <c r="J855" t="s">
        <v>11</v>
      </c>
    </row>
    <row r="856" spans="1:10">
      <c r="A856">
        <v>2023</v>
      </c>
      <c r="B856">
        <v>7</v>
      </c>
      <c r="C856">
        <v>8807</v>
      </c>
      <c r="D856">
        <v>603</v>
      </c>
      <c r="E856" t="s">
        <v>10</v>
      </c>
      <c r="F856">
        <v>3454102</v>
      </c>
      <c r="G856" s="1">
        <v>3</v>
      </c>
      <c r="H856" s="2">
        <v>1364</v>
      </c>
      <c r="I856" t="str">
        <f>VLOOKUP(Tabela2[[#This Row],[PAIS]],'[1]nome do paixs'!$A:$B,2,0)</f>
        <v>Polônia</v>
      </c>
      <c r="J856" t="s">
        <v>11</v>
      </c>
    </row>
    <row r="857" spans="1:10">
      <c r="A857">
        <v>2023</v>
      </c>
      <c r="B857">
        <v>7</v>
      </c>
      <c r="C857">
        <v>8807</v>
      </c>
      <c r="D857">
        <v>23</v>
      </c>
      <c r="E857" t="s">
        <v>10</v>
      </c>
      <c r="F857">
        <v>3454102</v>
      </c>
      <c r="G857" s="1">
        <v>2</v>
      </c>
      <c r="H857" s="2">
        <v>3408</v>
      </c>
      <c r="I857" t="str">
        <f>VLOOKUP(Tabela2[[#This Row],[PAIS]],'[1]nome do paixs'!$A:$B,2,0)</f>
        <v>Alemanha</v>
      </c>
      <c r="J857" t="s">
        <v>11</v>
      </c>
    </row>
    <row r="858" spans="1:10">
      <c r="A858">
        <v>2023</v>
      </c>
      <c r="B858">
        <v>7</v>
      </c>
      <c r="C858">
        <v>8807</v>
      </c>
      <c r="D858">
        <v>247</v>
      </c>
      <c r="E858" t="s">
        <v>10</v>
      </c>
      <c r="F858">
        <v>3454102</v>
      </c>
      <c r="G858" s="1">
        <v>0</v>
      </c>
      <c r="H858" s="2">
        <v>830</v>
      </c>
      <c r="I858" t="str">
        <f>VLOOKUP(Tabela2[[#This Row],[PAIS]],'[1]nome do paixs'!$A:$B,2,0)</f>
        <v>Eslováquia</v>
      </c>
      <c r="J858" t="s">
        <v>11</v>
      </c>
    </row>
    <row r="859" spans="1:10">
      <c r="A859">
        <v>2023</v>
      </c>
      <c r="B859">
        <v>8</v>
      </c>
      <c r="C859">
        <v>8807</v>
      </c>
      <c r="D859">
        <v>603</v>
      </c>
      <c r="E859" t="s">
        <v>10</v>
      </c>
      <c r="F859">
        <v>3454102</v>
      </c>
      <c r="G859" s="1">
        <v>9</v>
      </c>
      <c r="H859" s="2">
        <v>10490</v>
      </c>
      <c r="I859" t="str">
        <f>VLOOKUP(Tabela2[[#This Row],[PAIS]],'[1]nome do paixs'!$A:$B,2,0)</f>
        <v>Polônia</v>
      </c>
      <c r="J859" t="s">
        <v>11</v>
      </c>
    </row>
    <row r="860" spans="1:10">
      <c r="A860">
        <v>2023</v>
      </c>
      <c r="B860">
        <v>4</v>
      </c>
      <c r="C860">
        <v>8807</v>
      </c>
      <c r="D860">
        <v>275</v>
      </c>
      <c r="E860" t="s">
        <v>10</v>
      </c>
      <c r="F860">
        <v>3454102</v>
      </c>
      <c r="G860" s="1">
        <v>327</v>
      </c>
      <c r="H860" s="2">
        <v>114582</v>
      </c>
      <c r="I860" t="str">
        <f>VLOOKUP(Tabela2[[#This Row],[PAIS]],'[1]nome do paixs'!$A:$B,2,0)</f>
        <v>França</v>
      </c>
      <c r="J860" t="s">
        <v>11</v>
      </c>
    </row>
    <row r="861" spans="1:10">
      <c r="A861">
        <v>2023</v>
      </c>
      <c r="B861">
        <v>7</v>
      </c>
      <c r="C861">
        <v>8807</v>
      </c>
      <c r="D861">
        <v>249</v>
      </c>
      <c r="E861" t="s">
        <v>10</v>
      </c>
      <c r="F861">
        <v>3454102</v>
      </c>
      <c r="G861" s="1">
        <v>712</v>
      </c>
      <c r="H861" s="2">
        <v>496945</v>
      </c>
      <c r="I861" t="str">
        <f>VLOOKUP(Tabela2[[#This Row],[PAIS]],'[1]nome do paixs'!$A:$B,2,0)</f>
        <v>Estados Unidos</v>
      </c>
      <c r="J861" t="s">
        <v>11</v>
      </c>
    </row>
    <row r="862" spans="1:10">
      <c r="A862">
        <v>2023</v>
      </c>
      <c r="B862">
        <v>11</v>
      </c>
      <c r="C862">
        <v>8807</v>
      </c>
      <c r="D862">
        <v>275</v>
      </c>
      <c r="E862" t="s">
        <v>10</v>
      </c>
      <c r="F862">
        <v>3454102</v>
      </c>
      <c r="G862" s="1">
        <v>135</v>
      </c>
      <c r="H862" s="2">
        <v>81324</v>
      </c>
      <c r="I862" t="str">
        <f>VLOOKUP(Tabela2[[#This Row],[PAIS]],'[1]nome do paixs'!$A:$B,2,0)</f>
        <v>França</v>
      </c>
      <c r="J862" t="s">
        <v>11</v>
      </c>
    </row>
    <row r="863" spans="1:10">
      <c r="A863">
        <v>2023</v>
      </c>
      <c r="B863">
        <v>8</v>
      </c>
      <c r="C863">
        <v>8807</v>
      </c>
      <c r="D863">
        <v>493</v>
      </c>
      <c r="E863" t="s">
        <v>10</v>
      </c>
      <c r="F863">
        <v>3454102</v>
      </c>
      <c r="G863" s="1">
        <v>0</v>
      </c>
      <c r="H863" s="2">
        <v>69</v>
      </c>
      <c r="I863" t="str">
        <f>VLOOKUP(Tabela2[[#This Row],[PAIS]],'[1]nome do paixs'!$A:$B,2,0)</f>
        <v>México</v>
      </c>
      <c r="J863" t="s">
        <v>11</v>
      </c>
    </row>
    <row r="864" spans="1:10">
      <c r="A864">
        <v>2023</v>
      </c>
      <c r="B864">
        <v>6</v>
      </c>
      <c r="C864">
        <v>8807</v>
      </c>
      <c r="D864">
        <v>756</v>
      </c>
      <c r="E864" t="s">
        <v>10</v>
      </c>
      <c r="F864">
        <v>3454102</v>
      </c>
      <c r="G864" s="1">
        <v>1</v>
      </c>
      <c r="H864" s="2">
        <v>2475</v>
      </c>
      <c r="I864" t="str">
        <f>VLOOKUP(Tabela2[[#This Row],[PAIS]],'[1]nome do paixs'!$A:$B,2,0)</f>
        <v>África do Sul</v>
      </c>
      <c r="J864" t="s">
        <v>11</v>
      </c>
    </row>
    <row r="865" spans="1:10">
      <c r="A865">
        <v>2023</v>
      </c>
      <c r="B865">
        <v>10</v>
      </c>
      <c r="C865">
        <v>8807</v>
      </c>
      <c r="D865">
        <v>355</v>
      </c>
      <c r="E865" t="s">
        <v>10</v>
      </c>
      <c r="F865">
        <v>3454102</v>
      </c>
      <c r="G865" s="1">
        <v>19</v>
      </c>
      <c r="H865" s="2">
        <v>12799</v>
      </c>
      <c r="I865" t="str">
        <f>VLOOKUP(Tabela2[[#This Row],[PAIS]],'[1]nome do paixs'!$A:$B,2,0)</f>
        <v>Hungria</v>
      </c>
      <c r="J865" t="s">
        <v>11</v>
      </c>
    </row>
    <row r="866" spans="1:10">
      <c r="A866">
        <v>2023</v>
      </c>
      <c r="B866">
        <v>1</v>
      </c>
      <c r="C866">
        <v>8807</v>
      </c>
      <c r="D866">
        <v>741</v>
      </c>
      <c r="E866" t="s">
        <v>10</v>
      </c>
      <c r="F866">
        <v>3454102</v>
      </c>
      <c r="G866" s="1">
        <v>4</v>
      </c>
      <c r="H866" s="2">
        <v>4499</v>
      </c>
      <c r="I866" t="str">
        <f>VLOOKUP(Tabela2[[#This Row],[PAIS]],'[1]nome do paixs'!$A:$B,2,0)</f>
        <v>Singapura</v>
      </c>
      <c r="J866" t="s">
        <v>11</v>
      </c>
    </row>
    <row r="867" spans="1:10">
      <c r="A867">
        <v>2023</v>
      </c>
      <c r="B867">
        <v>5</v>
      </c>
      <c r="C867">
        <v>8807</v>
      </c>
      <c r="D867">
        <v>169</v>
      </c>
      <c r="E867" t="s">
        <v>10</v>
      </c>
      <c r="F867">
        <v>3454102</v>
      </c>
      <c r="G867" s="1">
        <v>1</v>
      </c>
      <c r="H867" s="2">
        <v>3263</v>
      </c>
      <c r="I867" t="str">
        <f>VLOOKUP(Tabela2[[#This Row],[PAIS]],'[1]nome do paixs'!$A:$B,2,0)</f>
        <v>Colômbia</v>
      </c>
      <c r="J867" t="s">
        <v>11</v>
      </c>
    </row>
    <row r="868" spans="1:10">
      <c r="A868">
        <v>2023</v>
      </c>
      <c r="B868">
        <v>5</v>
      </c>
      <c r="C868">
        <v>8807</v>
      </c>
      <c r="D868">
        <v>23</v>
      </c>
      <c r="E868" t="s">
        <v>10</v>
      </c>
      <c r="F868">
        <v>3454102</v>
      </c>
      <c r="G868" s="1">
        <v>12</v>
      </c>
      <c r="H868" s="2">
        <v>24748</v>
      </c>
      <c r="I868" t="str">
        <f>VLOOKUP(Tabela2[[#This Row],[PAIS]],'[1]nome do paixs'!$A:$B,2,0)</f>
        <v>Alemanha</v>
      </c>
      <c r="J868" t="s">
        <v>11</v>
      </c>
    </row>
    <row r="869" spans="1:10">
      <c r="A869">
        <v>2023</v>
      </c>
      <c r="B869">
        <v>12</v>
      </c>
      <c r="C869">
        <v>8807</v>
      </c>
      <c r="D869">
        <v>275</v>
      </c>
      <c r="E869" t="s">
        <v>10</v>
      </c>
      <c r="F869">
        <v>3454102</v>
      </c>
      <c r="G869" s="1">
        <v>203</v>
      </c>
      <c r="H869" s="2">
        <v>88266</v>
      </c>
      <c r="I869" t="str">
        <f>VLOOKUP(Tabela2[[#This Row],[PAIS]],'[1]nome do paixs'!$A:$B,2,0)</f>
        <v>França</v>
      </c>
      <c r="J869" t="s">
        <v>11</v>
      </c>
    </row>
    <row r="870" spans="1:10">
      <c r="A870">
        <v>2023</v>
      </c>
      <c r="B870">
        <v>3</v>
      </c>
      <c r="C870">
        <v>8807</v>
      </c>
      <c r="D870">
        <v>249</v>
      </c>
      <c r="E870" t="s">
        <v>10</v>
      </c>
      <c r="F870">
        <v>3454102</v>
      </c>
      <c r="G870" s="1">
        <v>722</v>
      </c>
      <c r="H870" s="2">
        <v>528321</v>
      </c>
      <c r="I870" t="str">
        <f>VLOOKUP(Tabela2[[#This Row],[PAIS]],'[1]nome do paixs'!$A:$B,2,0)</f>
        <v>Estados Unidos</v>
      </c>
      <c r="J870" t="s">
        <v>11</v>
      </c>
    </row>
    <row r="871" spans="1:10">
      <c r="A871">
        <v>2023</v>
      </c>
      <c r="B871">
        <v>5</v>
      </c>
      <c r="C871">
        <v>8807</v>
      </c>
      <c r="D871">
        <v>247</v>
      </c>
      <c r="E871" t="s">
        <v>10</v>
      </c>
      <c r="F871">
        <v>3454102</v>
      </c>
      <c r="G871" s="1">
        <v>1</v>
      </c>
      <c r="H871" s="2">
        <v>919</v>
      </c>
      <c r="I871" t="str">
        <f>VLOOKUP(Tabela2[[#This Row],[PAIS]],'[1]nome do paixs'!$A:$B,2,0)</f>
        <v>Eslováquia</v>
      </c>
      <c r="J871" t="s">
        <v>11</v>
      </c>
    </row>
    <row r="872" spans="1:10">
      <c r="A872">
        <v>2023</v>
      </c>
      <c r="B872">
        <v>4</v>
      </c>
      <c r="C872">
        <v>8807</v>
      </c>
      <c r="D872">
        <v>603</v>
      </c>
      <c r="E872" t="s">
        <v>10</v>
      </c>
      <c r="F872">
        <v>3454102</v>
      </c>
      <c r="G872" s="1">
        <v>9</v>
      </c>
      <c r="H872" s="2">
        <v>16786</v>
      </c>
      <c r="I872" t="str">
        <f>VLOOKUP(Tabela2[[#This Row],[PAIS]],'[1]nome do paixs'!$A:$B,2,0)</f>
        <v>Polônia</v>
      </c>
      <c r="J872" t="s">
        <v>11</v>
      </c>
    </row>
    <row r="873" spans="1:10">
      <c r="A873">
        <v>2023</v>
      </c>
      <c r="B873">
        <v>12</v>
      </c>
      <c r="C873">
        <v>8807</v>
      </c>
      <c r="D873">
        <v>764</v>
      </c>
      <c r="E873" t="s">
        <v>10</v>
      </c>
      <c r="F873">
        <v>3454102</v>
      </c>
      <c r="G873" s="1">
        <v>44</v>
      </c>
      <c r="H873" s="2">
        <v>6614</v>
      </c>
      <c r="I873" t="str">
        <f>VLOOKUP(Tabela2[[#This Row],[PAIS]],'[1]nome do paixs'!$A:$B,2,0)</f>
        <v>Suécia</v>
      </c>
      <c r="J873" t="s">
        <v>11</v>
      </c>
    </row>
    <row r="874" spans="1:10">
      <c r="A874">
        <v>2023</v>
      </c>
      <c r="B874">
        <v>2</v>
      </c>
      <c r="C874">
        <v>8807</v>
      </c>
      <c r="D874">
        <v>247</v>
      </c>
      <c r="E874" t="s">
        <v>10</v>
      </c>
      <c r="F874">
        <v>3454102</v>
      </c>
      <c r="G874" s="1">
        <v>0</v>
      </c>
      <c r="H874" s="2">
        <v>149</v>
      </c>
      <c r="I874" t="str">
        <f>VLOOKUP(Tabela2[[#This Row],[PAIS]],'[1]nome do paixs'!$A:$B,2,0)</f>
        <v>Eslováquia</v>
      </c>
      <c r="J874" t="s">
        <v>11</v>
      </c>
    </row>
    <row r="875" spans="1:10">
      <c r="A875">
        <v>2023</v>
      </c>
      <c r="B875">
        <v>8</v>
      </c>
      <c r="C875">
        <v>8807</v>
      </c>
      <c r="D875">
        <v>63</v>
      </c>
      <c r="E875" t="s">
        <v>10</v>
      </c>
      <c r="F875">
        <v>3454102</v>
      </c>
      <c r="G875" s="1">
        <v>0</v>
      </c>
      <c r="H875" s="2">
        <v>2251</v>
      </c>
      <c r="I875" t="str">
        <f>VLOOKUP(Tabela2[[#This Row],[PAIS]],'[1]nome do paixs'!$A:$B,2,0)</f>
        <v>Argentina</v>
      </c>
      <c r="J875" t="s">
        <v>11</v>
      </c>
    </row>
    <row r="876" spans="1:10">
      <c r="A876">
        <v>2023</v>
      </c>
      <c r="B876">
        <v>8</v>
      </c>
      <c r="C876">
        <v>8807</v>
      </c>
      <c r="D876">
        <v>275</v>
      </c>
      <c r="E876" t="s">
        <v>10</v>
      </c>
      <c r="F876">
        <v>3454102</v>
      </c>
      <c r="G876" s="1">
        <v>269</v>
      </c>
      <c r="H876" s="2">
        <v>167757</v>
      </c>
      <c r="I876" t="str">
        <f>VLOOKUP(Tabela2[[#This Row],[PAIS]],'[1]nome do paixs'!$A:$B,2,0)</f>
        <v>França</v>
      </c>
      <c r="J876" t="s">
        <v>11</v>
      </c>
    </row>
    <row r="877" spans="1:10">
      <c r="A877">
        <v>2023</v>
      </c>
      <c r="B877">
        <v>11</v>
      </c>
      <c r="C877">
        <v>8807</v>
      </c>
      <c r="D877">
        <v>442</v>
      </c>
      <c r="E877" t="s">
        <v>10</v>
      </c>
      <c r="F877">
        <v>3454102</v>
      </c>
      <c r="G877" s="1">
        <v>0</v>
      </c>
      <c r="H877" s="2">
        <v>5415</v>
      </c>
      <c r="I877" t="str">
        <f>VLOOKUP(Tabela2[[#This Row],[PAIS]],'[1]nome do paixs'!$A:$B,2,0)</f>
        <v>Lituânia</v>
      </c>
      <c r="J877" t="s">
        <v>11</v>
      </c>
    </row>
    <row r="878" spans="1:10">
      <c r="A878">
        <v>2023</v>
      </c>
      <c r="B878">
        <v>12</v>
      </c>
      <c r="C878">
        <v>8807</v>
      </c>
      <c r="D878">
        <v>741</v>
      </c>
      <c r="E878" t="s">
        <v>10</v>
      </c>
      <c r="F878">
        <v>3454102</v>
      </c>
      <c r="G878" s="1">
        <v>0</v>
      </c>
      <c r="H878" s="2">
        <v>1901</v>
      </c>
      <c r="I878" t="str">
        <f>VLOOKUP(Tabela2[[#This Row],[PAIS]],'[1]nome do paixs'!$A:$B,2,0)</f>
        <v>Singapura</v>
      </c>
      <c r="J878" t="s">
        <v>11</v>
      </c>
    </row>
    <row r="879" spans="1:10">
      <c r="A879">
        <v>2023</v>
      </c>
      <c r="B879">
        <v>11</v>
      </c>
      <c r="C879">
        <v>8807</v>
      </c>
      <c r="D879">
        <v>23</v>
      </c>
      <c r="E879" t="s">
        <v>10</v>
      </c>
      <c r="F879">
        <v>3454102</v>
      </c>
      <c r="G879" s="1">
        <v>0</v>
      </c>
      <c r="H879" s="2">
        <v>147</v>
      </c>
      <c r="I879" t="str">
        <f>VLOOKUP(Tabela2[[#This Row],[PAIS]],'[1]nome do paixs'!$A:$B,2,0)</f>
        <v>Alemanha</v>
      </c>
      <c r="J879" t="s">
        <v>11</v>
      </c>
    </row>
    <row r="880" spans="1:10">
      <c r="A880">
        <v>2023</v>
      </c>
      <c r="B880">
        <v>3</v>
      </c>
      <c r="C880">
        <v>8807</v>
      </c>
      <c r="D880">
        <v>160</v>
      </c>
      <c r="E880" t="s">
        <v>10</v>
      </c>
      <c r="F880">
        <v>3454102</v>
      </c>
      <c r="G880" s="1">
        <v>1</v>
      </c>
      <c r="H880" s="2">
        <v>1332</v>
      </c>
      <c r="I880" t="str">
        <f>VLOOKUP(Tabela2[[#This Row],[PAIS]],'[1]nome do paixs'!$A:$B,2,0)</f>
        <v>China</v>
      </c>
      <c r="J880" t="s">
        <v>11</v>
      </c>
    </row>
    <row r="881" spans="1:10">
      <c r="A881">
        <v>2023</v>
      </c>
      <c r="B881">
        <v>2</v>
      </c>
      <c r="C881">
        <v>8807</v>
      </c>
      <c r="D881">
        <v>249</v>
      </c>
      <c r="E881" t="s">
        <v>10</v>
      </c>
      <c r="F881">
        <v>3454102</v>
      </c>
      <c r="G881" s="1">
        <v>597</v>
      </c>
      <c r="H881" s="2">
        <v>332852</v>
      </c>
      <c r="I881" t="str">
        <f>VLOOKUP(Tabela2[[#This Row],[PAIS]],'[1]nome do paixs'!$A:$B,2,0)</f>
        <v>Estados Unidos</v>
      </c>
      <c r="J881" t="s">
        <v>11</v>
      </c>
    </row>
    <row r="882" spans="1:10">
      <c r="A882">
        <v>2023</v>
      </c>
      <c r="B882">
        <v>1</v>
      </c>
      <c r="C882">
        <v>8807</v>
      </c>
      <c r="D882">
        <v>63</v>
      </c>
      <c r="E882" t="s">
        <v>10</v>
      </c>
      <c r="F882">
        <v>3454102</v>
      </c>
      <c r="G882" s="1">
        <v>0</v>
      </c>
      <c r="H882" s="2">
        <v>3827</v>
      </c>
      <c r="I882" t="str">
        <f>VLOOKUP(Tabela2[[#This Row],[PAIS]],'[1]nome do paixs'!$A:$B,2,0)</f>
        <v>Argentina</v>
      </c>
      <c r="J882" t="s">
        <v>11</v>
      </c>
    </row>
    <row r="883" spans="1:10">
      <c r="A883">
        <v>2023</v>
      </c>
      <c r="B883">
        <v>1</v>
      </c>
      <c r="C883">
        <v>8807</v>
      </c>
      <c r="D883">
        <v>275</v>
      </c>
      <c r="E883" t="s">
        <v>10</v>
      </c>
      <c r="F883">
        <v>3454102</v>
      </c>
      <c r="G883" s="1">
        <v>106</v>
      </c>
      <c r="H883" s="2">
        <v>66935</v>
      </c>
      <c r="I883" t="str">
        <f>VLOOKUP(Tabela2[[#This Row],[PAIS]],'[1]nome do paixs'!$A:$B,2,0)</f>
        <v>França</v>
      </c>
      <c r="J883" t="s">
        <v>11</v>
      </c>
    </row>
    <row r="884" spans="1:10">
      <c r="A884">
        <v>2023</v>
      </c>
      <c r="B884">
        <v>12</v>
      </c>
      <c r="C884">
        <v>8807</v>
      </c>
      <c r="D884">
        <v>355</v>
      </c>
      <c r="E884" t="s">
        <v>10</v>
      </c>
      <c r="F884">
        <v>3454102</v>
      </c>
      <c r="G884" s="1">
        <v>137</v>
      </c>
      <c r="H884" s="2">
        <v>301288</v>
      </c>
      <c r="I884" t="str">
        <f>VLOOKUP(Tabela2[[#This Row],[PAIS]],'[1]nome do paixs'!$A:$B,2,0)</f>
        <v>Hungria</v>
      </c>
      <c r="J884" t="s">
        <v>11</v>
      </c>
    </row>
    <row r="885" spans="1:10">
      <c r="A885">
        <v>2023</v>
      </c>
      <c r="B885">
        <v>6</v>
      </c>
      <c r="C885">
        <v>8807</v>
      </c>
      <c r="D885">
        <v>607</v>
      </c>
      <c r="E885" t="s">
        <v>10</v>
      </c>
      <c r="F885">
        <v>3454102</v>
      </c>
      <c r="G885" s="1">
        <v>3</v>
      </c>
      <c r="H885" s="2">
        <v>2072</v>
      </c>
      <c r="I885" t="str">
        <f>VLOOKUP(Tabela2[[#This Row],[PAIS]],'[1]nome do paixs'!$A:$B,2,0)</f>
        <v>Portugal</v>
      </c>
      <c r="J885" t="s">
        <v>11</v>
      </c>
    </row>
    <row r="886" spans="1:10">
      <c r="A886">
        <v>2023</v>
      </c>
      <c r="B886">
        <v>2</v>
      </c>
      <c r="C886">
        <v>8807</v>
      </c>
      <c r="D886">
        <v>493</v>
      </c>
      <c r="E886" t="s">
        <v>10</v>
      </c>
      <c r="F886">
        <v>3454102</v>
      </c>
      <c r="G886" s="1">
        <v>4</v>
      </c>
      <c r="H886" s="2">
        <v>16551</v>
      </c>
      <c r="I886" t="str">
        <f>VLOOKUP(Tabela2[[#This Row],[PAIS]],'[1]nome do paixs'!$A:$B,2,0)</f>
        <v>México</v>
      </c>
      <c r="J886" t="s">
        <v>11</v>
      </c>
    </row>
    <row r="887" spans="1:10">
      <c r="A887">
        <v>2023</v>
      </c>
      <c r="B887">
        <v>4</v>
      </c>
      <c r="C887">
        <v>8807</v>
      </c>
      <c r="D887">
        <v>628</v>
      </c>
      <c r="E887" t="s">
        <v>10</v>
      </c>
      <c r="F887">
        <v>3454102</v>
      </c>
      <c r="G887" s="1">
        <v>2</v>
      </c>
      <c r="H887" s="2">
        <v>7711</v>
      </c>
      <c r="I887" t="str">
        <f>VLOOKUP(Tabela2[[#This Row],[PAIS]],'[1]nome do paixs'!$A:$B,2,0)</f>
        <v>Reino Unido</v>
      </c>
      <c r="J887" t="s">
        <v>11</v>
      </c>
    </row>
    <row r="888" spans="1:10">
      <c r="A888">
        <v>2023</v>
      </c>
      <c r="B888">
        <v>10</v>
      </c>
      <c r="C888">
        <v>8807</v>
      </c>
      <c r="D888">
        <v>628</v>
      </c>
      <c r="E888" t="s">
        <v>10</v>
      </c>
      <c r="F888">
        <v>3454102</v>
      </c>
      <c r="G888" s="1">
        <v>1</v>
      </c>
      <c r="H888" s="2">
        <v>86</v>
      </c>
      <c r="I888" t="str">
        <f>VLOOKUP(Tabela2[[#This Row],[PAIS]],'[1]nome do paixs'!$A:$B,2,0)</f>
        <v>Reino Unido</v>
      </c>
      <c r="J888" t="s">
        <v>11</v>
      </c>
    </row>
    <row r="889" spans="1:10">
      <c r="A889">
        <v>2023</v>
      </c>
      <c r="B889">
        <v>11</v>
      </c>
      <c r="C889">
        <v>8807</v>
      </c>
      <c r="D889">
        <v>603</v>
      </c>
      <c r="E889" t="s">
        <v>10</v>
      </c>
      <c r="F889">
        <v>3454102</v>
      </c>
      <c r="G889" s="1">
        <v>5</v>
      </c>
      <c r="H889" s="2">
        <v>19090</v>
      </c>
      <c r="I889" t="str">
        <f>VLOOKUP(Tabela2[[#This Row],[PAIS]],'[1]nome do paixs'!$A:$B,2,0)</f>
        <v>Polônia</v>
      </c>
      <c r="J889" t="s">
        <v>11</v>
      </c>
    </row>
    <row r="890" spans="1:10">
      <c r="A890">
        <v>2023</v>
      </c>
      <c r="B890">
        <v>6</v>
      </c>
      <c r="C890">
        <v>8807</v>
      </c>
      <c r="D890">
        <v>741</v>
      </c>
      <c r="E890" t="s">
        <v>10</v>
      </c>
      <c r="F890">
        <v>3454102</v>
      </c>
      <c r="G890" s="1">
        <v>1</v>
      </c>
      <c r="H890" s="2">
        <v>1637</v>
      </c>
      <c r="I890" t="str">
        <f>VLOOKUP(Tabela2[[#This Row],[PAIS]],'[1]nome do paixs'!$A:$B,2,0)</f>
        <v>Singapura</v>
      </c>
      <c r="J890" t="s">
        <v>11</v>
      </c>
    </row>
    <row r="891" spans="1:10">
      <c r="A891">
        <v>2023</v>
      </c>
      <c r="B891">
        <v>3</v>
      </c>
      <c r="C891">
        <v>8807</v>
      </c>
      <c r="D891">
        <v>791</v>
      </c>
      <c r="E891" t="s">
        <v>10</v>
      </c>
      <c r="F891">
        <v>3454102</v>
      </c>
      <c r="G891" s="1">
        <v>0</v>
      </c>
      <c r="H891" s="2">
        <v>243</v>
      </c>
      <c r="I891" t="str">
        <f>VLOOKUP(Tabela2[[#This Row],[PAIS]],'[1]nome do paixs'!$A:$B,2,0)</f>
        <v>Tcheca, República</v>
      </c>
      <c r="J891" t="s">
        <v>11</v>
      </c>
    </row>
    <row r="892" spans="1:10">
      <c r="A892">
        <v>2023</v>
      </c>
      <c r="B892">
        <v>2</v>
      </c>
      <c r="C892">
        <v>8807</v>
      </c>
      <c r="D892">
        <v>149</v>
      </c>
      <c r="E892" t="s">
        <v>10</v>
      </c>
      <c r="F892">
        <v>3454102</v>
      </c>
      <c r="G892" s="1">
        <v>2</v>
      </c>
      <c r="H892" s="2">
        <v>4191</v>
      </c>
      <c r="I892" t="str">
        <f>VLOOKUP(Tabela2[[#This Row],[PAIS]],'[1]nome do paixs'!$A:$B,2,0)</f>
        <v>Canadá</v>
      </c>
      <c r="J892" t="s">
        <v>11</v>
      </c>
    </row>
    <row r="893" spans="1:10">
      <c r="A893">
        <v>2023</v>
      </c>
      <c r="B893">
        <v>10</v>
      </c>
      <c r="C893">
        <v>8807</v>
      </c>
      <c r="D893">
        <v>741</v>
      </c>
      <c r="E893" t="s">
        <v>10</v>
      </c>
      <c r="F893">
        <v>3454102</v>
      </c>
      <c r="G893" s="1">
        <v>26</v>
      </c>
      <c r="H893" s="2">
        <v>27107</v>
      </c>
      <c r="I893" t="str">
        <f>VLOOKUP(Tabela2[[#This Row],[PAIS]],'[1]nome do paixs'!$A:$B,2,0)</f>
        <v>Singapura</v>
      </c>
      <c r="J893" t="s">
        <v>11</v>
      </c>
    </row>
    <row r="894" spans="1:10">
      <c r="A894">
        <v>2023</v>
      </c>
      <c r="B894">
        <v>3</v>
      </c>
      <c r="C894">
        <v>8807</v>
      </c>
      <c r="D894">
        <v>607</v>
      </c>
      <c r="E894" t="s">
        <v>10</v>
      </c>
      <c r="F894">
        <v>3454102</v>
      </c>
      <c r="G894" s="1">
        <v>0</v>
      </c>
      <c r="H894" s="2">
        <v>65</v>
      </c>
      <c r="I894" t="str">
        <f>VLOOKUP(Tabela2[[#This Row],[PAIS]],'[1]nome do paixs'!$A:$B,2,0)</f>
        <v>Portugal</v>
      </c>
      <c r="J894" t="s">
        <v>11</v>
      </c>
    </row>
    <row r="895" spans="1:10">
      <c r="A895">
        <v>2023</v>
      </c>
      <c r="B895">
        <v>2</v>
      </c>
      <c r="C895">
        <v>8807</v>
      </c>
      <c r="D895">
        <v>160</v>
      </c>
      <c r="E895" t="s">
        <v>10</v>
      </c>
      <c r="F895">
        <v>3454102</v>
      </c>
      <c r="G895" s="1">
        <v>1</v>
      </c>
      <c r="H895" s="2">
        <v>667</v>
      </c>
      <c r="I895" t="str">
        <f>VLOOKUP(Tabela2[[#This Row],[PAIS]],'[1]nome do paixs'!$A:$B,2,0)</f>
        <v>China</v>
      </c>
      <c r="J895" t="s">
        <v>11</v>
      </c>
    </row>
    <row r="896" spans="1:10">
      <c r="A896">
        <v>2023</v>
      </c>
      <c r="B896">
        <v>9</v>
      </c>
      <c r="C896">
        <v>8807</v>
      </c>
      <c r="D896">
        <v>87</v>
      </c>
      <c r="E896" t="s">
        <v>10</v>
      </c>
      <c r="F896">
        <v>3454102</v>
      </c>
      <c r="G896" s="1">
        <v>22</v>
      </c>
      <c r="H896" s="2">
        <v>15549</v>
      </c>
      <c r="I896" t="str">
        <f>VLOOKUP(Tabela2[[#This Row],[PAIS]],'[1]nome do paixs'!$A:$B,2,0)</f>
        <v>Bélgica</v>
      </c>
      <c r="J896" t="s">
        <v>11</v>
      </c>
    </row>
    <row r="897" spans="1:10">
      <c r="A897">
        <v>2023</v>
      </c>
      <c r="B897">
        <v>1</v>
      </c>
      <c r="C897">
        <v>8807</v>
      </c>
      <c r="D897">
        <v>607</v>
      </c>
      <c r="E897" t="s">
        <v>10</v>
      </c>
      <c r="F897">
        <v>3454102</v>
      </c>
      <c r="G897" s="1">
        <v>0</v>
      </c>
      <c r="H897" s="2">
        <v>291</v>
      </c>
      <c r="I897" t="str">
        <f>VLOOKUP(Tabela2[[#This Row],[PAIS]],'[1]nome do paixs'!$A:$B,2,0)</f>
        <v>Portugal</v>
      </c>
      <c r="J897" t="s">
        <v>11</v>
      </c>
    </row>
    <row r="898" spans="1:10">
      <c r="A898">
        <v>2023</v>
      </c>
      <c r="B898">
        <v>5</v>
      </c>
      <c r="C898">
        <v>8807</v>
      </c>
      <c r="D898">
        <v>603</v>
      </c>
      <c r="E898" t="s">
        <v>10</v>
      </c>
      <c r="F898">
        <v>3454102</v>
      </c>
      <c r="G898" s="1">
        <v>1</v>
      </c>
      <c r="H898" s="2">
        <v>4345</v>
      </c>
      <c r="I898" t="str">
        <f>VLOOKUP(Tabela2[[#This Row],[PAIS]],'[1]nome do paixs'!$A:$B,2,0)</f>
        <v>Polônia</v>
      </c>
      <c r="J898" t="s">
        <v>11</v>
      </c>
    </row>
    <row r="899" spans="1:10">
      <c r="A899">
        <v>2023</v>
      </c>
      <c r="B899">
        <v>9</v>
      </c>
      <c r="C899">
        <v>8807</v>
      </c>
      <c r="D899">
        <v>249</v>
      </c>
      <c r="E899" t="s">
        <v>10</v>
      </c>
      <c r="F899">
        <v>3454102</v>
      </c>
      <c r="G899" s="1">
        <v>421</v>
      </c>
      <c r="H899" s="2">
        <v>233939</v>
      </c>
      <c r="I899" t="str">
        <f>VLOOKUP(Tabela2[[#This Row],[PAIS]],'[1]nome do paixs'!$A:$B,2,0)</f>
        <v>Estados Unidos</v>
      </c>
      <c r="J899" t="s">
        <v>11</v>
      </c>
    </row>
    <row r="900" spans="1:10">
      <c r="A900">
        <v>2023</v>
      </c>
      <c r="B900">
        <v>8</v>
      </c>
      <c r="C900">
        <v>8807</v>
      </c>
      <c r="D900">
        <v>249</v>
      </c>
      <c r="E900" t="s">
        <v>10</v>
      </c>
      <c r="F900">
        <v>3454102</v>
      </c>
      <c r="G900" s="1">
        <v>728</v>
      </c>
      <c r="H900" s="2">
        <v>485934</v>
      </c>
      <c r="I900" t="str">
        <f>VLOOKUP(Tabela2[[#This Row],[PAIS]],'[1]nome do paixs'!$A:$B,2,0)</f>
        <v>Estados Unidos</v>
      </c>
      <c r="J900" t="s">
        <v>11</v>
      </c>
    </row>
    <row r="901" spans="1:10">
      <c r="A901">
        <v>2023</v>
      </c>
      <c r="B901">
        <v>12</v>
      </c>
      <c r="C901">
        <v>8807</v>
      </c>
      <c r="D901">
        <v>249</v>
      </c>
      <c r="E901" t="s">
        <v>10</v>
      </c>
      <c r="F901">
        <v>3454102</v>
      </c>
      <c r="G901" s="1">
        <v>257</v>
      </c>
      <c r="H901" s="2">
        <v>150383</v>
      </c>
      <c r="I901" t="str">
        <f>VLOOKUP(Tabela2[[#This Row],[PAIS]],'[1]nome do paixs'!$A:$B,2,0)</f>
        <v>Estados Unidos</v>
      </c>
      <c r="J901" t="s">
        <v>11</v>
      </c>
    </row>
    <row r="902" spans="1:10">
      <c r="A902">
        <v>2023</v>
      </c>
      <c r="B902">
        <v>2</v>
      </c>
      <c r="C902">
        <v>8807</v>
      </c>
      <c r="D902">
        <v>246</v>
      </c>
      <c r="E902" t="s">
        <v>10</v>
      </c>
      <c r="F902">
        <v>3454102</v>
      </c>
      <c r="G902" s="1">
        <v>0</v>
      </c>
      <c r="H902" s="2">
        <v>347</v>
      </c>
      <c r="I902" t="str">
        <f>VLOOKUP(Tabela2[[#This Row],[PAIS]],'[1]nome do paixs'!$A:$B,2,0)</f>
        <v>Eslovênia</v>
      </c>
      <c r="J902" t="s">
        <v>11</v>
      </c>
    </row>
    <row r="903" spans="1:10">
      <c r="A903">
        <v>2023</v>
      </c>
      <c r="B903">
        <v>3</v>
      </c>
      <c r="C903">
        <v>8807</v>
      </c>
      <c r="D903">
        <v>247</v>
      </c>
      <c r="E903" t="s">
        <v>10</v>
      </c>
      <c r="F903">
        <v>3454102</v>
      </c>
      <c r="G903" s="1">
        <v>1</v>
      </c>
      <c r="H903" s="2">
        <v>1073</v>
      </c>
      <c r="I903" t="str">
        <f>VLOOKUP(Tabela2[[#This Row],[PAIS]],'[1]nome do paixs'!$A:$B,2,0)</f>
        <v>Eslováquia</v>
      </c>
      <c r="J903" t="s">
        <v>11</v>
      </c>
    </row>
    <row r="904" spans="1:10">
      <c r="A904">
        <v>2023</v>
      </c>
      <c r="B904">
        <v>4</v>
      </c>
      <c r="C904">
        <v>8807</v>
      </c>
      <c r="D904">
        <v>442</v>
      </c>
      <c r="E904" t="s">
        <v>10</v>
      </c>
      <c r="F904">
        <v>3454102</v>
      </c>
      <c r="G904" s="1">
        <v>1</v>
      </c>
      <c r="H904" s="2">
        <v>4254</v>
      </c>
      <c r="I904" t="str">
        <f>VLOOKUP(Tabela2[[#This Row],[PAIS]],'[1]nome do paixs'!$A:$B,2,0)</f>
        <v>Lituânia</v>
      </c>
      <c r="J904" t="s">
        <v>11</v>
      </c>
    </row>
    <row r="905" spans="1:10">
      <c r="A905">
        <v>2023</v>
      </c>
      <c r="B905">
        <v>11</v>
      </c>
      <c r="C905">
        <v>8807</v>
      </c>
      <c r="D905">
        <v>249</v>
      </c>
      <c r="E905" t="s">
        <v>10</v>
      </c>
      <c r="F905">
        <v>3454102</v>
      </c>
      <c r="G905" s="1">
        <v>573</v>
      </c>
      <c r="H905" s="2">
        <v>352824</v>
      </c>
      <c r="I905" t="str">
        <f>VLOOKUP(Tabela2[[#This Row],[PAIS]],'[1]nome do paixs'!$A:$B,2,0)</f>
        <v>Estados Unidos</v>
      </c>
      <c r="J905" t="s">
        <v>11</v>
      </c>
    </row>
    <row r="906" spans="1:10">
      <c r="A906">
        <v>2023</v>
      </c>
      <c r="B906">
        <v>10</v>
      </c>
      <c r="C906">
        <v>8807</v>
      </c>
      <c r="D906">
        <v>493</v>
      </c>
      <c r="E906" t="s">
        <v>10</v>
      </c>
      <c r="F906">
        <v>3454102</v>
      </c>
      <c r="G906" s="1">
        <v>4</v>
      </c>
      <c r="H906" s="2">
        <v>6423</v>
      </c>
      <c r="I906" t="str">
        <f>VLOOKUP(Tabela2[[#This Row],[PAIS]],'[1]nome do paixs'!$A:$B,2,0)</f>
        <v>México</v>
      </c>
      <c r="J906" t="s">
        <v>11</v>
      </c>
    </row>
    <row r="907" spans="1:10">
      <c r="A907">
        <v>2023</v>
      </c>
      <c r="B907">
        <v>11</v>
      </c>
      <c r="C907">
        <v>8807</v>
      </c>
      <c r="D907">
        <v>756</v>
      </c>
      <c r="E907" t="s">
        <v>10</v>
      </c>
      <c r="F907">
        <v>3454102</v>
      </c>
      <c r="G907" s="1">
        <v>0</v>
      </c>
      <c r="H907" s="2">
        <v>2597</v>
      </c>
      <c r="I907" t="str">
        <f>VLOOKUP(Tabela2[[#This Row],[PAIS]],'[1]nome do paixs'!$A:$B,2,0)</f>
        <v>África do Sul</v>
      </c>
      <c r="J907" t="s">
        <v>11</v>
      </c>
    </row>
    <row r="908" spans="1:10">
      <c r="A908">
        <v>2023</v>
      </c>
      <c r="B908">
        <v>7</v>
      </c>
      <c r="C908">
        <v>8807</v>
      </c>
      <c r="D908">
        <v>607</v>
      </c>
      <c r="E908" t="s">
        <v>10</v>
      </c>
      <c r="F908">
        <v>3454102</v>
      </c>
      <c r="G908" s="1">
        <v>522</v>
      </c>
      <c r="H908" s="2">
        <v>226852</v>
      </c>
      <c r="I908" t="str">
        <f>VLOOKUP(Tabela2[[#This Row],[PAIS]],'[1]nome do paixs'!$A:$B,2,0)</f>
        <v>Portugal</v>
      </c>
      <c r="J908" t="s">
        <v>11</v>
      </c>
    </row>
    <row r="909" spans="1:10">
      <c r="A909">
        <v>2023</v>
      </c>
      <c r="B909">
        <v>7</v>
      </c>
      <c r="C909">
        <v>8807</v>
      </c>
      <c r="D909">
        <v>399</v>
      </c>
      <c r="E909" t="s">
        <v>10</v>
      </c>
      <c r="F909">
        <v>3454102</v>
      </c>
      <c r="G909" s="1">
        <v>0</v>
      </c>
      <c r="H909" s="2">
        <v>78</v>
      </c>
      <c r="I909" t="str">
        <f>VLOOKUP(Tabela2[[#This Row],[PAIS]],'[1]nome do paixs'!$A:$B,2,0)</f>
        <v>Japão</v>
      </c>
      <c r="J909" t="s">
        <v>11</v>
      </c>
    </row>
    <row r="910" spans="1:10">
      <c r="A910">
        <v>2023</v>
      </c>
      <c r="B910">
        <v>5</v>
      </c>
      <c r="C910">
        <v>8807</v>
      </c>
      <c r="D910">
        <v>741</v>
      </c>
      <c r="E910" t="s">
        <v>10</v>
      </c>
      <c r="F910">
        <v>3454102</v>
      </c>
      <c r="G910" s="1">
        <v>6</v>
      </c>
      <c r="H910" s="2">
        <v>5334</v>
      </c>
      <c r="I910" t="str">
        <f>VLOOKUP(Tabela2[[#This Row],[PAIS]],'[1]nome do paixs'!$A:$B,2,0)</f>
        <v>Singapura</v>
      </c>
      <c r="J910" t="s">
        <v>11</v>
      </c>
    </row>
    <row r="911" spans="1:10">
      <c r="A911">
        <v>2023</v>
      </c>
      <c r="B911">
        <v>7</v>
      </c>
      <c r="C911">
        <v>8807</v>
      </c>
      <c r="D911">
        <v>442</v>
      </c>
      <c r="E911" t="s">
        <v>10</v>
      </c>
      <c r="F911">
        <v>3454102</v>
      </c>
      <c r="G911" s="1">
        <v>0</v>
      </c>
      <c r="H911" s="2">
        <v>3238</v>
      </c>
      <c r="I911" t="str">
        <f>VLOOKUP(Tabela2[[#This Row],[PAIS]],'[1]nome do paixs'!$A:$B,2,0)</f>
        <v>Lituânia</v>
      </c>
      <c r="J911" t="s">
        <v>11</v>
      </c>
    </row>
    <row r="912" spans="1:10">
      <c r="A912">
        <v>2023</v>
      </c>
      <c r="B912">
        <v>7</v>
      </c>
      <c r="C912">
        <v>8807</v>
      </c>
      <c r="D912">
        <v>355</v>
      </c>
      <c r="E912" t="s">
        <v>10</v>
      </c>
      <c r="F912">
        <v>3454102</v>
      </c>
      <c r="G912" s="1">
        <v>0</v>
      </c>
      <c r="H912" s="2">
        <v>6544</v>
      </c>
      <c r="I912" t="str">
        <f>VLOOKUP(Tabela2[[#This Row],[PAIS]],'[1]nome do paixs'!$A:$B,2,0)</f>
        <v>Hungria</v>
      </c>
      <c r="J912" t="s">
        <v>11</v>
      </c>
    </row>
    <row r="913" spans="1:10">
      <c r="A913">
        <v>2023</v>
      </c>
      <c r="B913">
        <v>12</v>
      </c>
      <c r="C913">
        <v>8807</v>
      </c>
      <c r="D913">
        <v>247</v>
      </c>
      <c r="E913" t="s">
        <v>10</v>
      </c>
      <c r="F913">
        <v>3454102</v>
      </c>
      <c r="G913" s="1">
        <v>0</v>
      </c>
      <c r="H913" s="2">
        <v>639</v>
      </c>
      <c r="I913" t="str">
        <f>VLOOKUP(Tabela2[[#This Row],[PAIS]],'[1]nome do paixs'!$A:$B,2,0)</f>
        <v>Eslováquia</v>
      </c>
      <c r="J913" t="s">
        <v>11</v>
      </c>
    </row>
    <row r="914" spans="1:10">
      <c r="A914">
        <v>2023</v>
      </c>
      <c r="B914">
        <v>1</v>
      </c>
      <c r="C914">
        <v>8807</v>
      </c>
      <c r="D914">
        <v>603</v>
      </c>
      <c r="E914" t="s">
        <v>10</v>
      </c>
      <c r="F914">
        <v>3454102</v>
      </c>
      <c r="G914" s="1">
        <v>6</v>
      </c>
      <c r="H914" s="2">
        <v>4940</v>
      </c>
      <c r="I914" t="str">
        <f>VLOOKUP(Tabela2[[#This Row],[PAIS]],'[1]nome do paixs'!$A:$B,2,0)</f>
        <v>Polônia</v>
      </c>
      <c r="J914" t="s">
        <v>11</v>
      </c>
    </row>
    <row r="915" spans="1:10">
      <c r="A915">
        <v>2023</v>
      </c>
      <c r="B915">
        <v>7</v>
      </c>
      <c r="C915">
        <v>8807</v>
      </c>
      <c r="D915">
        <v>149</v>
      </c>
      <c r="E915" t="s">
        <v>10</v>
      </c>
      <c r="F915">
        <v>3454102</v>
      </c>
      <c r="G915" s="1">
        <v>5</v>
      </c>
      <c r="H915" s="2">
        <v>4990</v>
      </c>
      <c r="I915" t="str">
        <f>VLOOKUP(Tabela2[[#This Row],[PAIS]],'[1]nome do paixs'!$A:$B,2,0)</f>
        <v>Canadá</v>
      </c>
      <c r="J915" t="s">
        <v>11</v>
      </c>
    </row>
    <row r="916" spans="1:10">
      <c r="A916">
        <v>2023</v>
      </c>
      <c r="B916">
        <v>4</v>
      </c>
      <c r="C916">
        <v>8807</v>
      </c>
      <c r="D916">
        <v>158</v>
      </c>
      <c r="E916" t="s">
        <v>10</v>
      </c>
      <c r="F916">
        <v>3454102</v>
      </c>
      <c r="G916" s="1">
        <v>5</v>
      </c>
      <c r="H916" s="2">
        <v>16796</v>
      </c>
      <c r="I916" t="str">
        <f>VLOOKUP(Tabela2[[#This Row],[PAIS]],'[1]nome do paixs'!$A:$B,2,0)</f>
        <v>Chile</v>
      </c>
      <c r="J916" t="s">
        <v>11</v>
      </c>
    </row>
    <row r="917" spans="1:10">
      <c r="A917">
        <v>2023</v>
      </c>
      <c r="B917">
        <v>6</v>
      </c>
      <c r="C917">
        <v>8807</v>
      </c>
      <c r="D917">
        <v>87</v>
      </c>
      <c r="E917" t="s">
        <v>10</v>
      </c>
      <c r="F917">
        <v>3454102</v>
      </c>
      <c r="G917" s="1">
        <v>14</v>
      </c>
      <c r="H917" s="2">
        <v>26315</v>
      </c>
      <c r="I917" t="str">
        <f>VLOOKUP(Tabela2[[#This Row],[PAIS]],'[1]nome do paixs'!$A:$B,2,0)</f>
        <v>Bélgica</v>
      </c>
      <c r="J917" t="s">
        <v>11</v>
      </c>
    </row>
    <row r="918" spans="1:10">
      <c r="A918">
        <v>2023</v>
      </c>
      <c r="B918">
        <v>11</v>
      </c>
      <c r="C918">
        <v>8807</v>
      </c>
      <c r="D918">
        <v>493</v>
      </c>
      <c r="E918" t="s">
        <v>10</v>
      </c>
      <c r="F918">
        <v>3454102</v>
      </c>
      <c r="G918" s="1">
        <v>0</v>
      </c>
      <c r="H918" s="2">
        <v>240</v>
      </c>
      <c r="I918" t="str">
        <f>VLOOKUP(Tabela2[[#This Row],[PAIS]],'[1]nome do paixs'!$A:$B,2,0)</f>
        <v>México</v>
      </c>
      <c r="J918" t="s">
        <v>11</v>
      </c>
    </row>
    <row r="919" spans="1:10">
      <c r="A919">
        <v>2023</v>
      </c>
      <c r="B919">
        <v>6</v>
      </c>
      <c r="C919">
        <v>8807</v>
      </c>
      <c r="D919">
        <v>603</v>
      </c>
      <c r="E919" t="s">
        <v>10</v>
      </c>
      <c r="F919">
        <v>3454102</v>
      </c>
      <c r="G919" s="1">
        <v>0</v>
      </c>
      <c r="H919" s="2">
        <v>458</v>
      </c>
      <c r="I919" t="str">
        <f>VLOOKUP(Tabela2[[#This Row],[PAIS]],'[1]nome do paixs'!$A:$B,2,0)</f>
        <v>Polônia</v>
      </c>
      <c r="J919" t="s">
        <v>11</v>
      </c>
    </row>
    <row r="920" spans="1:10">
      <c r="A920">
        <v>2023</v>
      </c>
      <c r="B920">
        <v>3</v>
      </c>
      <c r="C920">
        <v>8807</v>
      </c>
      <c r="D920">
        <v>756</v>
      </c>
      <c r="E920" t="s">
        <v>10</v>
      </c>
      <c r="F920">
        <v>3454102</v>
      </c>
      <c r="G920" s="1">
        <v>0</v>
      </c>
      <c r="H920" s="2">
        <v>2016</v>
      </c>
      <c r="I920" t="str">
        <f>VLOOKUP(Tabela2[[#This Row],[PAIS]],'[1]nome do paixs'!$A:$B,2,0)</f>
        <v>África do Sul</v>
      </c>
      <c r="J920" t="s">
        <v>11</v>
      </c>
    </row>
    <row r="921" spans="1:10">
      <c r="A921">
        <v>2023</v>
      </c>
      <c r="B921">
        <v>10</v>
      </c>
      <c r="C921">
        <v>8807</v>
      </c>
      <c r="D921">
        <v>149</v>
      </c>
      <c r="E921" t="s">
        <v>10</v>
      </c>
      <c r="F921">
        <v>3454102</v>
      </c>
      <c r="G921" s="1">
        <v>0</v>
      </c>
      <c r="H921" s="2">
        <v>626</v>
      </c>
      <c r="I921" t="str">
        <f>VLOOKUP(Tabela2[[#This Row],[PAIS]],'[1]nome do paixs'!$A:$B,2,0)</f>
        <v>Canadá</v>
      </c>
      <c r="J921" t="s">
        <v>11</v>
      </c>
    </row>
    <row r="922" spans="1:10">
      <c r="A922">
        <v>2023</v>
      </c>
      <c r="B922">
        <v>4</v>
      </c>
      <c r="C922">
        <v>8807</v>
      </c>
      <c r="D922">
        <v>249</v>
      </c>
      <c r="E922" t="s">
        <v>10</v>
      </c>
      <c r="F922">
        <v>3454102</v>
      </c>
      <c r="G922" s="1">
        <v>615</v>
      </c>
      <c r="H922" s="2">
        <v>688353</v>
      </c>
      <c r="I922" t="str">
        <f>VLOOKUP(Tabela2[[#This Row],[PAIS]],'[1]nome do paixs'!$A:$B,2,0)</f>
        <v>Estados Unidos</v>
      </c>
      <c r="J922" t="s">
        <v>11</v>
      </c>
    </row>
    <row r="923" spans="1:10">
      <c r="A923">
        <v>2023</v>
      </c>
      <c r="B923">
        <v>7</v>
      </c>
      <c r="C923">
        <v>8807</v>
      </c>
      <c r="D923">
        <v>160</v>
      </c>
      <c r="E923" t="s">
        <v>10</v>
      </c>
      <c r="F923">
        <v>3454102</v>
      </c>
      <c r="G923" s="1">
        <v>67</v>
      </c>
      <c r="H923" s="2">
        <v>57635</v>
      </c>
      <c r="I923" t="str">
        <f>VLOOKUP(Tabela2[[#This Row],[PAIS]],'[1]nome do paixs'!$A:$B,2,0)</f>
        <v>China</v>
      </c>
      <c r="J923" t="s">
        <v>11</v>
      </c>
    </row>
    <row r="924" spans="1:10">
      <c r="A924">
        <v>2023</v>
      </c>
      <c r="B924">
        <v>2</v>
      </c>
      <c r="C924">
        <v>8807</v>
      </c>
      <c r="D924">
        <v>275</v>
      </c>
      <c r="E924" t="s">
        <v>10</v>
      </c>
      <c r="F924">
        <v>3454102</v>
      </c>
      <c r="G924" s="1">
        <v>179</v>
      </c>
      <c r="H924" s="2">
        <v>270173</v>
      </c>
      <c r="I924" t="str">
        <f>VLOOKUP(Tabela2[[#This Row],[PAIS]],'[1]nome do paixs'!$A:$B,2,0)</f>
        <v>França</v>
      </c>
      <c r="J924" t="s">
        <v>11</v>
      </c>
    </row>
    <row r="925" spans="1:10">
      <c r="A925">
        <v>2023</v>
      </c>
      <c r="B925">
        <v>4</v>
      </c>
      <c r="C925">
        <v>8807</v>
      </c>
      <c r="D925">
        <v>247</v>
      </c>
      <c r="E925" t="s">
        <v>10</v>
      </c>
      <c r="F925">
        <v>3454102</v>
      </c>
      <c r="G925" s="1">
        <v>0</v>
      </c>
      <c r="H925" s="2">
        <v>553</v>
      </c>
      <c r="I925" t="str">
        <f>VLOOKUP(Tabela2[[#This Row],[PAIS]],'[1]nome do paixs'!$A:$B,2,0)</f>
        <v>Eslováquia</v>
      </c>
      <c r="J925" t="s">
        <v>11</v>
      </c>
    </row>
    <row r="926" spans="1:10">
      <c r="A926">
        <v>2023</v>
      </c>
      <c r="B926">
        <v>2</v>
      </c>
      <c r="C926">
        <v>8807</v>
      </c>
      <c r="D926">
        <v>741</v>
      </c>
      <c r="E926" t="s">
        <v>10</v>
      </c>
      <c r="F926">
        <v>3454102</v>
      </c>
      <c r="G926" s="1">
        <v>35</v>
      </c>
      <c r="H926" s="2">
        <v>39731</v>
      </c>
      <c r="I926" t="str">
        <f>VLOOKUP(Tabela2[[#This Row],[PAIS]],'[1]nome do paixs'!$A:$B,2,0)</f>
        <v>Singapura</v>
      </c>
      <c r="J926" t="s">
        <v>11</v>
      </c>
    </row>
    <row r="927" spans="1:10">
      <c r="A927">
        <v>2023</v>
      </c>
      <c r="B927">
        <v>9</v>
      </c>
      <c r="C927">
        <v>8807</v>
      </c>
      <c r="D927">
        <v>756</v>
      </c>
      <c r="E927" t="s">
        <v>10</v>
      </c>
      <c r="F927">
        <v>3454102</v>
      </c>
      <c r="G927" s="1">
        <v>0</v>
      </c>
      <c r="H927" s="2">
        <v>342</v>
      </c>
      <c r="I927" t="str">
        <f>VLOOKUP(Tabela2[[#This Row],[PAIS]],'[1]nome do paixs'!$A:$B,2,0)</f>
        <v>África do Sul</v>
      </c>
      <c r="J927" t="s">
        <v>11</v>
      </c>
    </row>
    <row r="928" spans="1:10">
      <c r="A928">
        <v>2023</v>
      </c>
      <c r="B928">
        <v>3</v>
      </c>
      <c r="C928">
        <v>8807</v>
      </c>
      <c r="D928">
        <v>442</v>
      </c>
      <c r="E928" t="s">
        <v>10</v>
      </c>
      <c r="F928">
        <v>3454102</v>
      </c>
      <c r="G928" s="1">
        <v>0</v>
      </c>
      <c r="H928" s="2">
        <v>212</v>
      </c>
      <c r="I928" t="str">
        <f>VLOOKUP(Tabela2[[#This Row],[PAIS]],'[1]nome do paixs'!$A:$B,2,0)</f>
        <v>Lituânia</v>
      </c>
      <c r="J928" t="s">
        <v>11</v>
      </c>
    </row>
    <row r="929" spans="1:10">
      <c r="A929">
        <v>2023</v>
      </c>
      <c r="B929">
        <v>10</v>
      </c>
      <c r="C929">
        <v>8807</v>
      </c>
      <c r="D929">
        <v>603</v>
      </c>
      <c r="E929" t="s">
        <v>10</v>
      </c>
      <c r="F929">
        <v>3454102</v>
      </c>
      <c r="G929" s="1">
        <v>2</v>
      </c>
      <c r="H929" s="2">
        <v>5809</v>
      </c>
      <c r="I929" t="str">
        <f>VLOOKUP(Tabela2[[#This Row],[PAIS]],'[1]nome do paixs'!$A:$B,2,0)</f>
        <v>Polônia</v>
      </c>
      <c r="J929" t="s">
        <v>11</v>
      </c>
    </row>
    <row r="930" spans="1:10">
      <c r="A930">
        <v>2023</v>
      </c>
      <c r="B930">
        <v>12</v>
      </c>
      <c r="C930">
        <v>8807</v>
      </c>
      <c r="D930">
        <v>493</v>
      </c>
      <c r="E930" t="s">
        <v>10</v>
      </c>
      <c r="F930">
        <v>3454102</v>
      </c>
      <c r="G930" s="1">
        <v>4</v>
      </c>
      <c r="H930" s="2">
        <v>5544</v>
      </c>
      <c r="I930" t="str">
        <f>VLOOKUP(Tabela2[[#This Row],[PAIS]],'[1]nome do paixs'!$A:$B,2,0)</f>
        <v>México</v>
      </c>
      <c r="J930" t="s">
        <v>11</v>
      </c>
    </row>
    <row r="931" spans="1:10">
      <c r="A931">
        <v>2023</v>
      </c>
      <c r="B931">
        <v>6</v>
      </c>
      <c r="C931">
        <v>8807</v>
      </c>
      <c r="D931">
        <v>160</v>
      </c>
      <c r="E931" t="s">
        <v>10</v>
      </c>
      <c r="F931">
        <v>3454102</v>
      </c>
      <c r="G931" s="1">
        <v>11</v>
      </c>
      <c r="H931" s="2">
        <v>14875</v>
      </c>
      <c r="I931" t="str">
        <f>VLOOKUP(Tabela2[[#This Row],[PAIS]],'[1]nome do paixs'!$A:$B,2,0)</f>
        <v>China</v>
      </c>
      <c r="J931" t="s">
        <v>11</v>
      </c>
    </row>
    <row r="932" spans="1:10">
      <c r="A932">
        <v>2023</v>
      </c>
      <c r="B932">
        <v>3</v>
      </c>
      <c r="C932">
        <v>8807</v>
      </c>
      <c r="D932">
        <v>72</v>
      </c>
      <c r="E932" t="s">
        <v>10</v>
      </c>
      <c r="F932">
        <v>3454102</v>
      </c>
      <c r="G932" s="1">
        <v>180</v>
      </c>
      <c r="H932" s="2">
        <v>308039</v>
      </c>
      <c r="I932" t="str">
        <f>VLOOKUP(Tabela2[[#This Row],[PAIS]],'[1]nome do paixs'!$A:$B,2,0)</f>
        <v>Áustria</v>
      </c>
      <c r="J932" t="s">
        <v>11</v>
      </c>
    </row>
    <row r="933" spans="1:10">
      <c r="A933">
        <v>2023</v>
      </c>
      <c r="B933">
        <v>3</v>
      </c>
      <c r="C933">
        <v>8807</v>
      </c>
      <c r="D933">
        <v>275</v>
      </c>
      <c r="E933" t="s">
        <v>10</v>
      </c>
      <c r="F933">
        <v>3454102</v>
      </c>
      <c r="G933" s="1">
        <v>313</v>
      </c>
      <c r="H933" s="2">
        <v>194568</v>
      </c>
      <c r="I933" t="str">
        <f>VLOOKUP(Tabela2[[#This Row],[PAIS]],'[1]nome do paixs'!$A:$B,2,0)</f>
        <v>França</v>
      </c>
      <c r="J933" t="s">
        <v>11</v>
      </c>
    </row>
    <row r="934" spans="1:10">
      <c r="A934">
        <v>2023</v>
      </c>
      <c r="B934">
        <v>11</v>
      </c>
      <c r="C934">
        <v>8807</v>
      </c>
      <c r="D934">
        <v>87</v>
      </c>
      <c r="E934" t="s">
        <v>10</v>
      </c>
      <c r="F934">
        <v>3454102</v>
      </c>
      <c r="G934" s="1">
        <v>2</v>
      </c>
      <c r="H934" s="2">
        <v>10105</v>
      </c>
      <c r="I934" t="str">
        <f>VLOOKUP(Tabela2[[#This Row],[PAIS]],'[1]nome do paixs'!$A:$B,2,0)</f>
        <v>Bélgica</v>
      </c>
      <c r="J934" t="s">
        <v>11</v>
      </c>
    </row>
    <row r="935" spans="1:10">
      <c r="A935">
        <v>2023</v>
      </c>
      <c r="B935">
        <v>9</v>
      </c>
      <c r="C935">
        <v>8807</v>
      </c>
      <c r="D935">
        <v>160</v>
      </c>
      <c r="E935" t="s">
        <v>10</v>
      </c>
      <c r="F935">
        <v>3454102</v>
      </c>
      <c r="G935" s="1">
        <v>4</v>
      </c>
      <c r="H935" s="2">
        <v>3150</v>
      </c>
      <c r="I935" t="str">
        <f>VLOOKUP(Tabela2[[#This Row],[PAIS]],'[1]nome do paixs'!$A:$B,2,0)</f>
        <v>China</v>
      </c>
      <c r="J935" t="s">
        <v>11</v>
      </c>
    </row>
    <row r="936" spans="1:10">
      <c r="A936">
        <v>2023</v>
      </c>
      <c r="B936">
        <v>1</v>
      </c>
      <c r="C936">
        <v>8807</v>
      </c>
      <c r="D936">
        <v>149</v>
      </c>
      <c r="E936" t="s">
        <v>10</v>
      </c>
      <c r="F936">
        <v>3454102</v>
      </c>
      <c r="G936" s="1">
        <v>1</v>
      </c>
      <c r="H936" s="2">
        <v>144</v>
      </c>
      <c r="I936" t="str">
        <f>VLOOKUP(Tabela2[[#This Row],[PAIS]],'[1]nome do paixs'!$A:$B,2,0)</f>
        <v>Canadá</v>
      </c>
      <c r="J936" t="s">
        <v>11</v>
      </c>
    </row>
    <row r="937" spans="1:10">
      <c r="A937">
        <v>2023</v>
      </c>
      <c r="B937">
        <v>4</v>
      </c>
      <c r="C937">
        <v>8807</v>
      </c>
      <c r="D937">
        <v>160</v>
      </c>
      <c r="E937" t="s">
        <v>10</v>
      </c>
      <c r="F937">
        <v>3454102</v>
      </c>
      <c r="G937" s="1">
        <v>3</v>
      </c>
      <c r="H937" s="2">
        <v>2325</v>
      </c>
      <c r="I937" t="str">
        <f>VLOOKUP(Tabela2[[#This Row],[PAIS]],'[1]nome do paixs'!$A:$B,2,0)</f>
        <v>China</v>
      </c>
      <c r="J937" t="s">
        <v>11</v>
      </c>
    </row>
    <row r="938" spans="1:10">
      <c r="A938">
        <v>2023</v>
      </c>
      <c r="B938">
        <v>9</v>
      </c>
      <c r="C938">
        <v>8807</v>
      </c>
      <c r="D938">
        <v>493</v>
      </c>
      <c r="E938" t="s">
        <v>10</v>
      </c>
      <c r="F938">
        <v>3454102</v>
      </c>
      <c r="G938" s="1">
        <v>0</v>
      </c>
      <c r="H938" s="2">
        <v>1913</v>
      </c>
      <c r="I938" t="str">
        <f>VLOOKUP(Tabela2[[#This Row],[PAIS]],'[1]nome do paixs'!$A:$B,2,0)</f>
        <v>México</v>
      </c>
      <c r="J938" t="s">
        <v>11</v>
      </c>
    </row>
    <row r="939" spans="1:10">
      <c r="A939">
        <v>2023</v>
      </c>
      <c r="B939">
        <v>11</v>
      </c>
      <c r="C939">
        <v>8807</v>
      </c>
      <c r="D939">
        <v>386</v>
      </c>
      <c r="E939" t="s">
        <v>10</v>
      </c>
      <c r="F939">
        <v>3454102</v>
      </c>
      <c r="G939" s="1">
        <v>1</v>
      </c>
      <c r="H939" s="2">
        <v>2095</v>
      </c>
      <c r="I939" t="str">
        <f>VLOOKUP(Tabela2[[#This Row],[PAIS]],'[1]nome do paixs'!$A:$B,2,0)</f>
        <v>Itália</v>
      </c>
      <c r="J939" t="s">
        <v>11</v>
      </c>
    </row>
    <row r="940" spans="1:10">
      <c r="A940">
        <v>2023</v>
      </c>
      <c r="B940">
        <v>7</v>
      </c>
      <c r="C940">
        <v>8807</v>
      </c>
      <c r="D940">
        <v>87</v>
      </c>
      <c r="E940" t="s">
        <v>10</v>
      </c>
      <c r="F940">
        <v>3454102</v>
      </c>
      <c r="G940" s="1">
        <v>15</v>
      </c>
      <c r="H940" s="2">
        <v>34550</v>
      </c>
      <c r="I940" t="str">
        <f>VLOOKUP(Tabela2[[#This Row],[PAIS]],'[1]nome do paixs'!$A:$B,2,0)</f>
        <v>Bélgica</v>
      </c>
      <c r="J940" t="s">
        <v>11</v>
      </c>
    </row>
    <row r="941" spans="1:10">
      <c r="A941">
        <v>2023</v>
      </c>
      <c r="B941">
        <v>5</v>
      </c>
      <c r="C941">
        <v>8807</v>
      </c>
      <c r="D941">
        <v>442</v>
      </c>
      <c r="E941" t="s">
        <v>10</v>
      </c>
      <c r="F941">
        <v>3454102</v>
      </c>
      <c r="G941" s="1">
        <v>0</v>
      </c>
      <c r="H941" s="2">
        <v>547</v>
      </c>
      <c r="I941" t="str">
        <f>VLOOKUP(Tabela2[[#This Row],[PAIS]],'[1]nome do paixs'!$A:$B,2,0)</f>
        <v>Lituânia</v>
      </c>
      <c r="J941" t="s">
        <v>11</v>
      </c>
    </row>
    <row r="942" spans="1:10">
      <c r="A942">
        <v>2023</v>
      </c>
      <c r="B942">
        <v>2</v>
      </c>
      <c r="C942">
        <v>8807</v>
      </c>
      <c r="D942">
        <v>72</v>
      </c>
      <c r="E942" t="s">
        <v>10</v>
      </c>
      <c r="F942">
        <v>3454102</v>
      </c>
      <c r="G942" s="1">
        <v>2</v>
      </c>
      <c r="H942" s="2">
        <v>3704</v>
      </c>
      <c r="I942" t="str">
        <f>VLOOKUP(Tabela2[[#This Row],[PAIS]],'[1]nome do paixs'!$A:$B,2,0)</f>
        <v>Áustria</v>
      </c>
      <c r="J942" t="s">
        <v>11</v>
      </c>
    </row>
    <row r="943" spans="1:10">
      <c r="A943">
        <v>2023</v>
      </c>
      <c r="B943">
        <v>6</v>
      </c>
      <c r="C943">
        <v>8807</v>
      </c>
      <c r="D943">
        <v>249</v>
      </c>
      <c r="E943" t="s">
        <v>10</v>
      </c>
      <c r="F943">
        <v>3454102</v>
      </c>
      <c r="G943" s="1">
        <v>409</v>
      </c>
      <c r="H943" s="2">
        <v>479304</v>
      </c>
      <c r="I943" t="str">
        <f>VLOOKUP(Tabela2[[#This Row],[PAIS]],'[1]nome do paixs'!$A:$B,2,0)</f>
        <v>Estados Unidos</v>
      </c>
      <c r="J943" t="s">
        <v>11</v>
      </c>
    </row>
    <row r="944" spans="1:10">
      <c r="A944">
        <v>2023</v>
      </c>
      <c r="B944">
        <v>8</v>
      </c>
      <c r="C944">
        <v>8807</v>
      </c>
      <c r="D944">
        <v>741</v>
      </c>
      <c r="E944" t="s">
        <v>10</v>
      </c>
      <c r="F944">
        <v>3454102</v>
      </c>
      <c r="G944" s="1">
        <v>5</v>
      </c>
      <c r="H944" s="2">
        <v>3685</v>
      </c>
      <c r="I944" t="str">
        <f>VLOOKUP(Tabela2[[#This Row],[PAIS]],'[1]nome do paixs'!$A:$B,2,0)</f>
        <v>Singapura</v>
      </c>
      <c r="J944" t="s">
        <v>11</v>
      </c>
    </row>
    <row r="945" spans="1:10">
      <c r="A945">
        <v>2023</v>
      </c>
      <c r="B945">
        <v>5</v>
      </c>
      <c r="C945">
        <v>8807</v>
      </c>
      <c r="D945">
        <v>160</v>
      </c>
      <c r="E945" t="s">
        <v>10</v>
      </c>
      <c r="F945">
        <v>3454102</v>
      </c>
      <c r="G945" s="1">
        <v>6</v>
      </c>
      <c r="H945" s="2">
        <v>6237</v>
      </c>
      <c r="I945" t="str">
        <f>VLOOKUP(Tabela2[[#This Row],[PAIS]],'[1]nome do paixs'!$A:$B,2,0)</f>
        <v>China</v>
      </c>
      <c r="J945" t="s">
        <v>11</v>
      </c>
    </row>
    <row r="946" spans="1:10">
      <c r="A946">
        <v>2023</v>
      </c>
      <c r="B946">
        <v>11</v>
      </c>
      <c r="C946">
        <v>8807</v>
      </c>
      <c r="D946">
        <v>623</v>
      </c>
      <c r="E946" t="s">
        <v>10</v>
      </c>
      <c r="F946">
        <v>3454102</v>
      </c>
      <c r="G946" s="1">
        <v>23</v>
      </c>
      <c r="H946" s="2">
        <v>159691</v>
      </c>
      <c r="I946" t="str">
        <f>VLOOKUP(Tabela2[[#This Row],[PAIS]],'[1]nome do paixs'!$A:$B,2,0)</f>
        <v>Quênia</v>
      </c>
      <c r="J946" t="s">
        <v>11</v>
      </c>
    </row>
    <row r="947" spans="1:10">
      <c r="A947">
        <v>2023</v>
      </c>
      <c r="B947">
        <v>10</v>
      </c>
      <c r="C947">
        <v>8807</v>
      </c>
      <c r="D947">
        <v>249</v>
      </c>
      <c r="E947" t="s">
        <v>10</v>
      </c>
      <c r="F947">
        <v>3454102</v>
      </c>
      <c r="G947" s="1">
        <v>543</v>
      </c>
      <c r="H947" s="2">
        <v>288372</v>
      </c>
      <c r="I947" t="str">
        <f>VLOOKUP(Tabela2[[#This Row],[PAIS]],'[1]nome do paixs'!$A:$B,2,0)</f>
        <v>Estados Unidos</v>
      </c>
      <c r="J947" t="s">
        <v>11</v>
      </c>
    </row>
    <row r="948" spans="1:10">
      <c r="A948">
        <v>2023</v>
      </c>
      <c r="B948">
        <v>4</v>
      </c>
      <c r="C948">
        <v>8807</v>
      </c>
      <c r="D948">
        <v>87</v>
      </c>
      <c r="E948" t="s">
        <v>10</v>
      </c>
      <c r="F948">
        <v>3454102</v>
      </c>
      <c r="G948" s="1">
        <v>31</v>
      </c>
      <c r="H948" s="2">
        <v>47100</v>
      </c>
      <c r="I948" t="str">
        <f>VLOOKUP(Tabela2[[#This Row],[PAIS]],'[1]nome do paixs'!$A:$B,2,0)</f>
        <v>Bélgica</v>
      </c>
      <c r="J948" t="s">
        <v>11</v>
      </c>
    </row>
    <row r="949" spans="1:10">
      <c r="A949">
        <v>2023</v>
      </c>
      <c r="B949">
        <v>11</v>
      </c>
      <c r="C949">
        <v>8807</v>
      </c>
      <c r="D949">
        <v>355</v>
      </c>
      <c r="E949" t="s">
        <v>10</v>
      </c>
      <c r="F949">
        <v>3454102</v>
      </c>
      <c r="G949" s="1">
        <v>158</v>
      </c>
      <c r="H949" s="2">
        <v>306915</v>
      </c>
      <c r="I949" t="str">
        <f>VLOOKUP(Tabela2[[#This Row],[PAIS]],'[1]nome do paixs'!$A:$B,2,0)</f>
        <v>Hungria</v>
      </c>
      <c r="J949" t="s">
        <v>11</v>
      </c>
    </row>
    <row r="950" spans="1:10">
      <c r="A950">
        <v>2023</v>
      </c>
      <c r="B950">
        <v>12</v>
      </c>
      <c r="C950">
        <v>8807</v>
      </c>
      <c r="D950">
        <v>756</v>
      </c>
      <c r="E950" t="s">
        <v>10</v>
      </c>
      <c r="F950">
        <v>3454102</v>
      </c>
      <c r="G950" s="1">
        <v>3</v>
      </c>
      <c r="H950" s="2">
        <v>8931</v>
      </c>
      <c r="I950" t="str">
        <f>VLOOKUP(Tabela2[[#This Row],[PAIS]],'[1]nome do paixs'!$A:$B,2,0)</f>
        <v>África do Sul</v>
      </c>
      <c r="J950" t="s">
        <v>11</v>
      </c>
    </row>
    <row r="951" spans="1:10">
      <c r="A951">
        <v>2023</v>
      </c>
      <c r="B951">
        <v>10</v>
      </c>
      <c r="C951">
        <v>8807</v>
      </c>
      <c r="D951">
        <v>160</v>
      </c>
      <c r="E951" t="s">
        <v>10</v>
      </c>
      <c r="F951">
        <v>3454102</v>
      </c>
      <c r="G951" s="1">
        <v>30</v>
      </c>
      <c r="H951" s="2">
        <v>24546</v>
      </c>
      <c r="I951" t="str">
        <f>VLOOKUP(Tabela2[[#This Row],[PAIS]],'[1]nome do paixs'!$A:$B,2,0)</f>
        <v>China</v>
      </c>
      <c r="J951" t="s">
        <v>11</v>
      </c>
    </row>
    <row r="952" spans="1:10">
      <c r="A952">
        <v>2023</v>
      </c>
      <c r="B952">
        <v>1</v>
      </c>
      <c r="C952">
        <v>8807</v>
      </c>
      <c r="D952">
        <v>87</v>
      </c>
      <c r="E952" t="s">
        <v>10</v>
      </c>
      <c r="F952">
        <v>3454102</v>
      </c>
      <c r="G952" s="1">
        <v>41</v>
      </c>
      <c r="H952" s="2">
        <v>49255</v>
      </c>
      <c r="I952" t="str">
        <f>VLOOKUP(Tabela2[[#This Row],[PAIS]],'[1]nome do paixs'!$A:$B,2,0)</f>
        <v>Bélgica</v>
      </c>
      <c r="J952" t="s">
        <v>11</v>
      </c>
    </row>
    <row r="953" spans="1:10">
      <c r="A953">
        <v>2023</v>
      </c>
      <c r="B953">
        <v>3</v>
      </c>
      <c r="C953">
        <v>8807</v>
      </c>
      <c r="D953">
        <v>149</v>
      </c>
      <c r="E953" t="s">
        <v>10</v>
      </c>
      <c r="F953">
        <v>3454102</v>
      </c>
      <c r="G953" s="1">
        <v>2</v>
      </c>
      <c r="H953" s="2">
        <v>4191</v>
      </c>
      <c r="I953" t="str">
        <f>VLOOKUP(Tabela2[[#This Row],[PAIS]],'[1]nome do paixs'!$A:$B,2,0)</f>
        <v>Canadá</v>
      </c>
      <c r="J953" t="s">
        <v>11</v>
      </c>
    </row>
    <row r="954" spans="1:10">
      <c r="A954">
        <v>2023</v>
      </c>
      <c r="B954">
        <v>6</v>
      </c>
      <c r="C954">
        <v>8807</v>
      </c>
      <c r="D954">
        <v>149</v>
      </c>
      <c r="E954" t="s">
        <v>10</v>
      </c>
      <c r="F954">
        <v>3454102</v>
      </c>
      <c r="G954" s="1">
        <v>1</v>
      </c>
      <c r="H954" s="2">
        <v>4823</v>
      </c>
      <c r="I954" t="str">
        <f>VLOOKUP(Tabela2[[#This Row],[PAIS]],'[1]nome do paixs'!$A:$B,2,0)</f>
        <v>Canadá</v>
      </c>
      <c r="J954" t="s">
        <v>11</v>
      </c>
    </row>
    <row r="955" spans="1:10">
      <c r="A955">
        <v>2023</v>
      </c>
      <c r="B955">
        <v>12</v>
      </c>
      <c r="C955">
        <v>8807</v>
      </c>
      <c r="D955">
        <v>160</v>
      </c>
      <c r="E955" t="s">
        <v>10</v>
      </c>
      <c r="F955">
        <v>3454102</v>
      </c>
      <c r="G955" s="1">
        <v>14</v>
      </c>
      <c r="H955" s="2">
        <v>6112</v>
      </c>
      <c r="I955" t="str">
        <f>VLOOKUP(Tabela2[[#This Row],[PAIS]],'[1]nome do paixs'!$A:$B,2,0)</f>
        <v>China</v>
      </c>
      <c r="J955" t="s">
        <v>11</v>
      </c>
    </row>
    <row r="956" spans="1:10">
      <c r="A956">
        <v>2023</v>
      </c>
      <c r="B956">
        <v>8</v>
      </c>
      <c r="C956">
        <v>8807</v>
      </c>
      <c r="D956">
        <v>628</v>
      </c>
      <c r="E956" t="s">
        <v>10</v>
      </c>
      <c r="F956">
        <v>3454102</v>
      </c>
      <c r="G956" s="1">
        <v>0</v>
      </c>
      <c r="H956" s="2">
        <v>122</v>
      </c>
      <c r="I956" t="str">
        <f>VLOOKUP(Tabela2[[#This Row],[PAIS]],'[1]nome do paixs'!$A:$B,2,0)</f>
        <v>Reino Unido</v>
      </c>
      <c r="J956" t="s">
        <v>11</v>
      </c>
    </row>
    <row r="957" spans="1:10">
      <c r="A957">
        <v>2023</v>
      </c>
      <c r="B957">
        <v>12</v>
      </c>
      <c r="C957">
        <v>8807</v>
      </c>
      <c r="D957">
        <v>149</v>
      </c>
      <c r="E957" t="s">
        <v>10</v>
      </c>
      <c r="F957">
        <v>3454102</v>
      </c>
      <c r="G957" s="1">
        <v>2</v>
      </c>
      <c r="H957" s="2">
        <v>11608</v>
      </c>
      <c r="I957" t="str">
        <f>VLOOKUP(Tabela2[[#This Row],[PAIS]],'[1]nome do paixs'!$A:$B,2,0)</f>
        <v>Canadá</v>
      </c>
      <c r="J957" t="s">
        <v>11</v>
      </c>
    </row>
    <row r="958" spans="1:10">
      <c r="A958">
        <v>2023</v>
      </c>
      <c r="B958">
        <v>3</v>
      </c>
      <c r="C958">
        <v>8807</v>
      </c>
      <c r="D958">
        <v>603</v>
      </c>
      <c r="E958" t="s">
        <v>10</v>
      </c>
      <c r="F958">
        <v>3454102</v>
      </c>
      <c r="G958" s="1">
        <v>17</v>
      </c>
      <c r="H958" s="2">
        <v>26515</v>
      </c>
      <c r="I958" t="str">
        <f>VLOOKUP(Tabela2[[#This Row],[PAIS]],'[1]nome do paixs'!$A:$B,2,0)</f>
        <v>Polônia</v>
      </c>
      <c r="J958" t="s">
        <v>11</v>
      </c>
    </row>
    <row r="959" spans="1:10">
      <c r="A959">
        <v>2023</v>
      </c>
      <c r="B959">
        <v>6</v>
      </c>
      <c r="C959">
        <v>8807</v>
      </c>
      <c r="D959">
        <v>275</v>
      </c>
      <c r="E959" t="s">
        <v>10</v>
      </c>
      <c r="F959">
        <v>3454102</v>
      </c>
      <c r="G959" s="1">
        <v>173</v>
      </c>
      <c r="H959" s="2">
        <v>202247</v>
      </c>
      <c r="I959" t="str">
        <f>VLOOKUP(Tabela2[[#This Row],[PAIS]],'[1]nome do paixs'!$A:$B,2,0)</f>
        <v>França</v>
      </c>
      <c r="J959" t="s">
        <v>11</v>
      </c>
    </row>
    <row r="960" spans="1:10">
      <c r="A960">
        <v>2023</v>
      </c>
      <c r="B960">
        <v>4</v>
      </c>
      <c r="C960">
        <v>8807</v>
      </c>
      <c r="D960">
        <v>607</v>
      </c>
      <c r="E960" t="s">
        <v>10</v>
      </c>
      <c r="F960">
        <v>3454102</v>
      </c>
      <c r="G960" s="1">
        <v>9</v>
      </c>
      <c r="H960" s="2">
        <v>14865</v>
      </c>
      <c r="I960" t="str">
        <f>VLOOKUP(Tabela2[[#This Row],[PAIS]],'[1]nome do paixs'!$A:$B,2,0)</f>
        <v>Portugal</v>
      </c>
      <c r="J960" t="s">
        <v>11</v>
      </c>
    </row>
    <row r="961" spans="1:10">
      <c r="A961">
        <v>2023</v>
      </c>
      <c r="B961">
        <v>8</v>
      </c>
      <c r="C961">
        <v>8807</v>
      </c>
      <c r="D961">
        <v>169</v>
      </c>
      <c r="E961" t="s">
        <v>10</v>
      </c>
      <c r="F961">
        <v>3454102</v>
      </c>
      <c r="G961" s="1">
        <v>0</v>
      </c>
      <c r="H961" s="2">
        <v>220</v>
      </c>
      <c r="I961" t="str">
        <f>VLOOKUP(Tabela2[[#This Row],[PAIS]],'[1]nome do paixs'!$A:$B,2,0)</f>
        <v>Colômbia</v>
      </c>
      <c r="J961" t="s">
        <v>11</v>
      </c>
    </row>
    <row r="962" spans="1:10">
      <c r="A962">
        <v>2023</v>
      </c>
      <c r="B962">
        <v>5</v>
      </c>
      <c r="C962">
        <v>8807</v>
      </c>
      <c r="D962">
        <v>87</v>
      </c>
      <c r="E962" t="s">
        <v>10</v>
      </c>
      <c r="F962">
        <v>3454102</v>
      </c>
      <c r="G962" s="1">
        <v>52</v>
      </c>
      <c r="H962" s="2">
        <v>81577</v>
      </c>
      <c r="I962" t="str">
        <f>VLOOKUP(Tabela2[[#This Row],[PAIS]],'[1]nome do paixs'!$A:$B,2,0)</f>
        <v>Bélgica</v>
      </c>
      <c r="J962" t="s">
        <v>11</v>
      </c>
    </row>
    <row r="963" spans="1:10">
      <c r="A963">
        <v>2023</v>
      </c>
      <c r="B963">
        <v>11</v>
      </c>
      <c r="C963">
        <v>8807</v>
      </c>
      <c r="D963">
        <v>246</v>
      </c>
      <c r="E963" t="s">
        <v>10</v>
      </c>
      <c r="F963">
        <v>3454102</v>
      </c>
      <c r="G963" s="1">
        <v>0</v>
      </c>
      <c r="H963" s="2">
        <v>2082</v>
      </c>
      <c r="I963" t="str">
        <f>VLOOKUP(Tabela2[[#This Row],[PAIS]],'[1]nome do paixs'!$A:$B,2,0)</f>
        <v>Eslovênia</v>
      </c>
      <c r="J963" t="s">
        <v>11</v>
      </c>
    </row>
    <row r="964" spans="1:10">
      <c r="A964">
        <v>2023</v>
      </c>
      <c r="B964">
        <v>3</v>
      </c>
      <c r="C964">
        <v>8807</v>
      </c>
      <c r="D964">
        <v>493</v>
      </c>
      <c r="E964" t="s">
        <v>10</v>
      </c>
      <c r="F964">
        <v>3454102</v>
      </c>
      <c r="G964" s="1">
        <v>2</v>
      </c>
      <c r="H964" s="2">
        <v>7978</v>
      </c>
      <c r="I964" t="str">
        <f>VLOOKUP(Tabela2[[#This Row],[PAIS]],'[1]nome do paixs'!$A:$B,2,0)</f>
        <v>México</v>
      </c>
      <c r="J964" t="s">
        <v>11</v>
      </c>
    </row>
    <row r="965" spans="1:10">
      <c r="A965">
        <v>2023</v>
      </c>
      <c r="B965">
        <v>7</v>
      </c>
      <c r="C965">
        <v>8807</v>
      </c>
      <c r="D965">
        <v>275</v>
      </c>
      <c r="E965" t="s">
        <v>10</v>
      </c>
      <c r="F965">
        <v>3454102</v>
      </c>
      <c r="G965" s="1">
        <v>199</v>
      </c>
      <c r="H965" s="2">
        <v>145130</v>
      </c>
      <c r="I965" t="str">
        <f>VLOOKUP(Tabela2[[#This Row],[PAIS]],'[1]nome do paixs'!$A:$B,2,0)</f>
        <v>França</v>
      </c>
      <c r="J965" t="s">
        <v>11</v>
      </c>
    </row>
    <row r="966" spans="1:10">
      <c r="A966">
        <v>2023</v>
      </c>
      <c r="B966">
        <v>11</v>
      </c>
      <c r="C966">
        <v>8807</v>
      </c>
      <c r="D966">
        <v>741</v>
      </c>
      <c r="E966" t="s">
        <v>10</v>
      </c>
      <c r="F966">
        <v>3454102</v>
      </c>
      <c r="G966" s="1">
        <v>3</v>
      </c>
      <c r="H966" s="2">
        <v>3153</v>
      </c>
      <c r="I966" t="str">
        <f>VLOOKUP(Tabela2[[#This Row],[PAIS]],'[1]nome do paixs'!$A:$B,2,0)</f>
        <v>Singapura</v>
      </c>
      <c r="J966" t="s">
        <v>11</v>
      </c>
    </row>
    <row r="967" spans="1:10">
      <c r="A967">
        <v>2023</v>
      </c>
      <c r="B967">
        <v>2</v>
      </c>
      <c r="C967">
        <v>8807</v>
      </c>
      <c r="D967">
        <v>756</v>
      </c>
      <c r="E967" t="s">
        <v>10</v>
      </c>
      <c r="F967">
        <v>3454102</v>
      </c>
      <c r="G967" s="1">
        <v>2</v>
      </c>
      <c r="H967" s="2">
        <v>2399</v>
      </c>
      <c r="I967" t="str">
        <f>VLOOKUP(Tabela2[[#This Row],[PAIS]],'[1]nome do paixs'!$A:$B,2,0)</f>
        <v>África do Sul</v>
      </c>
      <c r="J967" t="s">
        <v>11</v>
      </c>
    </row>
    <row r="968" spans="1:10">
      <c r="A968">
        <v>2023</v>
      </c>
      <c r="B968">
        <v>7</v>
      </c>
      <c r="C968">
        <v>8807</v>
      </c>
      <c r="D968">
        <v>741</v>
      </c>
      <c r="E968" t="s">
        <v>10</v>
      </c>
      <c r="F968">
        <v>3454102</v>
      </c>
      <c r="G968" s="1">
        <v>5</v>
      </c>
      <c r="H968" s="2">
        <v>3059</v>
      </c>
      <c r="I968" t="str">
        <f>VLOOKUP(Tabela2[[#This Row],[PAIS]],'[1]nome do paixs'!$A:$B,2,0)</f>
        <v>Singapura</v>
      </c>
      <c r="J968" t="s">
        <v>11</v>
      </c>
    </row>
    <row r="969" spans="1:10">
      <c r="A969">
        <v>2023</v>
      </c>
      <c r="B969">
        <v>2</v>
      </c>
      <c r="C969">
        <v>8807</v>
      </c>
      <c r="D969">
        <v>628</v>
      </c>
      <c r="E969" t="s">
        <v>10</v>
      </c>
      <c r="F969">
        <v>3454102</v>
      </c>
      <c r="G969" s="1">
        <v>0</v>
      </c>
      <c r="H969" s="2">
        <v>280</v>
      </c>
      <c r="I969" t="str">
        <f>VLOOKUP(Tabela2[[#This Row],[PAIS]],'[1]nome do paixs'!$A:$B,2,0)</f>
        <v>Reino Unido</v>
      </c>
      <c r="J969" t="s">
        <v>11</v>
      </c>
    </row>
    <row r="970" spans="1:10">
      <c r="A970">
        <v>2023</v>
      </c>
      <c r="B970">
        <v>6</v>
      </c>
      <c r="C970">
        <v>8807</v>
      </c>
      <c r="D970">
        <v>31</v>
      </c>
      <c r="E970" t="s">
        <v>10</v>
      </c>
      <c r="F970">
        <v>3454102</v>
      </c>
      <c r="G970" s="1">
        <v>1</v>
      </c>
      <c r="H970" s="2">
        <v>32110</v>
      </c>
      <c r="I970" t="str">
        <f>VLOOKUP(Tabela2[[#This Row],[PAIS]],'[1]nome do paixs'!$A:$B,2,0)</f>
        <v>Burkina Faso</v>
      </c>
      <c r="J970" t="s">
        <v>11</v>
      </c>
    </row>
    <row r="971" spans="1:10">
      <c r="A971">
        <v>2023</v>
      </c>
      <c r="B971">
        <v>8</v>
      </c>
      <c r="C971">
        <v>8807</v>
      </c>
      <c r="D971">
        <v>87</v>
      </c>
      <c r="E971" t="s">
        <v>10</v>
      </c>
      <c r="F971">
        <v>3454102</v>
      </c>
      <c r="G971" s="1">
        <v>12</v>
      </c>
      <c r="H971" s="2">
        <v>22389</v>
      </c>
      <c r="I971" t="str">
        <f>VLOOKUP(Tabela2[[#This Row],[PAIS]],'[1]nome do paixs'!$A:$B,2,0)</f>
        <v>Bélgica</v>
      </c>
      <c r="J971" t="s">
        <v>11</v>
      </c>
    </row>
    <row r="972" spans="1:10">
      <c r="A972">
        <v>2023</v>
      </c>
      <c r="B972">
        <v>4</v>
      </c>
      <c r="C972">
        <v>8807</v>
      </c>
      <c r="D972">
        <v>756</v>
      </c>
      <c r="E972" t="s">
        <v>10</v>
      </c>
      <c r="F972">
        <v>3454102</v>
      </c>
      <c r="G972" s="1">
        <v>1</v>
      </c>
      <c r="H972" s="2">
        <v>2333</v>
      </c>
      <c r="I972" t="str">
        <f>VLOOKUP(Tabela2[[#This Row],[PAIS]],'[1]nome do paixs'!$A:$B,2,0)</f>
        <v>África do Sul</v>
      </c>
      <c r="J972" t="s">
        <v>11</v>
      </c>
    </row>
    <row r="973" spans="1:10">
      <c r="A973">
        <v>2023</v>
      </c>
      <c r="B973">
        <v>5</v>
      </c>
      <c r="C973">
        <v>8807</v>
      </c>
      <c r="D973">
        <v>249</v>
      </c>
      <c r="E973" t="s">
        <v>10</v>
      </c>
      <c r="F973">
        <v>3454102</v>
      </c>
      <c r="G973" s="1">
        <v>521</v>
      </c>
      <c r="H973" s="2">
        <v>365167</v>
      </c>
      <c r="I973" t="str">
        <f>VLOOKUP(Tabela2[[#This Row],[PAIS]],'[1]nome do paixs'!$A:$B,2,0)</f>
        <v>Estados Unidos</v>
      </c>
      <c r="J973" t="s">
        <v>11</v>
      </c>
    </row>
    <row r="974" spans="1:10">
      <c r="A974">
        <v>2023</v>
      </c>
      <c r="B974">
        <v>1</v>
      </c>
      <c r="C974">
        <v>8807</v>
      </c>
      <c r="D974">
        <v>767</v>
      </c>
      <c r="E974" t="s">
        <v>10</v>
      </c>
      <c r="F974">
        <v>3454102</v>
      </c>
      <c r="G974" s="1">
        <v>0</v>
      </c>
      <c r="H974" s="2">
        <v>670</v>
      </c>
      <c r="I974" t="str">
        <f>VLOOKUP(Tabela2[[#This Row],[PAIS]],'[1]nome do paixs'!$A:$B,2,0)</f>
        <v>Suíça</v>
      </c>
      <c r="J974" t="s">
        <v>11</v>
      </c>
    </row>
    <row r="975" spans="1:10">
      <c r="A975">
        <v>2023</v>
      </c>
      <c r="B975">
        <v>9</v>
      </c>
      <c r="C975">
        <v>8807</v>
      </c>
      <c r="D975">
        <v>607</v>
      </c>
      <c r="E975" t="s">
        <v>10</v>
      </c>
      <c r="F975">
        <v>3454102</v>
      </c>
      <c r="G975" s="1">
        <v>0</v>
      </c>
      <c r="H975" s="2">
        <v>3827</v>
      </c>
      <c r="I975" t="str">
        <f>VLOOKUP(Tabela2[[#This Row],[PAIS]],'[1]nome do paixs'!$A:$B,2,0)</f>
        <v>Portugal</v>
      </c>
      <c r="J975" t="s">
        <v>11</v>
      </c>
    </row>
    <row r="976" spans="1:10">
      <c r="A976">
        <v>2023</v>
      </c>
      <c r="B976">
        <v>3</v>
      </c>
      <c r="C976">
        <v>8807</v>
      </c>
      <c r="D976">
        <v>69</v>
      </c>
      <c r="E976" t="s">
        <v>10</v>
      </c>
      <c r="F976">
        <v>3454102</v>
      </c>
      <c r="G976" s="1">
        <v>0</v>
      </c>
      <c r="H976" s="2">
        <v>220</v>
      </c>
      <c r="I976" t="str">
        <f>VLOOKUP(Tabela2[[#This Row],[PAIS]],'[1]nome do paixs'!$A:$B,2,0)</f>
        <v>Austrália</v>
      </c>
      <c r="J976" t="s">
        <v>11</v>
      </c>
    </row>
    <row r="977" spans="1:10">
      <c r="A977">
        <v>2023</v>
      </c>
      <c r="B977">
        <v>8</v>
      </c>
      <c r="C977">
        <v>8807</v>
      </c>
      <c r="D977">
        <v>158</v>
      </c>
      <c r="E977" t="s">
        <v>10</v>
      </c>
      <c r="F977">
        <v>3454102</v>
      </c>
      <c r="G977" s="1">
        <v>12</v>
      </c>
      <c r="H977" s="2">
        <v>25039</v>
      </c>
      <c r="I977" t="str">
        <f>VLOOKUP(Tabela2[[#This Row],[PAIS]],'[1]nome do paixs'!$A:$B,2,0)</f>
        <v>Chile</v>
      </c>
      <c r="J977" t="s">
        <v>11</v>
      </c>
    </row>
    <row r="978" spans="1:10">
      <c r="A978">
        <v>2023</v>
      </c>
      <c r="B978">
        <v>11</v>
      </c>
      <c r="C978">
        <v>8807</v>
      </c>
      <c r="D978">
        <v>169</v>
      </c>
      <c r="E978" t="s">
        <v>10</v>
      </c>
      <c r="F978">
        <v>3454102</v>
      </c>
      <c r="G978" s="1">
        <v>0</v>
      </c>
      <c r="H978" s="2">
        <v>507</v>
      </c>
      <c r="I978" t="str">
        <f>VLOOKUP(Tabela2[[#This Row],[PAIS]],'[1]nome do paixs'!$A:$B,2,0)</f>
        <v>Colômbia</v>
      </c>
      <c r="J978" t="s">
        <v>11</v>
      </c>
    </row>
    <row r="979" spans="1:10">
      <c r="A979">
        <v>2023</v>
      </c>
      <c r="B979">
        <v>8</v>
      </c>
      <c r="C979">
        <v>8807</v>
      </c>
      <c r="D979">
        <v>160</v>
      </c>
      <c r="E979" t="s">
        <v>10</v>
      </c>
      <c r="F979">
        <v>3454102</v>
      </c>
      <c r="G979" s="1">
        <v>4</v>
      </c>
      <c r="H979" s="2">
        <v>2929</v>
      </c>
      <c r="I979" t="str">
        <f>VLOOKUP(Tabela2[[#This Row],[PAIS]],'[1]nome do paixs'!$A:$B,2,0)</f>
        <v>China</v>
      </c>
      <c r="J979" t="s">
        <v>11</v>
      </c>
    </row>
    <row r="980" spans="1:10">
      <c r="A980">
        <v>2023</v>
      </c>
      <c r="B980">
        <v>1</v>
      </c>
      <c r="C980">
        <v>8807</v>
      </c>
      <c r="D980">
        <v>764</v>
      </c>
      <c r="E980" t="s">
        <v>10</v>
      </c>
      <c r="F980">
        <v>3454102</v>
      </c>
      <c r="G980" s="1">
        <v>18</v>
      </c>
      <c r="H980" s="2">
        <v>3317</v>
      </c>
      <c r="I980" t="str">
        <f>VLOOKUP(Tabela2[[#This Row],[PAIS]],'[1]nome do paixs'!$A:$B,2,0)</f>
        <v>Suécia</v>
      </c>
      <c r="J980" t="s">
        <v>11</v>
      </c>
    </row>
    <row r="981" spans="1:10">
      <c r="A981">
        <v>2023</v>
      </c>
      <c r="B981">
        <v>6</v>
      </c>
      <c r="C981">
        <v>8807</v>
      </c>
      <c r="D981">
        <v>403</v>
      </c>
      <c r="E981" t="s">
        <v>10</v>
      </c>
      <c r="F981">
        <v>3454102</v>
      </c>
      <c r="G981" s="1">
        <v>2</v>
      </c>
      <c r="H981" s="2">
        <v>3094</v>
      </c>
      <c r="I981" t="str">
        <f>VLOOKUP(Tabela2[[#This Row],[PAIS]],'[1]nome do paixs'!$A:$B,2,0)</f>
        <v>Jordânia</v>
      </c>
      <c r="J981" t="s">
        <v>11</v>
      </c>
    </row>
    <row r="982" spans="1:10">
      <c r="A982">
        <v>2023</v>
      </c>
      <c r="B982">
        <v>11</v>
      </c>
      <c r="C982">
        <v>8807</v>
      </c>
      <c r="D982">
        <v>628</v>
      </c>
      <c r="E982" t="s">
        <v>10</v>
      </c>
      <c r="F982">
        <v>3454102</v>
      </c>
      <c r="G982" s="1">
        <v>0</v>
      </c>
      <c r="H982" s="2">
        <v>143</v>
      </c>
      <c r="I982" t="str">
        <f>VLOOKUP(Tabela2[[#This Row],[PAIS]],'[1]nome do paixs'!$A:$B,2,0)</f>
        <v>Reino Unido</v>
      </c>
      <c r="J982" t="s">
        <v>11</v>
      </c>
    </row>
    <row r="983" spans="1:10">
      <c r="A983">
        <v>2023</v>
      </c>
      <c r="B983">
        <v>2</v>
      </c>
      <c r="C983">
        <v>8807</v>
      </c>
      <c r="D983">
        <v>87</v>
      </c>
      <c r="E983" t="s">
        <v>10</v>
      </c>
      <c r="F983">
        <v>3454102</v>
      </c>
      <c r="G983" s="1">
        <v>8</v>
      </c>
      <c r="H983" s="2">
        <v>22876</v>
      </c>
      <c r="I983" t="str">
        <f>VLOOKUP(Tabela2[[#This Row],[PAIS]],'[1]nome do paixs'!$A:$B,2,0)</f>
        <v>Bélgica</v>
      </c>
      <c r="J983" t="s">
        <v>11</v>
      </c>
    </row>
    <row r="984" spans="1:10">
      <c r="A984">
        <v>2023</v>
      </c>
      <c r="B984">
        <v>1</v>
      </c>
      <c r="C984">
        <v>8807</v>
      </c>
      <c r="D984">
        <v>399</v>
      </c>
      <c r="E984" t="s">
        <v>10</v>
      </c>
      <c r="F984">
        <v>3454102</v>
      </c>
      <c r="G984" s="1">
        <v>0</v>
      </c>
      <c r="H984" s="2">
        <v>312</v>
      </c>
      <c r="I984" t="str">
        <f>VLOOKUP(Tabela2[[#This Row],[PAIS]],'[1]nome do paixs'!$A:$B,2,0)</f>
        <v>Japão</v>
      </c>
      <c r="J984" t="s">
        <v>11</v>
      </c>
    </row>
    <row r="985" spans="1:10">
      <c r="A985">
        <v>2023</v>
      </c>
      <c r="B985">
        <v>1</v>
      </c>
      <c r="C985">
        <v>8807</v>
      </c>
      <c r="D985">
        <v>247</v>
      </c>
      <c r="E985" t="s">
        <v>10</v>
      </c>
      <c r="F985">
        <v>3454102</v>
      </c>
      <c r="G985" s="1">
        <v>0</v>
      </c>
      <c r="H985" s="2">
        <v>267</v>
      </c>
      <c r="I985" t="str">
        <f>VLOOKUP(Tabela2[[#This Row],[PAIS]],'[1]nome do paixs'!$A:$B,2,0)</f>
        <v>Eslováquia</v>
      </c>
      <c r="J985" t="s">
        <v>11</v>
      </c>
    </row>
    <row r="986" spans="1:10">
      <c r="A986">
        <v>2023</v>
      </c>
      <c r="B986">
        <v>7</v>
      </c>
      <c r="C986">
        <v>8807</v>
      </c>
      <c r="D986">
        <v>493</v>
      </c>
      <c r="E986" t="s">
        <v>10</v>
      </c>
      <c r="F986">
        <v>3454102</v>
      </c>
      <c r="G986" s="1">
        <v>0</v>
      </c>
      <c r="H986" s="2">
        <v>299</v>
      </c>
      <c r="I986" t="str">
        <f>VLOOKUP(Tabela2[[#This Row],[PAIS]],'[1]nome do paixs'!$A:$B,2,0)</f>
        <v>México</v>
      </c>
      <c r="J986" t="s">
        <v>11</v>
      </c>
    </row>
    <row r="987" spans="1:10">
      <c r="A987">
        <v>2023</v>
      </c>
      <c r="B987">
        <v>5</v>
      </c>
      <c r="C987">
        <v>8807</v>
      </c>
      <c r="D987">
        <v>493</v>
      </c>
      <c r="E987" t="s">
        <v>10</v>
      </c>
      <c r="F987">
        <v>3454102</v>
      </c>
      <c r="G987" s="1">
        <v>1</v>
      </c>
      <c r="H987" s="2">
        <v>9625</v>
      </c>
      <c r="I987" t="str">
        <f>VLOOKUP(Tabela2[[#This Row],[PAIS]],'[1]nome do paixs'!$A:$B,2,0)</f>
        <v>México</v>
      </c>
      <c r="J987" t="s">
        <v>11</v>
      </c>
    </row>
    <row r="988" spans="1:10">
      <c r="A988">
        <v>2023</v>
      </c>
      <c r="B988">
        <v>1</v>
      </c>
      <c r="C988">
        <v>8807</v>
      </c>
      <c r="D988">
        <v>249</v>
      </c>
      <c r="E988" t="s">
        <v>10</v>
      </c>
      <c r="F988">
        <v>3454102</v>
      </c>
      <c r="G988" s="1">
        <v>552</v>
      </c>
      <c r="H988" s="2">
        <v>438527</v>
      </c>
      <c r="I988" t="str">
        <f>VLOOKUP(Tabela2[[#This Row],[PAIS]],'[1]nome do paixs'!$A:$B,2,0)</f>
        <v>Estados Unidos</v>
      </c>
      <c r="J988" t="s">
        <v>11</v>
      </c>
    </row>
    <row r="989" spans="1:10">
      <c r="A989">
        <v>2023</v>
      </c>
      <c r="B989">
        <v>10</v>
      </c>
      <c r="C989">
        <v>8807</v>
      </c>
      <c r="D989">
        <v>247</v>
      </c>
      <c r="E989" t="s">
        <v>10</v>
      </c>
      <c r="F989">
        <v>3454102</v>
      </c>
      <c r="G989" s="1">
        <v>2</v>
      </c>
      <c r="H989" s="2">
        <v>474</v>
      </c>
      <c r="I989" t="str">
        <f>VLOOKUP(Tabela2[[#This Row],[PAIS]],'[1]nome do paixs'!$A:$B,2,0)</f>
        <v>Eslováquia</v>
      </c>
      <c r="J989" t="s">
        <v>11</v>
      </c>
    </row>
    <row r="990" spans="1:10">
      <c r="A990">
        <v>2023</v>
      </c>
      <c r="B990">
        <v>4</v>
      </c>
      <c r="C990">
        <v>8807</v>
      </c>
      <c r="D990">
        <v>493</v>
      </c>
      <c r="E990" t="s">
        <v>10</v>
      </c>
      <c r="F990">
        <v>3454102</v>
      </c>
      <c r="G990" s="1">
        <v>4</v>
      </c>
      <c r="H990" s="2">
        <v>3474</v>
      </c>
      <c r="I990" t="str">
        <f>VLOOKUP(Tabela2[[#This Row],[PAIS]],'[1]nome do paixs'!$A:$B,2,0)</f>
        <v>México</v>
      </c>
      <c r="J990" t="s">
        <v>11</v>
      </c>
    </row>
    <row r="991" spans="1:10">
      <c r="A991">
        <v>2023</v>
      </c>
      <c r="B991">
        <v>8</v>
      </c>
      <c r="C991">
        <v>8807</v>
      </c>
      <c r="D991">
        <v>756</v>
      </c>
      <c r="E991" t="s">
        <v>10</v>
      </c>
      <c r="F991">
        <v>3454102</v>
      </c>
      <c r="G991" s="1">
        <v>3</v>
      </c>
      <c r="H991" s="2">
        <v>6486</v>
      </c>
      <c r="I991" t="str">
        <f>VLOOKUP(Tabela2[[#This Row],[PAIS]],'[1]nome do paixs'!$A:$B,2,0)</f>
        <v>África do Sul</v>
      </c>
      <c r="J991" t="s">
        <v>11</v>
      </c>
    </row>
    <row r="992" spans="1:10">
      <c r="A992">
        <v>2023</v>
      </c>
      <c r="B992">
        <v>9</v>
      </c>
      <c r="C992">
        <v>8807</v>
      </c>
      <c r="D992">
        <v>69</v>
      </c>
      <c r="E992" t="s">
        <v>10</v>
      </c>
      <c r="F992">
        <v>3454102</v>
      </c>
      <c r="G992" s="1">
        <v>3</v>
      </c>
      <c r="H992" s="2">
        <v>11492</v>
      </c>
      <c r="I992" t="str">
        <f>VLOOKUP(Tabela2[[#This Row],[PAIS]],'[1]nome do paixs'!$A:$B,2,0)</f>
        <v>Austrália</v>
      </c>
      <c r="J992" t="s">
        <v>11</v>
      </c>
    </row>
    <row r="993" spans="1:10">
      <c r="A993">
        <v>2023</v>
      </c>
      <c r="B993">
        <v>4</v>
      </c>
      <c r="C993">
        <v>8807</v>
      </c>
      <c r="D993">
        <v>741</v>
      </c>
      <c r="E993" t="s">
        <v>10</v>
      </c>
      <c r="F993">
        <v>3454102</v>
      </c>
      <c r="G993" s="1">
        <v>1</v>
      </c>
      <c r="H993" s="2">
        <v>2753</v>
      </c>
      <c r="I993" t="str">
        <f>VLOOKUP(Tabela2[[#This Row],[PAIS]],'[1]nome do paixs'!$A:$B,2,0)</f>
        <v>Singapura</v>
      </c>
      <c r="J993" t="s">
        <v>11</v>
      </c>
    </row>
    <row r="994" spans="1:10">
      <c r="A994">
        <v>2023</v>
      </c>
      <c r="B994">
        <v>5</v>
      </c>
      <c r="C994">
        <v>8807</v>
      </c>
      <c r="D994">
        <v>741</v>
      </c>
      <c r="E994" t="s">
        <v>10</v>
      </c>
      <c r="F994">
        <v>3449904</v>
      </c>
      <c r="G994" s="1">
        <v>2</v>
      </c>
      <c r="H994" s="2">
        <v>2149</v>
      </c>
      <c r="I994" t="str">
        <f>VLOOKUP(Tabela2[[#This Row],[PAIS]],'[1]nome do paixs'!$A:$B,2,0)</f>
        <v>Singapura</v>
      </c>
      <c r="J994" t="s">
        <v>12</v>
      </c>
    </row>
    <row r="995" spans="1:10">
      <c r="A995">
        <v>2023</v>
      </c>
      <c r="B995">
        <v>3</v>
      </c>
      <c r="C995">
        <v>8807</v>
      </c>
      <c r="D995">
        <v>399</v>
      </c>
      <c r="E995" t="s">
        <v>10</v>
      </c>
      <c r="F995">
        <v>3449904</v>
      </c>
      <c r="G995" s="1">
        <v>9</v>
      </c>
      <c r="H995" s="2">
        <v>24080</v>
      </c>
      <c r="I995" t="str">
        <f>VLOOKUP(Tabela2[[#This Row],[PAIS]],'[1]nome do paixs'!$A:$B,2,0)</f>
        <v>Japão</v>
      </c>
      <c r="J995" t="s">
        <v>12</v>
      </c>
    </row>
    <row r="996" spans="1:10">
      <c r="A996">
        <v>2023</v>
      </c>
      <c r="B996">
        <v>3</v>
      </c>
      <c r="C996">
        <v>8807</v>
      </c>
      <c r="D996">
        <v>275</v>
      </c>
      <c r="E996" t="s">
        <v>10</v>
      </c>
      <c r="F996">
        <v>3449904</v>
      </c>
      <c r="G996" s="1">
        <v>257</v>
      </c>
      <c r="H996" s="2">
        <v>192621</v>
      </c>
      <c r="I996" t="str">
        <f>VLOOKUP(Tabela2[[#This Row],[PAIS]],'[1]nome do paixs'!$A:$B,2,0)</f>
        <v>França</v>
      </c>
      <c r="J996" t="s">
        <v>12</v>
      </c>
    </row>
    <row r="997" spans="1:10">
      <c r="A997">
        <v>2023</v>
      </c>
      <c r="B997">
        <v>1</v>
      </c>
      <c r="C997">
        <v>8807</v>
      </c>
      <c r="D997">
        <v>249</v>
      </c>
      <c r="E997" t="s">
        <v>10</v>
      </c>
      <c r="F997">
        <v>3449904</v>
      </c>
      <c r="G997" s="1">
        <v>6133</v>
      </c>
      <c r="H997" s="2">
        <v>3470861</v>
      </c>
      <c r="I997" t="str">
        <f>VLOOKUP(Tabela2[[#This Row],[PAIS]],'[1]nome do paixs'!$A:$B,2,0)</f>
        <v>Estados Unidos</v>
      </c>
      <c r="J997" t="s">
        <v>12</v>
      </c>
    </row>
    <row r="998" spans="1:10">
      <c r="A998">
        <v>2023</v>
      </c>
      <c r="B998">
        <v>6</v>
      </c>
      <c r="C998">
        <v>8807</v>
      </c>
      <c r="D998">
        <v>87</v>
      </c>
      <c r="E998" t="s">
        <v>10</v>
      </c>
      <c r="F998">
        <v>3449904</v>
      </c>
      <c r="G998" s="1">
        <v>6633</v>
      </c>
      <c r="H998" s="2">
        <v>4112497</v>
      </c>
      <c r="I998" t="str">
        <f>VLOOKUP(Tabela2[[#This Row],[PAIS]],'[1]nome do paixs'!$A:$B,2,0)</f>
        <v>Bélgica</v>
      </c>
      <c r="J998" t="s">
        <v>12</v>
      </c>
    </row>
    <row r="999" spans="1:10">
      <c r="A999">
        <v>2023</v>
      </c>
      <c r="B999">
        <v>7</v>
      </c>
      <c r="C999">
        <v>8807</v>
      </c>
      <c r="D999">
        <v>375</v>
      </c>
      <c r="E999" t="s">
        <v>10</v>
      </c>
      <c r="F999">
        <v>3449904</v>
      </c>
      <c r="G999" s="1">
        <v>22</v>
      </c>
      <c r="H999" s="2">
        <v>4026</v>
      </c>
      <c r="I999" t="str">
        <f>VLOOKUP(Tabela2[[#This Row],[PAIS]],'[1]nome do paixs'!$A:$B,2,0)</f>
        <v>Irlanda</v>
      </c>
      <c r="J999" t="s">
        <v>12</v>
      </c>
    </row>
    <row r="1000" spans="1:10">
      <c r="A1000">
        <v>2023</v>
      </c>
      <c r="B1000">
        <v>6</v>
      </c>
      <c r="C1000">
        <v>8807</v>
      </c>
      <c r="D1000">
        <v>607</v>
      </c>
      <c r="E1000" t="s">
        <v>10</v>
      </c>
      <c r="F1000">
        <v>3449904</v>
      </c>
      <c r="G1000" s="1">
        <v>88</v>
      </c>
      <c r="H1000" s="2">
        <v>88264</v>
      </c>
      <c r="I1000" t="str">
        <f>VLOOKUP(Tabela2[[#This Row],[PAIS]],'[1]nome do paixs'!$A:$B,2,0)</f>
        <v>Portugal</v>
      </c>
      <c r="J1000" t="s">
        <v>12</v>
      </c>
    </row>
    <row r="1001" spans="1:10">
      <c r="A1001">
        <v>2023</v>
      </c>
      <c r="B1001">
        <v>1</v>
      </c>
      <c r="C1001">
        <v>8807</v>
      </c>
      <c r="D1001">
        <v>23</v>
      </c>
      <c r="E1001" t="s">
        <v>10</v>
      </c>
      <c r="F1001">
        <v>3449904</v>
      </c>
      <c r="G1001" s="1">
        <v>354</v>
      </c>
      <c r="H1001" s="2">
        <v>380531</v>
      </c>
      <c r="I1001" t="str">
        <f>VLOOKUP(Tabela2[[#This Row],[PAIS]],'[1]nome do paixs'!$A:$B,2,0)</f>
        <v>Alemanha</v>
      </c>
      <c r="J1001" t="s">
        <v>12</v>
      </c>
    </row>
    <row r="1002" spans="1:10">
      <c r="A1002">
        <v>2023</v>
      </c>
      <c r="B1002">
        <v>5</v>
      </c>
      <c r="C1002">
        <v>8807</v>
      </c>
      <c r="D1002">
        <v>244</v>
      </c>
      <c r="E1002" t="s">
        <v>10</v>
      </c>
      <c r="F1002">
        <v>3449904</v>
      </c>
      <c r="G1002" s="1">
        <v>530</v>
      </c>
      <c r="H1002" s="2">
        <v>75038</v>
      </c>
      <c r="I1002" t="str">
        <f>VLOOKUP(Tabela2[[#This Row],[PAIS]],'[1]nome do paixs'!$A:$B,2,0)</f>
        <v>Emirados Árabes Unidos</v>
      </c>
      <c r="J1002" t="s">
        <v>12</v>
      </c>
    </row>
    <row r="1003" spans="1:10">
      <c r="A1003">
        <v>2023</v>
      </c>
      <c r="B1003">
        <v>7</v>
      </c>
      <c r="C1003">
        <v>8807</v>
      </c>
      <c r="D1003">
        <v>87</v>
      </c>
      <c r="E1003" t="s">
        <v>10</v>
      </c>
      <c r="F1003">
        <v>3449904</v>
      </c>
      <c r="G1003" s="1">
        <v>9123</v>
      </c>
      <c r="H1003" s="2">
        <v>4684665</v>
      </c>
      <c r="I1003" t="str">
        <f>VLOOKUP(Tabela2[[#This Row],[PAIS]],'[1]nome do paixs'!$A:$B,2,0)</f>
        <v>Bélgica</v>
      </c>
      <c r="J1003" t="s">
        <v>12</v>
      </c>
    </row>
    <row r="1004" spans="1:10">
      <c r="A1004">
        <v>2023</v>
      </c>
      <c r="B1004">
        <v>6</v>
      </c>
      <c r="C1004">
        <v>8807</v>
      </c>
      <c r="D1004">
        <v>528</v>
      </c>
      <c r="E1004" t="s">
        <v>10</v>
      </c>
      <c r="F1004">
        <v>3449904</v>
      </c>
      <c r="G1004" s="1">
        <v>3</v>
      </c>
      <c r="H1004" s="2">
        <v>17888</v>
      </c>
      <c r="I1004" t="str">
        <f>VLOOKUP(Tabela2[[#This Row],[PAIS]],'[1]nome do paixs'!$A:$B,2,0)</f>
        <v>Nigéria</v>
      </c>
      <c r="J1004" t="s">
        <v>12</v>
      </c>
    </row>
    <row r="1005" spans="1:10">
      <c r="A1005">
        <v>2023</v>
      </c>
      <c r="B1005">
        <v>11</v>
      </c>
      <c r="C1005">
        <v>8807</v>
      </c>
      <c r="D1005">
        <v>87</v>
      </c>
      <c r="E1005" t="s">
        <v>10</v>
      </c>
      <c r="F1005">
        <v>3449904</v>
      </c>
      <c r="G1005" s="1">
        <v>7306</v>
      </c>
      <c r="H1005" s="2">
        <v>3339440</v>
      </c>
      <c r="I1005" t="str">
        <f>VLOOKUP(Tabela2[[#This Row],[PAIS]],'[1]nome do paixs'!$A:$B,2,0)</f>
        <v>Bélgica</v>
      </c>
      <c r="J1005" t="s">
        <v>12</v>
      </c>
    </row>
    <row r="1006" spans="1:10">
      <c r="A1006">
        <v>2023</v>
      </c>
      <c r="B1006">
        <v>9</v>
      </c>
      <c r="C1006">
        <v>8807</v>
      </c>
      <c r="D1006">
        <v>69</v>
      </c>
      <c r="E1006" t="s">
        <v>10</v>
      </c>
      <c r="F1006">
        <v>3449904</v>
      </c>
      <c r="G1006" s="1">
        <v>26</v>
      </c>
      <c r="H1006" s="2">
        <v>18154</v>
      </c>
      <c r="I1006" t="str">
        <f>VLOOKUP(Tabela2[[#This Row],[PAIS]],'[1]nome do paixs'!$A:$B,2,0)</f>
        <v>Austrália</v>
      </c>
      <c r="J1006" t="s">
        <v>12</v>
      </c>
    </row>
    <row r="1007" spans="1:10">
      <c r="A1007">
        <v>2023</v>
      </c>
      <c r="B1007">
        <v>12</v>
      </c>
      <c r="C1007">
        <v>8807</v>
      </c>
      <c r="D1007">
        <v>607</v>
      </c>
      <c r="E1007" t="s">
        <v>10</v>
      </c>
      <c r="F1007">
        <v>3449904</v>
      </c>
      <c r="G1007" s="1">
        <v>83</v>
      </c>
      <c r="H1007" s="2">
        <v>95825</v>
      </c>
      <c r="I1007" t="str">
        <f>VLOOKUP(Tabela2[[#This Row],[PAIS]],'[1]nome do paixs'!$A:$B,2,0)</f>
        <v>Portugal</v>
      </c>
      <c r="J1007" t="s">
        <v>12</v>
      </c>
    </row>
    <row r="1008" spans="1:10">
      <c r="A1008">
        <v>2023</v>
      </c>
      <c r="B1008">
        <v>5</v>
      </c>
      <c r="C1008">
        <v>8807</v>
      </c>
      <c r="D1008">
        <v>399</v>
      </c>
      <c r="E1008" t="s">
        <v>10</v>
      </c>
      <c r="F1008">
        <v>3449904</v>
      </c>
      <c r="G1008" s="1">
        <v>5</v>
      </c>
      <c r="H1008" s="2">
        <v>12966</v>
      </c>
      <c r="I1008" t="str">
        <f>VLOOKUP(Tabela2[[#This Row],[PAIS]],'[1]nome do paixs'!$A:$B,2,0)</f>
        <v>Japão</v>
      </c>
      <c r="J1008" t="s">
        <v>12</v>
      </c>
    </row>
    <row r="1009" spans="1:10">
      <c r="A1009">
        <v>2023</v>
      </c>
      <c r="B1009">
        <v>12</v>
      </c>
      <c r="C1009">
        <v>8807</v>
      </c>
      <c r="D1009">
        <v>756</v>
      </c>
      <c r="E1009" t="s">
        <v>10</v>
      </c>
      <c r="F1009">
        <v>3449904</v>
      </c>
      <c r="G1009" s="1">
        <v>3</v>
      </c>
      <c r="H1009" s="2">
        <v>71242</v>
      </c>
      <c r="I1009" t="str">
        <f>VLOOKUP(Tabela2[[#This Row],[PAIS]],'[1]nome do paixs'!$A:$B,2,0)</f>
        <v>África do Sul</v>
      </c>
      <c r="J1009" t="s">
        <v>12</v>
      </c>
    </row>
    <row r="1010" spans="1:10">
      <c r="A1010">
        <v>2023</v>
      </c>
      <c r="B1010">
        <v>12</v>
      </c>
      <c r="C1010">
        <v>8807</v>
      </c>
      <c r="D1010">
        <v>603</v>
      </c>
      <c r="E1010" t="s">
        <v>10</v>
      </c>
      <c r="F1010">
        <v>3449904</v>
      </c>
      <c r="G1010" s="1">
        <v>6</v>
      </c>
      <c r="H1010" s="2">
        <v>131018</v>
      </c>
      <c r="I1010" t="str">
        <f>VLOOKUP(Tabela2[[#This Row],[PAIS]],'[1]nome do paixs'!$A:$B,2,0)</f>
        <v>Polônia</v>
      </c>
      <c r="J1010" t="s">
        <v>12</v>
      </c>
    </row>
    <row r="1011" spans="1:10">
      <c r="A1011">
        <v>2023</v>
      </c>
      <c r="B1011">
        <v>4</v>
      </c>
      <c r="C1011">
        <v>8807</v>
      </c>
      <c r="D1011">
        <v>603</v>
      </c>
      <c r="E1011" t="s">
        <v>10</v>
      </c>
      <c r="F1011">
        <v>3449904</v>
      </c>
      <c r="G1011" s="1">
        <v>0</v>
      </c>
      <c r="H1011" s="2">
        <v>209</v>
      </c>
      <c r="I1011" t="str">
        <f>VLOOKUP(Tabela2[[#This Row],[PAIS]],'[1]nome do paixs'!$A:$B,2,0)</f>
        <v>Polônia</v>
      </c>
      <c r="J1011" t="s">
        <v>12</v>
      </c>
    </row>
    <row r="1012" spans="1:10">
      <c r="A1012">
        <v>2023</v>
      </c>
      <c r="B1012">
        <v>2</v>
      </c>
      <c r="C1012">
        <v>8807</v>
      </c>
      <c r="D1012">
        <v>603</v>
      </c>
      <c r="E1012" t="s">
        <v>10</v>
      </c>
      <c r="F1012">
        <v>3449904</v>
      </c>
      <c r="G1012" s="1">
        <v>24</v>
      </c>
      <c r="H1012" s="2">
        <v>11759</v>
      </c>
      <c r="I1012" t="str">
        <f>VLOOKUP(Tabela2[[#This Row],[PAIS]],'[1]nome do paixs'!$A:$B,2,0)</f>
        <v>Polônia</v>
      </c>
      <c r="J1012" t="s">
        <v>12</v>
      </c>
    </row>
    <row r="1013" spans="1:10">
      <c r="A1013">
        <v>2023</v>
      </c>
      <c r="B1013">
        <v>3</v>
      </c>
      <c r="C1013">
        <v>8807</v>
      </c>
      <c r="D1013">
        <v>607</v>
      </c>
      <c r="E1013" t="s">
        <v>10</v>
      </c>
      <c r="F1013">
        <v>3449904</v>
      </c>
      <c r="G1013" s="1">
        <v>77</v>
      </c>
      <c r="H1013" s="2">
        <v>81770</v>
      </c>
      <c r="I1013" t="str">
        <f>VLOOKUP(Tabela2[[#This Row],[PAIS]],'[1]nome do paixs'!$A:$B,2,0)</f>
        <v>Portugal</v>
      </c>
      <c r="J1013" t="s">
        <v>12</v>
      </c>
    </row>
    <row r="1014" spans="1:10">
      <c r="A1014">
        <v>2023</v>
      </c>
      <c r="B1014">
        <v>12</v>
      </c>
      <c r="C1014">
        <v>8807</v>
      </c>
      <c r="D1014">
        <v>528</v>
      </c>
      <c r="E1014" t="s">
        <v>10</v>
      </c>
      <c r="F1014">
        <v>3449904</v>
      </c>
      <c r="G1014" s="1">
        <v>6</v>
      </c>
      <c r="H1014" s="2">
        <v>9945</v>
      </c>
      <c r="I1014" t="str">
        <f>VLOOKUP(Tabela2[[#This Row],[PAIS]],'[1]nome do paixs'!$A:$B,2,0)</f>
        <v>Nigéria</v>
      </c>
      <c r="J1014" t="s">
        <v>12</v>
      </c>
    </row>
    <row r="1015" spans="1:10">
      <c r="A1015">
        <v>2023</v>
      </c>
      <c r="B1015">
        <v>6</v>
      </c>
      <c r="C1015">
        <v>8807</v>
      </c>
      <c r="D1015">
        <v>69</v>
      </c>
      <c r="E1015" t="s">
        <v>10</v>
      </c>
      <c r="F1015">
        <v>3449904</v>
      </c>
      <c r="G1015" s="1">
        <v>135</v>
      </c>
      <c r="H1015" s="2">
        <v>1346919</v>
      </c>
      <c r="I1015" t="str">
        <f>VLOOKUP(Tabela2[[#This Row],[PAIS]],'[1]nome do paixs'!$A:$B,2,0)</f>
        <v>Austrália</v>
      </c>
      <c r="J1015" t="s">
        <v>12</v>
      </c>
    </row>
    <row r="1016" spans="1:10">
      <c r="A1016">
        <v>2023</v>
      </c>
      <c r="B1016">
        <v>1</v>
      </c>
      <c r="C1016">
        <v>8807</v>
      </c>
      <c r="D1016">
        <v>275</v>
      </c>
      <c r="E1016" t="s">
        <v>10</v>
      </c>
      <c r="F1016">
        <v>3449904</v>
      </c>
      <c r="G1016" s="1">
        <v>476</v>
      </c>
      <c r="H1016" s="2">
        <v>695457</v>
      </c>
      <c r="I1016" t="str">
        <f>VLOOKUP(Tabela2[[#This Row],[PAIS]],'[1]nome do paixs'!$A:$B,2,0)</f>
        <v>França</v>
      </c>
      <c r="J1016" t="s">
        <v>12</v>
      </c>
    </row>
    <row r="1017" spans="1:10">
      <c r="A1017">
        <v>2023</v>
      </c>
      <c r="B1017">
        <v>6</v>
      </c>
      <c r="C1017">
        <v>8807</v>
      </c>
      <c r="D1017">
        <v>63</v>
      </c>
      <c r="E1017" t="s">
        <v>10</v>
      </c>
      <c r="F1017">
        <v>3449904</v>
      </c>
      <c r="G1017" s="1">
        <v>0</v>
      </c>
      <c r="H1017" s="2">
        <v>483</v>
      </c>
      <c r="I1017" t="str">
        <f>VLOOKUP(Tabela2[[#This Row],[PAIS]],'[1]nome do paixs'!$A:$B,2,0)</f>
        <v>Argentina</v>
      </c>
      <c r="J1017" t="s">
        <v>12</v>
      </c>
    </row>
    <row r="1018" spans="1:10">
      <c r="A1018">
        <v>2023</v>
      </c>
      <c r="B1018">
        <v>10</v>
      </c>
      <c r="C1018">
        <v>8807</v>
      </c>
      <c r="D1018">
        <v>628</v>
      </c>
      <c r="E1018" t="s">
        <v>10</v>
      </c>
      <c r="F1018">
        <v>3449904</v>
      </c>
      <c r="G1018" s="1">
        <v>1622</v>
      </c>
      <c r="H1018" s="2">
        <v>516821</v>
      </c>
      <c r="I1018" t="str">
        <f>VLOOKUP(Tabela2[[#This Row],[PAIS]],'[1]nome do paixs'!$A:$B,2,0)</f>
        <v>Reino Unido</v>
      </c>
      <c r="J1018" t="s">
        <v>12</v>
      </c>
    </row>
    <row r="1019" spans="1:10">
      <c r="A1019">
        <v>2023</v>
      </c>
      <c r="B1019">
        <v>8</v>
      </c>
      <c r="C1019">
        <v>8807</v>
      </c>
      <c r="D1019">
        <v>69</v>
      </c>
      <c r="E1019" t="s">
        <v>10</v>
      </c>
      <c r="F1019">
        <v>3449904</v>
      </c>
      <c r="G1019" s="1">
        <v>1</v>
      </c>
      <c r="H1019" s="2">
        <v>6205</v>
      </c>
      <c r="I1019" t="str">
        <f>VLOOKUP(Tabela2[[#This Row],[PAIS]],'[1]nome do paixs'!$A:$B,2,0)</f>
        <v>Austrália</v>
      </c>
      <c r="J1019" t="s">
        <v>12</v>
      </c>
    </row>
    <row r="1020" spans="1:10">
      <c r="A1020">
        <v>2023</v>
      </c>
      <c r="B1020">
        <v>5</v>
      </c>
      <c r="C1020">
        <v>8807</v>
      </c>
      <c r="D1020">
        <v>87</v>
      </c>
      <c r="E1020" t="s">
        <v>10</v>
      </c>
      <c r="F1020">
        <v>3449904</v>
      </c>
      <c r="G1020" s="1">
        <v>7608</v>
      </c>
      <c r="H1020" s="2">
        <v>4164431</v>
      </c>
      <c r="I1020" t="str">
        <f>VLOOKUP(Tabela2[[#This Row],[PAIS]],'[1]nome do paixs'!$A:$B,2,0)</f>
        <v>Bélgica</v>
      </c>
      <c r="J1020" t="s">
        <v>12</v>
      </c>
    </row>
    <row r="1021" spans="1:10">
      <c r="A1021">
        <v>2023</v>
      </c>
      <c r="B1021">
        <v>7</v>
      </c>
      <c r="C1021">
        <v>8807</v>
      </c>
      <c r="D1021">
        <v>628</v>
      </c>
      <c r="E1021" t="s">
        <v>10</v>
      </c>
      <c r="F1021">
        <v>3449904</v>
      </c>
      <c r="G1021" s="1">
        <v>1952</v>
      </c>
      <c r="H1021" s="2">
        <v>692994</v>
      </c>
      <c r="I1021" t="str">
        <f>VLOOKUP(Tabela2[[#This Row],[PAIS]],'[1]nome do paixs'!$A:$B,2,0)</f>
        <v>Reino Unido</v>
      </c>
      <c r="J1021" t="s">
        <v>12</v>
      </c>
    </row>
    <row r="1022" spans="1:10">
      <c r="A1022">
        <v>2023</v>
      </c>
      <c r="B1022">
        <v>9</v>
      </c>
      <c r="C1022">
        <v>8807</v>
      </c>
      <c r="D1022">
        <v>158</v>
      </c>
      <c r="E1022" t="s">
        <v>10</v>
      </c>
      <c r="F1022">
        <v>3449904</v>
      </c>
      <c r="G1022" s="1">
        <v>3</v>
      </c>
      <c r="H1022" s="2">
        <v>33003</v>
      </c>
      <c r="I1022" t="str">
        <f>VLOOKUP(Tabela2[[#This Row],[PAIS]],'[1]nome do paixs'!$A:$B,2,0)</f>
        <v>Chile</v>
      </c>
      <c r="J1022" t="s">
        <v>12</v>
      </c>
    </row>
    <row r="1023" spans="1:10">
      <c r="A1023">
        <v>2023</v>
      </c>
      <c r="B1023">
        <v>10</v>
      </c>
      <c r="C1023">
        <v>8807</v>
      </c>
      <c r="D1023">
        <v>149</v>
      </c>
      <c r="E1023" t="s">
        <v>10</v>
      </c>
      <c r="F1023">
        <v>3449904</v>
      </c>
      <c r="G1023" s="1">
        <v>9</v>
      </c>
      <c r="H1023" s="2">
        <v>9466</v>
      </c>
      <c r="I1023" t="str">
        <f>VLOOKUP(Tabela2[[#This Row],[PAIS]],'[1]nome do paixs'!$A:$B,2,0)</f>
        <v>Canadá</v>
      </c>
      <c r="J1023" t="s">
        <v>12</v>
      </c>
    </row>
    <row r="1024" spans="1:10">
      <c r="A1024">
        <v>2023</v>
      </c>
      <c r="B1024">
        <v>11</v>
      </c>
      <c r="C1024">
        <v>8807</v>
      </c>
      <c r="D1024">
        <v>607</v>
      </c>
      <c r="E1024" t="s">
        <v>10</v>
      </c>
      <c r="F1024">
        <v>3449904</v>
      </c>
      <c r="G1024" s="1">
        <v>111</v>
      </c>
      <c r="H1024" s="2">
        <v>138365</v>
      </c>
      <c r="I1024" t="str">
        <f>VLOOKUP(Tabela2[[#This Row],[PAIS]],'[1]nome do paixs'!$A:$B,2,0)</f>
        <v>Portugal</v>
      </c>
      <c r="J1024" t="s">
        <v>12</v>
      </c>
    </row>
    <row r="1025" spans="1:10">
      <c r="A1025">
        <v>2023</v>
      </c>
      <c r="B1025">
        <v>5</v>
      </c>
      <c r="C1025">
        <v>8807</v>
      </c>
      <c r="D1025">
        <v>69</v>
      </c>
      <c r="E1025" t="s">
        <v>10</v>
      </c>
      <c r="F1025">
        <v>3449904</v>
      </c>
      <c r="G1025" s="1">
        <v>1</v>
      </c>
      <c r="H1025" s="2">
        <v>7217</v>
      </c>
      <c r="I1025" t="str">
        <f>VLOOKUP(Tabela2[[#This Row],[PAIS]],'[1]nome do paixs'!$A:$B,2,0)</f>
        <v>Austrália</v>
      </c>
      <c r="J1025" t="s">
        <v>12</v>
      </c>
    </row>
    <row r="1026" spans="1:10">
      <c r="A1026">
        <v>2023</v>
      </c>
      <c r="B1026">
        <v>2</v>
      </c>
      <c r="C1026">
        <v>8807</v>
      </c>
      <c r="D1026">
        <v>158</v>
      </c>
      <c r="E1026" t="s">
        <v>10</v>
      </c>
      <c r="F1026">
        <v>3449904</v>
      </c>
      <c r="G1026" s="1">
        <v>10</v>
      </c>
      <c r="H1026" s="2">
        <v>21592</v>
      </c>
      <c r="I1026" t="str">
        <f>VLOOKUP(Tabela2[[#This Row],[PAIS]],'[1]nome do paixs'!$A:$B,2,0)</f>
        <v>Chile</v>
      </c>
      <c r="J1026" t="s">
        <v>12</v>
      </c>
    </row>
    <row r="1027" spans="1:10">
      <c r="A1027">
        <v>2023</v>
      </c>
      <c r="B1027">
        <v>11</v>
      </c>
      <c r="C1027">
        <v>8807</v>
      </c>
      <c r="D1027">
        <v>355</v>
      </c>
      <c r="E1027" t="s">
        <v>10</v>
      </c>
      <c r="F1027">
        <v>3449904</v>
      </c>
      <c r="G1027" s="1">
        <v>1</v>
      </c>
      <c r="H1027" s="2">
        <v>1979</v>
      </c>
      <c r="I1027" t="str">
        <f>VLOOKUP(Tabela2[[#This Row],[PAIS]],'[1]nome do paixs'!$A:$B,2,0)</f>
        <v>Hungria</v>
      </c>
      <c r="J1027" t="s">
        <v>12</v>
      </c>
    </row>
    <row r="1028" spans="1:10">
      <c r="A1028">
        <v>2023</v>
      </c>
      <c r="B1028">
        <v>9</v>
      </c>
      <c r="C1028">
        <v>8807</v>
      </c>
      <c r="D1028">
        <v>628</v>
      </c>
      <c r="E1028" t="s">
        <v>10</v>
      </c>
      <c r="F1028">
        <v>3449904</v>
      </c>
      <c r="G1028" s="1">
        <v>1745</v>
      </c>
      <c r="H1028" s="2">
        <v>628400</v>
      </c>
      <c r="I1028" t="str">
        <f>VLOOKUP(Tabela2[[#This Row],[PAIS]],'[1]nome do paixs'!$A:$B,2,0)</f>
        <v>Reino Unido</v>
      </c>
      <c r="J1028" t="s">
        <v>12</v>
      </c>
    </row>
    <row r="1029" spans="1:10">
      <c r="A1029">
        <v>2023</v>
      </c>
      <c r="B1029">
        <v>11</v>
      </c>
      <c r="C1029">
        <v>8807</v>
      </c>
      <c r="D1029">
        <v>158</v>
      </c>
      <c r="E1029" t="s">
        <v>10</v>
      </c>
      <c r="F1029">
        <v>3449904</v>
      </c>
      <c r="G1029" s="1">
        <v>40</v>
      </c>
      <c r="H1029" s="2">
        <v>107407</v>
      </c>
      <c r="I1029" t="str">
        <f>VLOOKUP(Tabela2[[#This Row],[PAIS]],'[1]nome do paixs'!$A:$B,2,0)</f>
        <v>Chile</v>
      </c>
      <c r="J1029" t="s">
        <v>12</v>
      </c>
    </row>
    <row r="1030" spans="1:10">
      <c r="A1030">
        <v>2023</v>
      </c>
      <c r="B1030">
        <v>6</v>
      </c>
      <c r="C1030">
        <v>8807</v>
      </c>
      <c r="D1030">
        <v>153</v>
      </c>
      <c r="E1030" t="s">
        <v>10</v>
      </c>
      <c r="F1030">
        <v>3449904</v>
      </c>
      <c r="G1030" s="1">
        <v>7</v>
      </c>
      <c r="H1030" s="2">
        <v>26187</v>
      </c>
      <c r="I1030" t="str">
        <f>VLOOKUP(Tabela2[[#This Row],[PAIS]],'[1]nome do paixs'!$A:$B,2,0)</f>
        <v>Cazaquistão</v>
      </c>
      <c r="J1030" t="s">
        <v>12</v>
      </c>
    </row>
    <row r="1031" spans="1:10">
      <c r="A1031">
        <v>2023</v>
      </c>
      <c r="B1031">
        <v>5</v>
      </c>
      <c r="C1031">
        <v>8807</v>
      </c>
      <c r="D1031">
        <v>493</v>
      </c>
      <c r="E1031" t="s">
        <v>10</v>
      </c>
      <c r="F1031">
        <v>3449904</v>
      </c>
      <c r="G1031" s="1">
        <v>1</v>
      </c>
      <c r="H1031" s="2">
        <v>8749</v>
      </c>
      <c r="I1031" t="str">
        <f>VLOOKUP(Tabela2[[#This Row],[PAIS]],'[1]nome do paixs'!$A:$B,2,0)</f>
        <v>México</v>
      </c>
      <c r="J1031" t="s">
        <v>12</v>
      </c>
    </row>
    <row r="1032" spans="1:10">
      <c r="A1032">
        <v>2023</v>
      </c>
      <c r="B1032">
        <v>12</v>
      </c>
      <c r="C1032">
        <v>8807</v>
      </c>
      <c r="D1032">
        <v>573</v>
      </c>
      <c r="E1032" t="s">
        <v>10</v>
      </c>
      <c r="F1032">
        <v>3449904</v>
      </c>
      <c r="G1032" s="1">
        <v>39</v>
      </c>
      <c r="H1032" s="2">
        <v>120990</v>
      </c>
      <c r="I1032" t="str">
        <f>VLOOKUP(Tabela2[[#This Row],[PAIS]],'[1]nome do paixs'!$A:$B,2,0)</f>
        <v>Países Baixos (Holanda)</v>
      </c>
      <c r="J1032" t="s">
        <v>12</v>
      </c>
    </row>
    <row r="1033" spans="1:10">
      <c r="A1033">
        <v>2023</v>
      </c>
      <c r="B1033">
        <v>4</v>
      </c>
      <c r="C1033">
        <v>8807</v>
      </c>
      <c r="D1033">
        <v>767</v>
      </c>
      <c r="E1033" t="s">
        <v>10</v>
      </c>
      <c r="F1033">
        <v>3449904</v>
      </c>
      <c r="G1033" s="1">
        <v>21</v>
      </c>
      <c r="H1033" s="2">
        <v>51784</v>
      </c>
      <c r="I1033" t="str">
        <f>VLOOKUP(Tabela2[[#This Row],[PAIS]],'[1]nome do paixs'!$A:$B,2,0)</f>
        <v>Suíça</v>
      </c>
      <c r="J1033" t="s">
        <v>12</v>
      </c>
    </row>
    <row r="1034" spans="1:10">
      <c r="A1034">
        <v>2023</v>
      </c>
      <c r="B1034">
        <v>5</v>
      </c>
      <c r="C1034">
        <v>8807</v>
      </c>
      <c r="D1034">
        <v>628</v>
      </c>
      <c r="E1034" t="s">
        <v>10</v>
      </c>
      <c r="F1034">
        <v>3449904</v>
      </c>
      <c r="G1034" s="1">
        <v>269</v>
      </c>
      <c r="H1034" s="2">
        <v>97479</v>
      </c>
      <c r="I1034" t="str">
        <f>VLOOKUP(Tabela2[[#This Row],[PAIS]],'[1]nome do paixs'!$A:$B,2,0)</f>
        <v>Reino Unido</v>
      </c>
      <c r="J1034" t="s">
        <v>12</v>
      </c>
    </row>
    <row r="1035" spans="1:10">
      <c r="A1035">
        <v>2023</v>
      </c>
      <c r="B1035">
        <v>5</v>
      </c>
      <c r="C1035">
        <v>8807</v>
      </c>
      <c r="D1035">
        <v>275</v>
      </c>
      <c r="E1035" t="s">
        <v>10</v>
      </c>
      <c r="F1035">
        <v>3449904</v>
      </c>
      <c r="G1035" s="1">
        <v>267</v>
      </c>
      <c r="H1035" s="2">
        <v>316994</v>
      </c>
      <c r="I1035" t="str">
        <f>VLOOKUP(Tabela2[[#This Row],[PAIS]],'[1]nome do paixs'!$A:$B,2,0)</f>
        <v>França</v>
      </c>
      <c r="J1035" t="s">
        <v>12</v>
      </c>
    </row>
    <row r="1036" spans="1:10">
      <c r="A1036">
        <v>2023</v>
      </c>
      <c r="B1036">
        <v>4</v>
      </c>
      <c r="C1036">
        <v>8807</v>
      </c>
      <c r="D1036">
        <v>245</v>
      </c>
      <c r="E1036" t="s">
        <v>10</v>
      </c>
      <c r="F1036">
        <v>3449904</v>
      </c>
      <c r="G1036" s="1">
        <v>4973</v>
      </c>
      <c r="H1036" s="2">
        <v>2160471</v>
      </c>
      <c r="I1036" t="str">
        <f>VLOOKUP(Tabela2[[#This Row],[PAIS]],'[1]nome do paixs'!$A:$B,2,0)</f>
        <v>Espanha</v>
      </c>
      <c r="J1036" t="s">
        <v>12</v>
      </c>
    </row>
    <row r="1037" spans="1:10">
      <c r="A1037">
        <v>2023</v>
      </c>
      <c r="B1037">
        <v>11</v>
      </c>
      <c r="C1037">
        <v>8807</v>
      </c>
      <c r="D1037">
        <v>628</v>
      </c>
      <c r="E1037" t="s">
        <v>10</v>
      </c>
      <c r="F1037">
        <v>3449904</v>
      </c>
      <c r="G1037" s="1">
        <v>1498</v>
      </c>
      <c r="H1037" s="2">
        <v>531316</v>
      </c>
      <c r="I1037" t="str">
        <f>VLOOKUP(Tabela2[[#This Row],[PAIS]],'[1]nome do paixs'!$A:$B,2,0)</f>
        <v>Reino Unido</v>
      </c>
      <c r="J1037" t="s">
        <v>12</v>
      </c>
    </row>
    <row r="1038" spans="1:10">
      <c r="A1038">
        <v>2023</v>
      </c>
      <c r="B1038">
        <v>9</v>
      </c>
      <c r="C1038">
        <v>8807</v>
      </c>
      <c r="D1038">
        <v>249</v>
      </c>
      <c r="E1038" t="s">
        <v>10</v>
      </c>
      <c r="F1038">
        <v>3449904</v>
      </c>
      <c r="G1038" s="1">
        <v>6732</v>
      </c>
      <c r="H1038" s="2">
        <v>5936691</v>
      </c>
      <c r="I1038" t="str">
        <f>VLOOKUP(Tabela2[[#This Row],[PAIS]],'[1]nome do paixs'!$A:$B,2,0)</f>
        <v>Estados Unidos</v>
      </c>
      <c r="J1038" t="s">
        <v>12</v>
      </c>
    </row>
    <row r="1039" spans="1:10">
      <c r="A1039">
        <v>2023</v>
      </c>
      <c r="B1039">
        <v>8</v>
      </c>
      <c r="C1039">
        <v>8807</v>
      </c>
      <c r="D1039">
        <v>158</v>
      </c>
      <c r="E1039" t="s">
        <v>10</v>
      </c>
      <c r="F1039">
        <v>3449904</v>
      </c>
      <c r="G1039" s="1">
        <v>3</v>
      </c>
      <c r="H1039" s="2">
        <v>41123</v>
      </c>
      <c r="I1039" t="str">
        <f>VLOOKUP(Tabela2[[#This Row],[PAIS]],'[1]nome do paixs'!$A:$B,2,0)</f>
        <v>Chile</v>
      </c>
      <c r="J1039" t="s">
        <v>12</v>
      </c>
    </row>
    <row r="1040" spans="1:10">
      <c r="A1040">
        <v>2023</v>
      </c>
      <c r="B1040">
        <v>1</v>
      </c>
      <c r="C1040">
        <v>8807</v>
      </c>
      <c r="D1040">
        <v>607</v>
      </c>
      <c r="E1040" t="s">
        <v>10</v>
      </c>
      <c r="F1040">
        <v>3449904</v>
      </c>
      <c r="G1040" s="1">
        <v>62</v>
      </c>
      <c r="H1040" s="2">
        <v>62078</v>
      </c>
      <c r="I1040" t="str">
        <f>VLOOKUP(Tabela2[[#This Row],[PAIS]],'[1]nome do paixs'!$A:$B,2,0)</f>
        <v>Portugal</v>
      </c>
      <c r="J1040" t="s">
        <v>12</v>
      </c>
    </row>
    <row r="1041" spans="1:10">
      <c r="A1041">
        <v>2023</v>
      </c>
      <c r="B1041">
        <v>5</v>
      </c>
      <c r="C1041">
        <v>8807</v>
      </c>
      <c r="D1041">
        <v>607</v>
      </c>
      <c r="E1041" t="s">
        <v>10</v>
      </c>
      <c r="F1041">
        <v>3449904</v>
      </c>
      <c r="G1041" s="1">
        <v>78</v>
      </c>
      <c r="H1041" s="2">
        <v>79609</v>
      </c>
      <c r="I1041" t="str">
        <f>VLOOKUP(Tabela2[[#This Row],[PAIS]],'[1]nome do paixs'!$A:$B,2,0)</f>
        <v>Portugal</v>
      </c>
      <c r="J1041" t="s">
        <v>12</v>
      </c>
    </row>
    <row r="1042" spans="1:10">
      <c r="A1042">
        <v>2023</v>
      </c>
      <c r="B1042">
        <v>7</v>
      </c>
      <c r="C1042">
        <v>8807</v>
      </c>
      <c r="D1042">
        <v>245</v>
      </c>
      <c r="E1042" t="s">
        <v>10</v>
      </c>
      <c r="F1042">
        <v>3449904</v>
      </c>
      <c r="G1042" s="1">
        <v>5642</v>
      </c>
      <c r="H1042" s="2">
        <v>2583408</v>
      </c>
      <c r="I1042" t="str">
        <f>VLOOKUP(Tabela2[[#This Row],[PAIS]],'[1]nome do paixs'!$A:$B,2,0)</f>
        <v>Espanha</v>
      </c>
      <c r="J1042" t="s">
        <v>12</v>
      </c>
    </row>
    <row r="1043" spans="1:10">
      <c r="A1043">
        <v>2023</v>
      </c>
      <c r="B1043">
        <v>2</v>
      </c>
      <c r="C1043">
        <v>8807</v>
      </c>
      <c r="D1043">
        <v>493</v>
      </c>
      <c r="E1043" t="s">
        <v>10</v>
      </c>
      <c r="F1043">
        <v>3449904</v>
      </c>
      <c r="G1043" s="1">
        <v>52</v>
      </c>
      <c r="H1043" s="2">
        <v>53801</v>
      </c>
      <c r="I1043" t="str">
        <f>VLOOKUP(Tabela2[[#This Row],[PAIS]],'[1]nome do paixs'!$A:$B,2,0)</f>
        <v>México</v>
      </c>
      <c r="J1043" t="s">
        <v>12</v>
      </c>
    </row>
    <row r="1044" spans="1:10">
      <c r="A1044">
        <v>2023</v>
      </c>
      <c r="B1044">
        <v>12</v>
      </c>
      <c r="C1044">
        <v>8807</v>
      </c>
      <c r="D1044">
        <v>239</v>
      </c>
      <c r="E1044" t="s">
        <v>10</v>
      </c>
      <c r="F1044">
        <v>3449904</v>
      </c>
      <c r="G1044" s="1">
        <v>1</v>
      </c>
      <c r="H1044" s="2">
        <v>2307</v>
      </c>
      <c r="I1044" t="str">
        <f>VLOOKUP(Tabela2[[#This Row],[PAIS]],'[1]nome do paixs'!$A:$B,2,0)</f>
        <v>Equador</v>
      </c>
      <c r="J1044" t="s">
        <v>12</v>
      </c>
    </row>
    <row r="1045" spans="1:10">
      <c r="A1045">
        <v>2023</v>
      </c>
      <c r="B1045">
        <v>12</v>
      </c>
      <c r="C1045">
        <v>8807</v>
      </c>
      <c r="D1045">
        <v>399</v>
      </c>
      <c r="E1045" t="s">
        <v>10</v>
      </c>
      <c r="F1045">
        <v>3449904</v>
      </c>
      <c r="G1045" s="1">
        <v>4</v>
      </c>
      <c r="H1045" s="2">
        <v>71520</v>
      </c>
      <c r="I1045" t="str">
        <f>VLOOKUP(Tabela2[[#This Row],[PAIS]],'[1]nome do paixs'!$A:$B,2,0)</f>
        <v>Japão</v>
      </c>
      <c r="J1045" t="s">
        <v>12</v>
      </c>
    </row>
    <row r="1046" spans="1:10">
      <c r="A1046">
        <v>2023</v>
      </c>
      <c r="B1046">
        <v>8</v>
      </c>
      <c r="C1046">
        <v>8807</v>
      </c>
      <c r="D1046">
        <v>23</v>
      </c>
      <c r="E1046" t="s">
        <v>10</v>
      </c>
      <c r="F1046">
        <v>3449904</v>
      </c>
      <c r="G1046" s="1">
        <v>500</v>
      </c>
      <c r="H1046" s="2">
        <v>456614</v>
      </c>
      <c r="I1046" t="str">
        <f>VLOOKUP(Tabela2[[#This Row],[PAIS]],'[1]nome do paixs'!$A:$B,2,0)</f>
        <v>Alemanha</v>
      </c>
      <c r="J1046" t="s">
        <v>12</v>
      </c>
    </row>
    <row r="1047" spans="1:10">
      <c r="A1047">
        <v>2023</v>
      </c>
      <c r="B1047">
        <v>7</v>
      </c>
      <c r="C1047">
        <v>8807</v>
      </c>
      <c r="D1047">
        <v>603</v>
      </c>
      <c r="E1047" t="s">
        <v>10</v>
      </c>
      <c r="F1047">
        <v>3449904</v>
      </c>
      <c r="G1047" s="1">
        <v>6</v>
      </c>
      <c r="H1047" s="2">
        <v>3176</v>
      </c>
      <c r="I1047" t="str">
        <f>VLOOKUP(Tabela2[[#This Row],[PAIS]],'[1]nome do paixs'!$A:$B,2,0)</f>
        <v>Polônia</v>
      </c>
      <c r="J1047" t="s">
        <v>12</v>
      </c>
    </row>
    <row r="1048" spans="1:10">
      <c r="A1048">
        <v>2023</v>
      </c>
      <c r="B1048">
        <v>6</v>
      </c>
      <c r="C1048">
        <v>8807</v>
      </c>
      <c r="D1048">
        <v>244</v>
      </c>
      <c r="E1048" t="s">
        <v>10</v>
      </c>
      <c r="F1048">
        <v>3449904</v>
      </c>
      <c r="G1048" s="1">
        <v>3</v>
      </c>
      <c r="H1048" s="2">
        <v>751</v>
      </c>
      <c r="I1048" t="str">
        <f>VLOOKUP(Tabela2[[#This Row],[PAIS]],'[1]nome do paixs'!$A:$B,2,0)</f>
        <v>Emirados Árabes Unidos</v>
      </c>
      <c r="J1048" t="s">
        <v>12</v>
      </c>
    </row>
    <row r="1049" spans="1:10">
      <c r="A1049">
        <v>2023</v>
      </c>
      <c r="B1049">
        <v>12</v>
      </c>
      <c r="C1049">
        <v>8807</v>
      </c>
      <c r="D1049">
        <v>271</v>
      </c>
      <c r="E1049" t="s">
        <v>10</v>
      </c>
      <c r="F1049">
        <v>3449904</v>
      </c>
      <c r="G1049" s="1">
        <v>5</v>
      </c>
      <c r="H1049" s="2">
        <v>106862</v>
      </c>
      <c r="I1049" t="str">
        <f>VLOOKUP(Tabela2[[#This Row],[PAIS]],'[1]nome do paixs'!$A:$B,2,0)</f>
        <v>Finlândia</v>
      </c>
      <c r="J1049" t="s">
        <v>12</v>
      </c>
    </row>
    <row r="1050" spans="1:10">
      <c r="A1050">
        <v>2023</v>
      </c>
      <c r="B1050">
        <v>10</v>
      </c>
      <c r="C1050">
        <v>8807</v>
      </c>
      <c r="D1050">
        <v>158</v>
      </c>
      <c r="E1050" t="s">
        <v>10</v>
      </c>
      <c r="F1050">
        <v>3449904</v>
      </c>
      <c r="G1050" s="1">
        <v>7</v>
      </c>
      <c r="H1050" s="2">
        <v>55884</v>
      </c>
      <c r="I1050" t="str">
        <f>VLOOKUP(Tabela2[[#This Row],[PAIS]],'[1]nome do paixs'!$A:$B,2,0)</f>
        <v>Chile</v>
      </c>
      <c r="J1050" t="s">
        <v>12</v>
      </c>
    </row>
    <row r="1051" spans="1:10">
      <c r="A1051">
        <v>2023</v>
      </c>
      <c r="B1051">
        <v>3</v>
      </c>
      <c r="C1051">
        <v>8807</v>
      </c>
      <c r="D1051">
        <v>628</v>
      </c>
      <c r="E1051" t="s">
        <v>10</v>
      </c>
      <c r="F1051">
        <v>3449904</v>
      </c>
      <c r="G1051" s="1">
        <v>1370</v>
      </c>
      <c r="H1051" s="2">
        <v>501329</v>
      </c>
      <c r="I1051" t="str">
        <f>VLOOKUP(Tabela2[[#This Row],[PAIS]],'[1]nome do paixs'!$A:$B,2,0)</f>
        <v>Reino Unido</v>
      </c>
      <c r="J1051" t="s">
        <v>12</v>
      </c>
    </row>
    <row r="1052" spans="1:10">
      <c r="A1052">
        <v>2023</v>
      </c>
      <c r="B1052">
        <v>7</v>
      </c>
      <c r="C1052">
        <v>8807</v>
      </c>
      <c r="D1052">
        <v>275</v>
      </c>
      <c r="E1052" t="s">
        <v>10</v>
      </c>
      <c r="F1052">
        <v>3449904</v>
      </c>
      <c r="G1052" s="1">
        <v>162</v>
      </c>
      <c r="H1052" s="2">
        <v>105740</v>
      </c>
      <c r="I1052" t="str">
        <f>VLOOKUP(Tabela2[[#This Row],[PAIS]],'[1]nome do paixs'!$A:$B,2,0)</f>
        <v>França</v>
      </c>
      <c r="J1052" t="s">
        <v>12</v>
      </c>
    </row>
    <row r="1053" spans="1:10">
      <c r="A1053">
        <v>2023</v>
      </c>
      <c r="B1053">
        <v>2</v>
      </c>
      <c r="C1053">
        <v>8807</v>
      </c>
      <c r="D1053">
        <v>23</v>
      </c>
      <c r="E1053" t="s">
        <v>10</v>
      </c>
      <c r="F1053">
        <v>3449904</v>
      </c>
      <c r="G1053" s="1">
        <v>455</v>
      </c>
      <c r="H1053" s="2">
        <v>404127</v>
      </c>
      <c r="I1053" t="str">
        <f>VLOOKUP(Tabela2[[#This Row],[PAIS]],'[1]nome do paixs'!$A:$B,2,0)</f>
        <v>Alemanha</v>
      </c>
      <c r="J1053" t="s">
        <v>12</v>
      </c>
    </row>
    <row r="1054" spans="1:10">
      <c r="A1054">
        <v>2023</v>
      </c>
      <c r="B1054">
        <v>5</v>
      </c>
      <c r="C1054">
        <v>8807</v>
      </c>
      <c r="D1054">
        <v>23</v>
      </c>
      <c r="E1054" t="s">
        <v>10</v>
      </c>
      <c r="F1054">
        <v>3449904</v>
      </c>
      <c r="G1054" s="1">
        <v>580</v>
      </c>
      <c r="H1054" s="2">
        <v>625066</v>
      </c>
      <c r="I1054" t="str">
        <f>VLOOKUP(Tabela2[[#This Row],[PAIS]],'[1]nome do paixs'!$A:$B,2,0)</f>
        <v>Alemanha</v>
      </c>
      <c r="J1054" t="s">
        <v>12</v>
      </c>
    </row>
    <row r="1055" spans="1:10">
      <c r="A1055">
        <v>2023</v>
      </c>
      <c r="B1055">
        <v>4</v>
      </c>
      <c r="C1055">
        <v>8807</v>
      </c>
      <c r="D1055">
        <v>756</v>
      </c>
      <c r="E1055" t="s">
        <v>10</v>
      </c>
      <c r="F1055">
        <v>3449904</v>
      </c>
      <c r="G1055" s="1">
        <v>0</v>
      </c>
      <c r="H1055" s="2">
        <v>6018</v>
      </c>
      <c r="I1055" t="str">
        <f>VLOOKUP(Tabela2[[#This Row],[PAIS]],'[1]nome do paixs'!$A:$B,2,0)</f>
        <v>África do Sul</v>
      </c>
      <c r="J1055" t="s">
        <v>12</v>
      </c>
    </row>
    <row r="1056" spans="1:10">
      <c r="A1056">
        <v>2023</v>
      </c>
      <c r="B1056">
        <v>11</v>
      </c>
      <c r="C1056">
        <v>8807</v>
      </c>
      <c r="D1056">
        <v>756</v>
      </c>
      <c r="E1056" t="s">
        <v>10</v>
      </c>
      <c r="F1056">
        <v>3449904</v>
      </c>
      <c r="G1056" s="1">
        <v>0</v>
      </c>
      <c r="H1056" s="2">
        <v>62</v>
      </c>
      <c r="I1056" t="str">
        <f>VLOOKUP(Tabela2[[#This Row],[PAIS]],'[1]nome do paixs'!$A:$B,2,0)</f>
        <v>África do Sul</v>
      </c>
      <c r="J1056" t="s">
        <v>12</v>
      </c>
    </row>
    <row r="1057" spans="1:10">
      <c r="A1057">
        <v>2023</v>
      </c>
      <c r="B1057">
        <v>10</v>
      </c>
      <c r="C1057">
        <v>8807</v>
      </c>
      <c r="D1057">
        <v>538</v>
      </c>
      <c r="E1057" t="s">
        <v>10</v>
      </c>
      <c r="F1057">
        <v>3449904</v>
      </c>
      <c r="G1057" s="1">
        <v>38</v>
      </c>
      <c r="H1057" s="2">
        <v>27232</v>
      </c>
      <c r="I1057" t="str">
        <f>VLOOKUP(Tabela2[[#This Row],[PAIS]],'[1]nome do paixs'!$A:$B,2,0)</f>
        <v>Noruega</v>
      </c>
      <c r="J1057" t="s">
        <v>12</v>
      </c>
    </row>
    <row r="1058" spans="1:10">
      <c r="A1058">
        <v>2023</v>
      </c>
      <c r="B1058">
        <v>10</v>
      </c>
      <c r="C1058">
        <v>8807</v>
      </c>
      <c r="D1058">
        <v>741</v>
      </c>
      <c r="E1058" t="s">
        <v>10</v>
      </c>
      <c r="F1058">
        <v>3449904</v>
      </c>
      <c r="G1058" s="1">
        <v>7</v>
      </c>
      <c r="H1058" s="2">
        <v>8566</v>
      </c>
      <c r="I1058" t="str">
        <f>VLOOKUP(Tabela2[[#This Row],[PAIS]],'[1]nome do paixs'!$A:$B,2,0)</f>
        <v>Singapura</v>
      </c>
      <c r="J1058" t="s">
        <v>12</v>
      </c>
    </row>
    <row r="1059" spans="1:10">
      <c r="A1059">
        <v>2023</v>
      </c>
      <c r="B1059">
        <v>7</v>
      </c>
      <c r="C1059">
        <v>8807</v>
      </c>
      <c r="D1059">
        <v>399</v>
      </c>
      <c r="E1059" t="s">
        <v>10</v>
      </c>
      <c r="F1059">
        <v>3449904</v>
      </c>
      <c r="G1059" s="1">
        <v>3</v>
      </c>
      <c r="H1059" s="2">
        <v>9261</v>
      </c>
      <c r="I1059" t="str">
        <f>VLOOKUP(Tabela2[[#This Row],[PAIS]],'[1]nome do paixs'!$A:$B,2,0)</f>
        <v>Japão</v>
      </c>
      <c r="J1059" t="s">
        <v>12</v>
      </c>
    </row>
    <row r="1060" spans="1:10">
      <c r="A1060">
        <v>2023</v>
      </c>
      <c r="B1060">
        <v>3</v>
      </c>
      <c r="C1060">
        <v>8807</v>
      </c>
      <c r="D1060">
        <v>160</v>
      </c>
      <c r="E1060" t="s">
        <v>10</v>
      </c>
      <c r="F1060">
        <v>3449904</v>
      </c>
      <c r="G1060" s="1">
        <v>20</v>
      </c>
      <c r="H1060" s="2">
        <v>37775</v>
      </c>
      <c r="I1060" t="str">
        <f>VLOOKUP(Tabela2[[#This Row],[PAIS]],'[1]nome do paixs'!$A:$B,2,0)</f>
        <v>China</v>
      </c>
      <c r="J1060" t="s">
        <v>12</v>
      </c>
    </row>
    <row r="1061" spans="1:10">
      <c r="A1061">
        <v>2023</v>
      </c>
      <c r="B1061">
        <v>12</v>
      </c>
      <c r="C1061">
        <v>8807</v>
      </c>
      <c r="D1061">
        <v>275</v>
      </c>
      <c r="E1061" t="s">
        <v>10</v>
      </c>
      <c r="F1061">
        <v>3449904</v>
      </c>
      <c r="G1061" s="1">
        <v>225</v>
      </c>
      <c r="H1061" s="2">
        <v>325227</v>
      </c>
      <c r="I1061" t="str">
        <f>VLOOKUP(Tabela2[[#This Row],[PAIS]],'[1]nome do paixs'!$A:$B,2,0)</f>
        <v>França</v>
      </c>
      <c r="J1061" t="s">
        <v>12</v>
      </c>
    </row>
    <row r="1062" spans="1:10">
      <c r="A1062">
        <v>2023</v>
      </c>
      <c r="B1062">
        <v>1</v>
      </c>
      <c r="C1062">
        <v>8807</v>
      </c>
      <c r="D1062">
        <v>386</v>
      </c>
      <c r="E1062" t="s">
        <v>10</v>
      </c>
      <c r="F1062">
        <v>3449904</v>
      </c>
      <c r="G1062" s="1">
        <v>1917</v>
      </c>
      <c r="H1062" s="2">
        <v>867424</v>
      </c>
      <c r="I1062" t="str">
        <f>VLOOKUP(Tabela2[[#This Row],[PAIS]],'[1]nome do paixs'!$A:$B,2,0)</f>
        <v>Itália</v>
      </c>
      <c r="J1062" t="s">
        <v>12</v>
      </c>
    </row>
    <row r="1063" spans="1:10">
      <c r="A1063">
        <v>2023</v>
      </c>
      <c r="B1063">
        <v>5</v>
      </c>
      <c r="C1063">
        <v>8807</v>
      </c>
      <c r="D1063">
        <v>149</v>
      </c>
      <c r="E1063" t="s">
        <v>10</v>
      </c>
      <c r="F1063">
        <v>3449904</v>
      </c>
      <c r="G1063" s="1">
        <v>0</v>
      </c>
      <c r="H1063" s="2">
        <v>45</v>
      </c>
      <c r="I1063" t="str">
        <f>VLOOKUP(Tabela2[[#This Row],[PAIS]],'[1]nome do paixs'!$A:$B,2,0)</f>
        <v>Canadá</v>
      </c>
      <c r="J1063" t="s">
        <v>12</v>
      </c>
    </row>
    <row r="1064" spans="1:10">
      <c r="A1064">
        <v>2023</v>
      </c>
      <c r="B1064">
        <v>1</v>
      </c>
      <c r="C1064">
        <v>8807</v>
      </c>
      <c r="D1064">
        <v>160</v>
      </c>
      <c r="E1064" t="s">
        <v>10</v>
      </c>
      <c r="F1064">
        <v>3449904</v>
      </c>
      <c r="G1064" s="1">
        <v>7</v>
      </c>
      <c r="H1064" s="2">
        <v>3056</v>
      </c>
      <c r="I1064" t="str">
        <f>VLOOKUP(Tabela2[[#This Row],[PAIS]],'[1]nome do paixs'!$A:$B,2,0)</f>
        <v>China</v>
      </c>
      <c r="J1064" t="s">
        <v>12</v>
      </c>
    </row>
    <row r="1065" spans="1:10">
      <c r="A1065">
        <v>2023</v>
      </c>
      <c r="B1065">
        <v>7</v>
      </c>
      <c r="C1065">
        <v>8807</v>
      </c>
      <c r="D1065">
        <v>493</v>
      </c>
      <c r="E1065" t="s">
        <v>10</v>
      </c>
      <c r="F1065">
        <v>3449904</v>
      </c>
      <c r="G1065" s="1">
        <v>6</v>
      </c>
      <c r="H1065" s="2">
        <v>69883</v>
      </c>
      <c r="I1065" t="str">
        <f>VLOOKUP(Tabela2[[#This Row],[PAIS]],'[1]nome do paixs'!$A:$B,2,0)</f>
        <v>México</v>
      </c>
      <c r="J1065" t="s">
        <v>12</v>
      </c>
    </row>
    <row r="1066" spans="1:10">
      <c r="A1066">
        <v>2023</v>
      </c>
      <c r="B1066">
        <v>8</v>
      </c>
      <c r="C1066">
        <v>8807</v>
      </c>
      <c r="D1066">
        <v>31</v>
      </c>
      <c r="E1066" t="s">
        <v>10</v>
      </c>
      <c r="F1066">
        <v>3449904</v>
      </c>
      <c r="G1066" s="1">
        <v>0</v>
      </c>
      <c r="H1066" s="2">
        <v>1431</v>
      </c>
      <c r="I1066" t="str">
        <f>VLOOKUP(Tabela2[[#This Row],[PAIS]],'[1]nome do paixs'!$A:$B,2,0)</f>
        <v>Burkina Faso</v>
      </c>
      <c r="J1066" t="s">
        <v>12</v>
      </c>
    </row>
    <row r="1067" spans="1:10">
      <c r="A1067">
        <v>2023</v>
      </c>
      <c r="B1067">
        <v>2</v>
      </c>
      <c r="C1067">
        <v>8807</v>
      </c>
      <c r="D1067">
        <v>573</v>
      </c>
      <c r="E1067" t="s">
        <v>10</v>
      </c>
      <c r="F1067">
        <v>3449904</v>
      </c>
      <c r="G1067" s="1">
        <v>1</v>
      </c>
      <c r="H1067" s="2">
        <v>8932</v>
      </c>
      <c r="I1067" t="str">
        <f>VLOOKUP(Tabela2[[#This Row],[PAIS]],'[1]nome do paixs'!$A:$B,2,0)</f>
        <v>Países Baixos (Holanda)</v>
      </c>
      <c r="J1067" t="s">
        <v>12</v>
      </c>
    </row>
    <row r="1068" spans="1:10">
      <c r="A1068">
        <v>2023</v>
      </c>
      <c r="B1068">
        <v>9</v>
      </c>
      <c r="C1068">
        <v>8807</v>
      </c>
      <c r="D1068">
        <v>23</v>
      </c>
      <c r="E1068" t="s">
        <v>10</v>
      </c>
      <c r="F1068">
        <v>3449904</v>
      </c>
      <c r="G1068" s="1">
        <v>227</v>
      </c>
      <c r="H1068" s="2">
        <v>243791</v>
      </c>
      <c r="I1068" t="str">
        <f>VLOOKUP(Tabela2[[#This Row],[PAIS]],'[1]nome do paixs'!$A:$B,2,0)</f>
        <v>Alemanha</v>
      </c>
      <c r="J1068" t="s">
        <v>12</v>
      </c>
    </row>
    <row r="1069" spans="1:10">
      <c r="A1069">
        <v>2023</v>
      </c>
      <c r="B1069">
        <v>2</v>
      </c>
      <c r="C1069">
        <v>8807</v>
      </c>
      <c r="D1069">
        <v>455</v>
      </c>
      <c r="E1069" t="s">
        <v>10</v>
      </c>
      <c r="F1069">
        <v>3449904</v>
      </c>
      <c r="G1069" s="1">
        <v>1</v>
      </c>
      <c r="H1069" s="2">
        <v>354</v>
      </c>
      <c r="I1069" t="str">
        <f>VLOOKUP(Tabela2[[#This Row],[PAIS]],'[1]nome do paixs'!$A:$B,2,0)</f>
        <v>Malásia</v>
      </c>
      <c r="J1069" t="s">
        <v>12</v>
      </c>
    </row>
    <row r="1070" spans="1:10">
      <c r="A1070">
        <v>2023</v>
      </c>
      <c r="B1070">
        <v>5</v>
      </c>
      <c r="C1070">
        <v>8807</v>
      </c>
      <c r="D1070">
        <v>160</v>
      </c>
      <c r="E1070" t="s">
        <v>10</v>
      </c>
      <c r="F1070">
        <v>3449904</v>
      </c>
      <c r="G1070" s="1">
        <v>23</v>
      </c>
      <c r="H1070" s="2">
        <v>12620</v>
      </c>
      <c r="I1070" t="str">
        <f>VLOOKUP(Tabela2[[#This Row],[PAIS]],'[1]nome do paixs'!$A:$B,2,0)</f>
        <v>China</v>
      </c>
      <c r="J1070" t="s">
        <v>12</v>
      </c>
    </row>
    <row r="1071" spans="1:10">
      <c r="A1071">
        <v>2023</v>
      </c>
      <c r="B1071">
        <v>2</v>
      </c>
      <c r="C1071">
        <v>8807</v>
      </c>
      <c r="D1071">
        <v>607</v>
      </c>
      <c r="E1071" t="s">
        <v>10</v>
      </c>
      <c r="F1071">
        <v>3449904</v>
      </c>
      <c r="G1071" s="1">
        <v>56</v>
      </c>
      <c r="H1071" s="2">
        <v>57385</v>
      </c>
      <c r="I1071" t="str">
        <f>VLOOKUP(Tabela2[[#This Row],[PAIS]],'[1]nome do paixs'!$A:$B,2,0)</f>
        <v>Portugal</v>
      </c>
      <c r="J1071" t="s">
        <v>12</v>
      </c>
    </row>
    <row r="1072" spans="1:10">
      <c r="A1072">
        <v>2023</v>
      </c>
      <c r="B1072">
        <v>11</v>
      </c>
      <c r="C1072">
        <v>8807</v>
      </c>
      <c r="D1072">
        <v>556</v>
      </c>
      <c r="E1072" t="s">
        <v>10</v>
      </c>
      <c r="F1072">
        <v>3449904</v>
      </c>
      <c r="G1072" s="1">
        <v>0</v>
      </c>
      <c r="H1072" s="2">
        <v>874</v>
      </c>
      <c r="I1072" t="str">
        <f>VLOOKUP(Tabela2[[#This Row],[PAIS]],'[1]nome do paixs'!$A:$B,2,0)</f>
        <v>Omã</v>
      </c>
      <c r="J1072" t="s">
        <v>12</v>
      </c>
    </row>
    <row r="1073" spans="1:10">
      <c r="A1073">
        <v>2023</v>
      </c>
      <c r="B1073">
        <v>5</v>
      </c>
      <c r="C1073">
        <v>8807</v>
      </c>
      <c r="D1073">
        <v>573</v>
      </c>
      <c r="E1073" t="s">
        <v>10</v>
      </c>
      <c r="F1073">
        <v>3449904</v>
      </c>
      <c r="G1073" s="1">
        <v>7</v>
      </c>
      <c r="H1073" s="2">
        <v>23916</v>
      </c>
      <c r="I1073" t="str">
        <f>VLOOKUP(Tabela2[[#This Row],[PAIS]],'[1]nome do paixs'!$A:$B,2,0)</f>
        <v>Países Baixos (Holanda)</v>
      </c>
      <c r="J1073" t="s">
        <v>12</v>
      </c>
    </row>
    <row r="1074" spans="1:10">
      <c r="A1074">
        <v>2023</v>
      </c>
      <c r="B1074">
        <v>3</v>
      </c>
      <c r="C1074">
        <v>8807</v>
      </c>
      <c r="D1074">
        <v>72</v>
      </c>
      <c r="E1074" t="s">
        <v>10</v>
      </c>
      <c r="F1074">
        <v>3449904</v>
      </c>
      <c r="G1074" s="1">
        <v>0</v>
      </c>
      <c r="H1074" s="2">
        <v>2081</v>
      </c>
      <c r="I1074" t="str">
        <f>VLOOKUP(Tabela2[[#This Row],[PAIS]],'[1]nome do paixs'!$A:$B,2,0)</f>
        <v>Áustria</v>
      </c>
      <c r="J1074" t="s">
        <v>12</v>
      </c>
    </row>
    <row r="1075" spans="1:10">
      <c r="A1075">
        <v>2023</v>
      </c>
      <c r="B1075">
        <v>9</v>
      </c>
      <c r="C1075">
        <v>8807</v>
      </c>
      <c r="D1075">
        <v>153</v>
      </c>
      <c r="E1075" t="s">
        <v>10</v>
      </c>
      <c r="F1075">
        <v>3449904</v>
      </c>
      <c r="G1075" s="1">
        <v>102</v>
      </c>
      <c r="H1075" s="2">
        <v>72616</v>
      </c>
      <c r="I1075" t="str">
        <f>VLOOKUP(Tabela2[[#This Row],[PAIS]],'[1]nome do paixs'!$A:$B,2,0)</f>
        <v>Cazaquistão</v>
      </c>
      <c r="J1075" t="s">
        <v>12</v>
      </c>
    </row>
    <row r="1076" spans="1:10">
      <c r="A1076">
        <v>2023</v>
      </c>
      <c r="B1076">
        <v>7</v>
      </c>
      <c r="C1076">
        <v>8807</v>
      </c>
      <c r="D1076">
        <v>528</v>
      </c>
      <c r="E1076" t="s">
        <v>10</v>
      </c>
      <c r="F1076">
        <v>3449904</v>
      </c>
      <c r="G1076" s="1">
        <v>2</v>
      </c>
      <c r="H1076" s="2">
        <v>2746</v>
      </c>
      <c r="I1076" t="str">
        <f>VLOOKUP(Tabela2[[#This Row],[PAIS]],'[1]nome do paixs'!$A:$B,2,0)</f>
        <v>Nigéria</v>
      </c>
      <c r="J1076" t="s">
        <v>12</v>
      </c>
    </row>
    <row r="1077" spans="1:10">
      <c r="A1077">
        <v>2023</v>
      </c>
      <c r="B1077">
        <v>2</v>
      </c>
      <c r="C1077">
        <v>8807</v>
      </c>
      <c r="D1077">
        <v>442</v>
      </c>
      <c r="E1077" t="s">
        <v>10</v>
      </c>
      <c r="F1077">
        <v>3449904</v>
      </c>
      <c r="G1077" s="1">
        <v>0</v>
      </c>
      <c r="H1077" s="2">
        <v>74</v>
      </c>
      <c r="I1077" t="str">
        <f>VLOOKUP(Tabela2[[#This Row],[PAIS]],'[1]nome do paixs'!$A:$B,2,0)</f>
        <v>Lituânia</v>
      </c>
      <c r="J1077" t="s">
        <v>12</v>
      </c>
    </row>
    <row r="1078" spans="1:10">
      <c r="A1078">
        <v>2023</v>
      </c>
      <c r="B1078">
        <v>9</v>
      </c>
      <c r="C1078">
        <v>8807</v>
      </c>
      <c r="D1078">
        <v>87</v>
      </c>
      <c r="E1078" t="s">
        <v>10</v>
      </c>
      <c r="F1078">
        <v>3449904</v>
      </c>
      <c r="G1078" s="1">
        <v>8335</v>
      </c>
      <c r="H1078" s="2">
        <v>4678307</v>
      </c>
      <c r="I1078" t="str">
        <f>VLOOKUP(Tabela2[[#This Row],[PAIS]],'[1]nome do paixs'!$A:$B,2,0)</f>
        <v>Bélgica</v>
      </c>
      <c r="J1078" t="s">
        <v>12</v>
      </c>
    </row>
    <row r="1079" spans="1:10">
      <c r="A1079">
        <v>2023</v>
      </c>
      <c r="B1079">
        <v>4</v>
      </c>
      <c r="C1079">
        <v>8807</v>
      </c>
      <c r="D1079">
        <v>244</v>
      </c>
      <c r="E1079" t="s">
        <v>10</v>
      </c>
      <c r="F1079">
        <v>3449904</v>
      </c>
      <c r="G1079" s="1">
        <v>148</v>
      </c>
      <c r="H1079" s="2">
        <v>16898</v>
      </c>
      <c r="I1079" t="str">
        <f>VLOOKUP(Tabela2[[#This Row],[PAIS]],'[1]nome do paixs'!$A:$B,2,0)</f>
        <v>Emirados Árabes Unidos</v>
      </c>
      <c r="J1079" t="s">
        <v>12</v>
      </c>
    </row>
    <row r="1080" spans="1:10">
      <c r="A1080">
        <v>2023</v>
      </c>
      <c r="B1080">
        <v>3</v>
      </c>
      <c r="C1080">
        <v>8807</v>
      </c>
      <c r="D1080">
        <v>386</v>
      </c>
      <c r="E1080" t="s">
        <v>10</v>
      </c>
      <c r="F1080">
        <v>3449904</v>
      </c>
      <c r="G1080" s="1">
        <v>1719</v>
      </c>
      <c r="H1080" s="2">
        <v>651984</v>
      </c>
      <c r="I1080" t="str">
        <f>VLOOKUP(Tabela2[[#This Row],[PAIS]],'[1]nome do paixs'!$A:$B,2,0)</f>
        <v>Itália</v>
      </c>
      <c r="J1080" t="s">
        <v>12</v>
      </c>
    </row>
    <row r="1081" spans="1:10">
      <c r="A1081">
        <v>2023</v>
      </c>
      <c r="B1081">
        <v>9</v>
      </c>
      <c r="C1081">
        <v>8807</v>
      </c>
      <c r="D1081">
        <v>741</v>
      </c>
      <c r="E1081" t="s">
        <v>10</v>
      </c>
      <c r="F1081">
        <v>3449904</v>
      </c>
      <c r="G1081" s="1">
        <v>5</v>
      </c>
      <c r="H1081" s="2">
        <v>4045</v>
      </c>
      <c r="I1081" t="str">
        <f>VLOOKUP(Tabela2[[#This Row],[PAIS]],'[1]nome do paixs'!$A:$B,2,0)</f>
        <v>Singapura</v>
      </c>
      <c r="J1081" t="s">
        <v>12</v>
      </c>
    </row>
    <row r="1082" spans="1:10">
      <c r="A1082">
        <v>2023</v>
      </c>
      <c r="B1082">
        <v>8</v>
      </c>
      <c r="C1082">
        <v>8807</v>
      </c>
      <c r="D1082">
        <v>87</v>
      </c>
      <c r="E1082" t="s">
        <v>10</v>
      </c>
      <c r="F1082">
        <v>3449904</v>
      </c>
      <c r="G1082" s="1">
        <v>8169</v>
      </c>
      <c r="H1082" s="2">
        <v>4763584</v>
      </c>
      <c r="I1082" t="str">
        <f>VLOOKUP(Tabela2[[#This Row],[PAIS]],'[1]nome do paixs'!$A:$B,2,0)</f>
        <v>Bélgica</v>
      </c>
      <c r="J1082" t="s">
        <v>12</v>
      </c>
    </row>
    <row r="1083" spans="1:10">
      <c r="A1083">
        <v>2023</v>
      </c>
      <c r="B1083">
        <v>9</v>
      </c>
      <c r="C1083">
        <v>8807</v>
      </c>
      <c r="D1083">
        <v>245</v>
      </c>
      <c r="E1083" t="s">
        <v>10</v>
      </c>
      <c r="F1083">
        <v>3449904</v>
      </c>
      <c r="G1083" s="1">
        <v>6502</v>
      </c>
      <c r="H1083" s="2">
        <v>3037872</v>
      </c>
      <c r="I1083" t="str">
        <f>VLOOKUP(Tabela2[[#This Row],[PAIS]],'[1]nome do paixs'!$A:$B,2,0)</f>
        <v>Espanha</v>
      </c>
      <c r="J1083" t="s">
        <v>12</v>
      </c>
    </row>
    <row r="1084" spans="1:10">
      <c r="A1084">
        <v>2023</v>
      </c>
      <c r="B1084">
        <v>9</v>
      </c>
      <c r="C1084">
        <v>8807</v>
      </c>
      <c r="D1084">
        <v>275</v>
      </c>
      <c r="E1084" t="s">
        <v>10</v>
      </c>
      <c r="F1084">
        <v>3449904</v>
      </c>
      <c r="G1084" s="1">
        <v>166</v>
      </c>
      <c r="H1084" s="2">
        <v>212140</v>
      </c>
      <c r="I1084" t="str">
        <f>VLOOKUP(Tabela2[[#This Row],[PAIS]],'[1]nome do paixs'!$A:$B,2,0)</f>
        <v>França</v>
      </c>
      <c r="J1084" t="s">
        <v>12</v>
      </c>
    </row>
    <row r="1085" spans="1:10">
      <c r="A1085">
        <v>2023</v>
      </c>
      <c r="B1085">
        <v>8</v>
      </c>
      <c r="C1085">
        <v>8807</v>
      </c>
      <c r="D1085">
        <v>249</v>
      </c>
      <c r="E1085" t="s">
        <v>10</v>
      </c>
      <c r="F1085">
        <v>3449904</v>
      </c>
      <c r="G1085" s="1">
        <v>6281</v>
      </c>
      <c r="H1085" s="2">
        <v>5057697</v>
      </c>
      <c r="I1085" t="str">
        <f>VLOOKUP(Tabela2[[#This Row],[PAIS]],'[1]nome do paixs'!$A:$B,2,0)</f>
        <v>Estados Unidos</v>
      </c>
      <c r="J1085" t="s">
        <v>12</v>
      </c>
    </row>
    <row r="1086" spans="1:10">
      <c r="A1086">
        <v>2023</v>
      </c>
      <c r="B1086">
        <v>2</v>
      </c>
      <c r="C1086">
        <v>8807</v>
      </c>
      <c r="D1086">
        <v>87</v>
      </c>
      <c r="E1086" t="s">
        <v>10</v>
      </c>
      <c r="F1086">
        <v>3449904</v>
      </c>
      <c r="G1086" s="1">
        <v>5910</v>
      </c>
      <c r="H1086" s="2">
        <v>2671072</v>
      </c>
      <c r="I1086" t="str">
        <f>VLOOKUP(Tabela2[[#This Row],[PAIS]],'[1]nome do paixs'!$A:$B,2,0)</f>
        <v>Bélgica</v>
      </c>
      <c r="J1086" t="s">
        <v>12</v>
      </c>
    </row>
    <row r="1087" spans="1:10">
      <c r="A1087">
        <v>2023</v>
      </c>
      <c r="B1087">
        <v>7</v>
      </c>
      <c r="C1087">
        <v>8807</v>
      </c>
      <c r="D1087">
        <v>160</v>
      </c>
      <c r="E1087" t="s">
        <v>10</v>
      </c>
      <c r="F1087">
        <v>3449904</v>
      </c>
      <c r="G1087" s="1">
        <v>11</v>
      </c>
      <c r="H1087" s="2">
        <v>6705</v>
      </c>
      <c r="I1087" t="str">
        <f>VLOOKUP(Tabela2[[#This Row],[PAIS]],'[1]nome do paixs'!$A:$B,2,0)</f>
        <v>China</v>
      </c>
      <c r="J1087" t="s">
        <v>12</v>
      </c>
    </row>
    <row r="1088" spans="1:10">
      <c r="A1088">
        <v>2023</v>
      </c>
      <c r="B1088">
        <v>4</v>
      </c>
      <c r="C1088">
        <v>8807</v>
      </c>
      <c r="D1088">
        <v>267</v>
      </c>
      <c r="E1088" t="s">
        <v>10</v>
      </c>
      <c r="F1088">
        <v>3449904</v>
      </c>
      <c r="G1088" s="1">
        <v>65</v>
      </c>
      <c r="H1088" s="2">
        <v>242072</v>
      </c>
      <c r="I1088" t="str">
        <f>VLOOKUP(Tabela2[[#This Row],[PAIS]],'[1]nome do paixs'!$A:$B,2,0)</f>
        <v>Filipinas</v>
      </c>
      <c r="J1088" t="s">
        <v>12</v>
      </c>
    </row>
    <row r="1089" spans="1:10">
      <c r="A1089">
        <v>2023</v>
      </c>
      <c r="B1089">
        <v>6</v>
      </c>
      <c r="C1089">
        <v>8807</v>
      </c>
      <c r="D1089">
        <v>169</v>
      </c>
      <c r="E1089" t="s">
        <v>10</v>
      </c>
      <c r="F1089">
        <v>3449904</v>
      </c>
      <c r="G1089" s="1">
        <v>0</v>
      </c>
      <c r="H1089" s="2">
        <v>195</v>
      </c>
      <c r="I1089" t="str">
        <f>VLOOKUP(Tabela2[[#This Row],[PAIS]],'[1]nome do paixs'!$A:$B,2,0)</f>
        <v>Colômbia</v>
      </c>
      <c r="J1089" t="s">
        <v>12</v>
      </c>
    </row>
    <row r="1090" spans="1:10">
      <c r="A1090">
        <v>2023</v>
      </c>
      <c r="B1090">
        <v>1</v>
      </c>
      <c r="C1090">
        <v>8807</v>
      </c>
      <c r="D1090">
        <v>245</v>
      </c>
      <c r="E1090" t="s">
        <v>10</v>
      </c>
      <c r="F1090">
        <v>3449904</v>
      </c>
      <c r="G1090" s="1">
        <v>5003</v>
      </c>
      <c r="H1090" s="2">
        <v>2403841</v>
      </c>
      <c r="I1090" t="str">
        <f>VLOOKUP(Tabela2[[#This Row],[PAIS]],'[1]nome do paixs'!$A:$B,2,0)</f>
        <v>Espanha</v>
      </c>
      <c r="J1090" t="s">
        <v>12</v>
      </c>
    </row>
    <row r="1091" spans="1:10">
      <c r="A1091">
        <v>2023</v>
      </c>
      <c r="B1091">
        <v>1</v>
      </c>
      <c r="C1091">
        <v>8807</v>
      </c>
      <c r="D1091">
        <v>63</v>
      </c>
      <c r="E1091" t="s">
        <v>10</v>
      </c>
      <c r="F1091">
        <v>3449904</v>
      </c>
      <c r="G1091" s="1">
        <v>1</v>
      </c>
      <c r="H1091" s="2">
        <v>13540</v>
      </c>
      <c r="I1091" t="str">
        <f>VLOOKUP(Tabela2[[#This Row],[PAIS]],'[1]nome do paixs'!$A:$B,2,0)</f>
        <v>Argentina</v>
      </c>
      <c r="J1091" t="s">
        <v>12</v>
      </c>
    </row>
    <row r="1092" spans="1:10">
      <c r="A1092">
        <v>2023</v>
      </c>
      <c r="B1092">
        <v>10</v>
      </c>
      <c r="C1092">
        <v>8807</v>
      </c>
      <c r="D1092">
        <v>573</v>
      </c>
      <c r="E1092" t="s">
        <v>10</v>
      </c>
      <c r="F1092">
        <v>3449904</v>
      </c>
      <c r="G1092" s="1">
        <v>28</v>
      </c>
      <c r="H1092" s="2">
        <v>3941</v>
      </c>
      <c r="I1092" t="str">
        <f>VLOOKUP(Tabela2[[#This Row],[PAIS]],'[1]nome do paixs'!$A:$B,2,0)</f>
        <v>Países Baixos (Holanda)</v>
      </c>
      <c r="J1092" t="s">
        <v>12</v>
      </c>
    </row>
    <row r="1093" spans="1:10">
      <c r="A1093">
        <v>2023</v>
      </c>
      <c r="B1093">
        <v>1</v>
      </c>
      <c r="C1093">
        <v>8807</v>
      </c>
      <c r="D1093">
        <v>31</v>
      </c>
      <c r="E1093" t="s">
        <v>10</v>
      </c>
      <c r="F1093">
        <v>3449904</v>
      </c>
      <c r="G1093" s="1">
        <v>0</v>
      </c>
      <c r="H1093" s="2">
        <v>397</v>
      </c>
      <c r="I1093" t="str">
        <f>VLOOKUP(Tabela2[[#This Row],[PAIS]],'[1]nome do paixs'!$A:$B,2,0)</f>
        <v>Burkina Faso</v>
      </c>
      <c r="J1093" t="s">
        <v>12</v>
      </c>
    </row>
    <row r="1094" spans="1:10">
      <c r="A1094">
        <v>2023</v>
      </c>
      <c r="B1094">
        <v>5</v>
      </c>
      <c r="C1094">
        <v>8807</v>
      </c>
      <c r="D1094">
        <v>623</v>
      </c>
      <c r="E1094" t="s">
        <v>10</v>
      </c>
      <c r="F1094">
        <v>3449904</v>
      </c>
      <c r="G1094" s="1">
        <v>2</v>
      </c>
      <c r="H1094" s="2">
        <v>28737</v>
      </c>
      <c r="I1094" t="str">
        <f>VLOOKUP(Tabela2[[#This Row],[PAIS]],'[1]nome do paixs'!$A:$B,2,0)</f>
        <v>Quênia</v>
      </c>
      <c r="J1094" t="s">
        <v>12</v>
      </c>
    </row>
    <row r="1095" spans="1:10">
      <c r="A1095">
        <v>2023</v>
      </c>
      <c r="B1095">
        <v>10</v>
      </c>
      <c r="C1095">
        <v>8807</v>
      </c>
      <c r="D1095">
        <v>23</v>
      </c>
      <c r="E1095" t="s">
        <v>10</v>
      </c>
      <c r="F1095">
        <v>3449904</v>
      </c>
      <c r="G1095" s="1">
        <v>511</v>
      </c>
      <c r="H1095" s="2">
        <v>574452</v>
      </c>
      <c r="I1095" t="str">
        <f>VLOOKUP(Tabela2[[#This Row],[PAIS]],'[1]nome do paixs'!$A:$B,2,0)</f>
        <v>Alemanha</v>
      </c>
      <c r="J1095" t="s">
        <v>12</v>
      </c>
    </row>
    <row r="1096" spans="1:10">
      <c r="A1096">
        <v>2023</v>
      </c>
      <c r="B1096">
        <v>12</v>
      </c>
      <c r="C1096">
        <v>8807</v>
      </c>
      <c r="D1096">
        <v>249</v>
      </c>
      <c r="E1096" t="s">
        <v>10</v>
      </c>
      <c r="F1096">
        <v>3449904</v>
      </c>
      <c r="G1096" s="1">
        <v>5008</v>
      </c>
      <c r="H1096" s="2">
        <v>4910656</v>
      </c>
      <c r="I1096" t="str">
        <f>VLOOKUP(Tabela2[[#This Row],[PAIS]],'[1]nome do paixs'!$A:$B,2,0)</f>
        <v>Estados Unidos</v>
      </c>
      <c r="J1096" t="s">
        <v>12</v>
      </c>
    </row>
    <row r="1097" spans="1:10">
      <c r="A1097">
        <v>2023</v>
      </c>
      <c r="B1097">
        <v>9</v>
      </c>
      <c r="C1097">
        <v>8807</v>
      </c>
      <c r="D1097">
        <v>493</v>
      </c>
      <c r="E1097" t="s">
        <v>10</v>
      </c>
      <c r="F1097">
        <v>3449904</v>
      </c>
      <c r="G1097" s="1">
        <v>183</v>
      </c>
      <c r="H1097" s="2">
        <v>345124</v>
      </c>
      <c r="I1097" t="str">
        <f>VLOOKUP(Tabela2[[#This Row],[PAIS]],'[1]nome do paixs'!$A:$B,2,0)</f>
        <v>México</v>
      </c>
      <c r="J1097" t="s">
        <v>12</v>
      </c>
    </row>
    <row r="1098" spans="1:10">
      <c r="A1098">
        <v>2023</v>
      </c>
      <c r="B1098">
        <v>12</v>
      </c>
      <c r="C1098">
        <v>8807</v>
      </c>
      <c r="D1098">
        <v>767</v>
      </c>
      <c r="E1098" t="s">
        <v>10</v>
      </c>
      <c r="F1098">
        <v>3449904</v>
      </c>
      <c r="G1098" s="1">
        <v>0</v>
      </c>
      <c r="H1098" s="2">
        <v>267</v>
      </c>
      <c r="I1098" t="str">
        <f>VLOOKUP(Tabela2[[#This Row],[PAIS]],'[1]nome do paixs'!$A:$B,2,0)</f>
        <v>Suíça</v>
      </c>
      <c r="J1098" t="s">
        <v>12</v>
      </c>
    </row>
    <row r="1099" spans="1:10">
      <c r="A1099">
        <v>2023</v>
      </c>
      <c r="B1099">
        <v>7</v>
      </c>
      <c r="C1099">
        <v>8807</v>
      </c>
      <c r="D1099">
        <v>88</v>
      </c>
      <c r="E1099" t="s">
        <v>10</v>
      </c>
      <c r="F1099">
        <v>3449904</v>
      </c>
      <c r="G1099" s="1">
        <v>0</v>
      </c>
      <c r="H1099" s="2">
        <v>264</v>
      </c>
      <c r="I1099" t="str">
        <f>VLOOKUP(Tabela2[[#This Row],[PAIS]],'[1]nome do paixs'!$A:$B,2,0)</f>
        <v>Belize</v>
      </c>
      <c r="J1099" t="s">
        <v>12</v>
      </c>
    </row>
    <row r="1100" spans="1:10">
      <c r="A1100">
        <v>2023</v>
      </c>
      <c r="B1100">
        <v>4</v>
      </c>
      <c r="C1100">
        <v>8807</v>
      </c>
      <c r="D1100">
        <v>275</v>
      </c>
      <c r="E1100" t="s">
        <v>10</v>
      </c>
      <c r="F1100">
        <v>3449904</v>
      </c>
      <c r="G1100" s="1">
        <v>466</v>
      </c>
      <c r="H1100" s="2">
        <v>299642</v>
      </c>
      <c r="I1100" t="str">
        <f>VLOOKUP(Tabela2[[#This Row],[PAIS]],'[1]nome do paixs'!$A:$B,2,0)</f>
        <v>França</v>
      </c>
      <c r="J1100" t="s">
        <v>12</v>
      </c>
    </row>
    <row r="1101" spans="1:10">
      <c r="A1101">
        <v>2023</v>
      </c>
      <c r="B1101">
        <v>11</v>
      </c>
      <c r="C1101">
        <v>8807</v>
      </c>
      <c r="D1101">
        <v>493</v>
      </c>
      <c r="E1101" t="s">
        <v>10</v>
      </c>
      <c r="F1101">
        <v>3449904</v>
      </c>
      <c r="G1101" s="1">
        <v>2</v>
      </c>
      <c r="H1101" s="2">
        <v>9267</v>
      </c>
      <c r="I1101" t="str">
        <f>VLOOKUP(Tabela2[[#This Row],[PAIS]],'[1]nome do paixs'!$A:$B,2,0)</f>
        <v>México</v>
      </c>
      <c r="J1101" t="s">
        <v>12</v>
      </c>
    </row>
    <row r="1102" spans="1:10">
      <c r="A1102">
        <v>2023</v>
      </c>
      <c r="B1102">
        <v>10</v>
      </c>
      <c r="C1102">
        <v>8807</v>
      </c>
      <c r="D1102">
        <v>386</v>
      </c>
      <c r="E1102" t="s">
        <v>10</v>
      </c>
      <c r="F1102">
        <v>3449904</v>
      </c>
      <c r="G1102" s="1">
        <v>1616</v>
      </c>
      <c r="H1102" s="2">
        <v>641460</v>
      </c>
      <c r="I1102" t="str">
        <f>VLOOKUP(Tabela2[[#This Row],[PAIS]],'[1]nome do paixs'!$A:$B,2,0)</f>
        <v>Itália</v>
      </c>
      <c r="J1102" t="s">
        <v>12</v>
      </c>
    </row>
    <row r="1103" spans="1:10">
      <c r="A1103">
        <v>2023</v>
      </c>
      <c r="B1103">
        <v>11</v>
      </c>
      <c r="C1103">
        <v>8807</v>
      </c>
      <c r="D1103">
        <v>275</v>
      </c>
      <c r="E1103" t="s">
        <v>10</v>
      </c>
      <c r="F1103">
        <v>3449904</v>
      </c>
      <c r="G1103" s="1">
        <v>499</v>
      </c>
      <c r="H1103" s="2">
        <v>811259</v>
      </c>
      <c r="I1103" t="str">
        <f>VLOOKUP(Tabela2[[#This Row],[PAIS]],'[1]nome do paixs'!$A:$B,2,0)</f>
        <v>França</v>
      </c>
      <c r="J1103" t="s">
        <v>12</v>
      </c>
    </row>
    <row r="1104" spans="1:10">
      <c r="A1104">
        <v>2023</v>
      </c>
      <c r="B1104">
        <v>8</v>
      </c>
      <c r="C1104">
        <v>8807</v>
      </c>
      <c r="D1104">
        <v>538</v>
      </c>
      <c r="E1104" t="s">
        <v>10</v>
      </c>
      <c r="F1104">
        <v>3449904</v>
      </c>
      <c r="G1104" s="1">
        <v>38</v>
      </c>
      <c r="H1104" s="2">
        <v>27232</v>
      </c>
      <c r="I1104" t="str">
        <f>VLOOKUP(Tabela2[[#This Row],[PAIS]],'[1]nome do paixs'!$A:$B,2,0)</f>
        <v>Noruega</v>
      </c>
      <c r="J1104" t="s">
        <v>12</v>
      </c>
    </row>
    <row r="1105" spans="1:10">
      <c r="A1105">
        <v>2023</v>
      </c>
      <c r="B1105">
        <v>11</v>
      </c>
      <c r="C1105">
        <v>8807</v>
      </c>
      <c r="D1105">
        <v>153</v>
      </c>
      <c r="E1105" t="s">
        <v>10</v>
      </c>
      <c r="F1105">
        <v>3449904</v>
      </c>
      <c r="G1105" s="1">
        <v>28</v>
      </c>
      <c r="H1105" s="2">
        <v>28497</v>
      </c>
      <c r="I1105" t="str">
        <f>VLOOKUP(Tabela2[[#This Row],[PAIS]],'[1]nome do paixs'!$A:$B,2,0)</f>
        <v>Cazaquistão</v>
      </c>
      <c r="J1105" t="s">
        <v>12</v>
      </c>
    </row>
    <row r="1106" spans="1:10">
      <c r="A1106">
        <v>2023</v>
      </c>
      <c r="B1106">
        <v>1</v>
      </c>
      <c r="C1106">
        <v>8807</v>
      </c>
      <c r="D1106">
        <v>741</v>
      </c>
      <c r="E1106" t="s">
        <v>10</v>
      </c>
      <c r="F1106">
        <v>3449904</v>
      </c>
      <c r="G1106" s="1">
        <v>1</v>
      </c>
      <c r="H1106" s="2">
        <v>527</v>
      </c>
      <c r="I1106" t="str">
        <f>VLOOKUP(Tabela2[[#This Row],[PAIS]],'[1]nome do paixs'!$A:$B,2,0)</f>
        <v>Singapura</v>
      </c>
      <c r="J1106" t="s">
        <v>12</v>
      </c>
    </row>
    <row r="1107" spans="1:10">
      <c r="A1107">
        <v>2023</v>
      </c>
      <c r="B1107">
        <v>6</v>
      </c>
      <c r="C1107">
        <v>8807</v>
      </c>
      <c r="D1107">
        <v>23</v>
      </c>
      <c r="E1107" t="s">
        <v>10</v>
      </c>
      <c r="F1107">
        <v>3449904</v>
      </c>
      <c r="G1107" s="1">
        <v>540</v>
      </c>
      <c r="H1107" s="2">
        <v>679512</v>
      </c>
      <c r="I1107" t="str">
        <f>VLOOKUP(Tabela2[[#This Row],[PAIS]],'[1]nome do paixs'!$A:$B,2,0)</f>
        <v>Alemanha</v>
      </c>
      <c r="J1107" t="s">
        <v>12</v>
      </c>
    </row>
    <row r="1108" spans="1:10">
      <c r="A1108">
        <v>2023</v>
      </c>
      <c r="B1108">
        <v>8</v>
      </c>
      <c r="C1108">
        <v>8807</v>
      </c>
      <c r="D1108">
        <v>275</v>
      </c>
      <c r="E1108" t="s">
        <v>10</v>
      </c>
      <c r="F1108">
        <v>3449904</v>
      </c>
      <c r="G1108" s="1">
        <v>212</v>
      </c>
      <c r="H1108" s="2">
        <v>190959</v>
      </c>
      <c r="I1108" t="str">
        <f>VLOOKUP(Tabela2[[#This Row],[PAIS]],'[1]nome do paixs'!$A:$B,2,0)</f>
        <v>França</v>
      </c>
      <c r="J1108" t="s">
        <v>12</v>
      </c>
    </row>
    <row r="1109" spans="1:10">
      <c r="A1109">
        <v>2023</v>
      </c>
      <c r="B1109">
        <v>4</v>
      </c>
      <c r="C1109">
        <v>8807</v>
      </c>
      <c r="D1109">
        <v>72</v>
      </c>
      <c r="E1109" t="s">
        <v>10</v>
      </c>
      <c r="F1109">
        <v>3449904</v>
      </c>
      <c r="G1109" s="1">
        <v>1</v>
      </c>
      <c r="H1109" s="2">
        <v>14564</v>
      </c>
      <c r="I1109" t="str">
        <f>VLOOKUP(Tabela2[[#This Row],[PAIS]],'[1]nome do paixs'!$A:$B,2,0)</f>
        <v>Áustria</v>
      </c>
      <c r="J1109" t="s">
        <v>12</v>
      </c>
    </row>
    <row r="1110" spans="1:10">
      <c r="A1110">
        <v>2023</v>
      </c>
      <c r="B1110">
        <v>4</v>
      </c>
      <c r="C1110">
        <v>8807</v>
      </c>
      <c r="D1110">
        <v>573</v>
      </c>
      <c r="E1110" t="s">
        <v>10</v>
      </c>
      <c r="F1110">
        <v>3449904</v>
      </c>
      <c r="G1110" s="1">
        <v>7</v>
      </c>
      <c r="H1110" s="2">
        <v>24717</v>
      </c>
      <c r="I1110" t="str">
        <f>VLOOKUP(Tabela2[[#This Row],[PAIS]],'[1]nome do paixs'!$A:$B,2,0)</f>
        <v>Países Baixos (Holanda)</v>
      </c>
      <c r="J1110" t="s">
        <v>12</v>
      </c>
    </row>
    <row r="1111" spans="1:10">
      <c r="A1111">
        <v>2023</v>
      </c>
      <c r="B1111">
        <v>8</v>
      </c>
      <c r="C1111">
        <v>8807</v>
      </c>
      <c r="D1111">
        <v>573</v>
      </c>
      <c r="E1111" t="s">
        <v>10</v>
      </c>
      <c r="F1111">
        <v>3449904</v>
      </c>
      <c r="G1111" s="1">
        <v>0</v>
      </c>
      <c r="H1111" s="2">
        <v>436</v>
      </c>
      <c r="I1111" t="str">
        <f>VLOOKUP(Tabela2[[#This Row],[PAIS]],'[1]nome do paixs'!$A:$B,2,0)</f>
        <v>Países Baixos (Holanda)</v>
      </c>
      <c r="J1111" t="s">
        <v>12</v>
      </c>
    </row>
    <row r="1112" spans="1:10">
      <c r="A1112">
        <v>2023</v>
      </c>
      <c r="B1112">
        <v>4</v>
      </c>
      <c r="C1112">
        <v>8807</v>
      </c>
      <c r="D1112">
        <v>158</v>
      </c>
      <c r="E1112" t="s">
        <v>10</v>
      </c>
      <c r="F1112">
        <v>3449904</v>
      </c>
      <c r="G1112" s="1">
        <v>1</v>
      </c>
      <c r="H1112" s="2">
        <v>8757</v>
      </c>
      <c r="I1112" t="str">
        <f>VLOOKUP(Tabela2[[#This Row],[PAIS]],'[1]nome do paixs'!$A:$B,2,0)</f>
        <v>Chile</v>
      </c>
      <c r="J1112" t="s">
        <v>12</v>
      </c>
    </row>
    <row r="1113" spans="1:10">
      <c r="A1113">
        <v>2023</v>
      </c>
      <c r="B1113">
        <v>11</v>
      </c>
      <c r="C1113">
        <v>8807</v>
      </c>
      <c r="D1113">
        <v>767</v>
      </c>
      <c r="E1113" t="s">
        <v>10</v>
      </c>
      <c r="F1113">
        <v>3449904</v>
      </c>
      <c r="G1113" s="1">
        <v>64</v>
      </c>
      <c r="H1113" s="2">
        <v>45386</v>
      </c>
      <c r="I1113" t="str">
        <f>VLOOKUP(Tabela2[[#This Row],[PAIS]],'[1]nome do paixs'!$A:$B,2,0)</f>
        <v>Suíça</v>
      </c>
      <c r="J1113" t="s">
        <v>12</v>
      </c>
    </row>
    <row r="1114" spans="1:10">
      <c r="A1114">
        <v>2023</v>
      </c>
      <c r="B1114">
        <v>5</v>
      </c>
      <c r="C1114">
        <v>8807</v>
      </c>
      <c r="D1114">
        <v>301</v>
      </c>
      <c r="E1114" t="s">
        <v>10</v>
      </c>
      <c r="F1114">
        <v>3449904</v>
      </c>
      <c r="G1114" s="1">
        <v>0</v>
      </c>
      <c r="H1114" s="2">
        <v>1483</v>
      </c>
      <c r="I1114" t="str">
        <f>VLOOKUP(Tabela2[[#This Row],[PAIS]],'[1]nome do paixs'!$A:$B,2,0)</f>
        <v>Grécia</v>
      </c>
      <c r="J1114" t="s">
        <v>12</v>
      </c>
    </row>
    <row r="1115" spans="1:10">
      <c r="A1115">
        <v>2023</v>
      </c>
      <c r="B1115">
        <v>3</v>
      </c>
      <c r="C1115">
        <v>8807</v>
      </c>
      <c r="D1115">
        <v>23</v>
      </c>
      <c r="E1115" t="s">
        <v>10</v>
      </c>
      <c r="F1115">
        <v>3449904</v>
      </c>
      <c r="G1115" s="1">
        <v>639</v>
      </c>
      <c r="H1115" s="2">
        <v>739950</v>
      </c>
      <c r="I1115" t="str">
        <f>VLOOKUP(Tabela2[[#This Row],[PAIS]],'[1]nome do paixs'!$A:$B,2,0)</f>
        <v>Alemanha</v>
      </c>
      <c r="J1115" t="s">
        <v>12</v>
      </c>
    </row>
    <row r="1116" spans="1:10">
      <c r="A1116">
        <v>2023</v>
      </c>
      <c r="B1116">
        <v>4</v>
      </c>
      <c r="C1116">
        <v>8807</v>
      </c>
      <c r="D1116">
        <v>858</v>
      </c>
      <c r="E1116" t="s">
        <v>10</v>
      </c>
      <c r="F1116">
        <v>3449904</v>
      </c>
      <c r="G1116" s="1">
        <v>0</v>
      </c>
      <c r="H1116" s="2">
        <v>1307</v>
      </c>
      <c r="I1116" t="str">
        <f>VLOOKUP(Tabela2[[#This Row],[PAIS]],'[1]nome do paixs'!$A:$B,2,0)</f>
        <v>Vietnã</v>
      </c>
      <c r="J1116" t="s">
        <v>12</v>
      </c>
    </row>
    <row r="1117" spans="1:10">
      <c r="A1117">
        <v>2023</v>
      </c>
      <c r="B1117">
        <v>12</v>
      </c>
      <c r="C1117">
        <v>8807</v>
      </c>
      <c r="D1117">
        <v>386</v>
      </c>
      <c r="E1117" t="s">
        <v>10</v>
      </c>
      <c r="F1117">
        <v>3449904</v>
      </c>
      <c r="G1117" s="1">
        <v>1626</v>
      </c>
      <c r="H1117" s="2">
        <v>613828</v>
      </c>
      <c r="I1117" t="str">
        <f>VLOOKUP(Tabela2[[#This Row],[PAIS]],'[1]nome do paixs'!$A:$B,2,0)</f>
        <v>Itália</v>
      </c>
      <c r="J1117" t="s">
        <v>12</v>
      </c>
    </row>
    <row r="1118" spans="1:10">
      <c r="A1118">
        <v>2023</v>
      </c>
      <c r="B1118">
        <v>7</v>
      </c>
      <c r="C1118">
        <v>8807</v>
      </c>
      <c r="D1118">
        <v>573</v>
      </c>
      <c r="E1118" t="s">
        <v>10</v>
      </c>
      <c r="F1118">
        <v>3449904</v>
      </c>
      <c r="G1118" s="1">
        <v>12</v>
      </c>
      <c r="H1118" s="2">
        <v>5939</v>
      </c>
      <c r="I1118" t="str">
        <f>VLOOKUP(Tabela2[[#This Row],[PAIS]],'[1]nome do paixs'!$A:$B,2,0)</f>
        <v>Países Baixos (Holanda)</v>
      </c>
      <c r="J1118" t="s">
        <v>12</v>
      </c>
    </row>
    <row r="1119" spans="1:10">
      <c r="A1119">
        <v>2023</v>
      </c>
      <c r="B1119">
        <v>2</v>
      </c>
      <c r="C1119">
        <v>8807</v>
      </c>
      <c r="D1119">
        <v>160</v>
      </c>
      <c r="E1119" t="s">
        <v>10</v>
      </c>
      <c r="F1119">
        <v>3449904</v>
      </c>
      <c r="G1119" s="1">
        <v>11</v>
      </c>
      <c r="H1119" s="2">
        <v>11333</v>
      </c>
      <c r="I1119" t="str">
        <f>VLOOKUP(Tabela2[[#This Row],[PAIS]],'[1]nome do paixs'!$A:$B,2,0)</f>
        <v>China</v>
      </c>
      <c r="J1119" t="s">
        <v>12</v>
      </c>
    </row>
    <row r="1120" spans="1:10">
      <c r="A1120">
        <v>2023</v>
      </c>
      <c r="B1120">
        <v>5</v>
      </c>
      <c r="C1120">
        <v>8807</v>
      </c>
      <c r="D1120">
        <v>245</v>
      </c>
      <c r="E1120" t="s">
        <v>10</v>
      </c>
      <c r="F1120">
        <v>3449904</v>
      </c>
      <c r="G1120" s="1">
        <v>3641</v>
      </c>
      <c r="H1120" s="2">
        <v>1618014</v>
      </c>
      <c r="I1120" t="str">
        <f>VLOOKUP(Tabela2[[#This Row],[PAIS]],'[1]nome do paixs'!$A:$B,2,0)</f>
        <v>Espanha</v>
      </c>
      <c r="J1120" t="s">
        <v>12</v>
      </c>
    </row>
    <row r="1121" spans="1:10">
      <c r="A1121">
        <v>2023</v>
      </c>
      <c r="B1121">
        <v>12</v>
      </c>
      <c r="C1121">
        <v>8807</v>
      </c>
      <c r="D1121">
        <v>87</v>
      </c>
      <c r="E1121" t="s">
        <v>10</v>
      </c>
      <c r="F1121">
        <v>3449904</v>
      </c>
      <c r="G1121" s="1">
        <v>11631</v>
      </c>
      <c r="H1121" s="2">
        <v>6137224</v>
      </c>
      <c r="I1121" t="str">
        <f>VLOOKUP(Tabela2[[#This Row],[PAIS]],'[1]nome do paixs'!$A:$B,2,0)</f>
        <v>Bélgica</v>
      </c>
      <c r="J1121" t="s">
        <v>12</v>
      </c>
    </row>
    <row r="1122" spans="1:10">
      <c r="A1122">
        <v>2023</v>
      </c>
      <c r="B1122">
        <v>3</v>
      </c>
      <c r="C1122">
        <v>8807</v>
      </c>
      <c r="D1122">
        <v>87</v>
      </c>
      <c r="E1122" t="s">
        <v>10</v>
      </c>
      <c r="F1122">
        <v>3449904</v>
      </c>
      <c r="G1122" s="1">
        <v>7693</v>
      </c>
      <c r="H1122" s="2">
        <v>4044613</v>
      </c>
      <c r="I1122" t="str">
        <f>VLOOKUP(Tabela2[[#This Row],[PAIS]],'[1]nome do paixs'!$A:$B,2,0)</f>
        <v>Bélgica</v>
      </c>
      <c r="J1122" t="s">
        <v>12</v>
      </c>
    </row>
    <row r="1123" spans="1:10">
      <c r="A1123">
        <v>2023</v>
      </c>
      <c r="B1123">
        <v>3</v>
      </c>
      <c r="C1123">
        <v>8807</v>
      </c>
      <c r="D1123">
        <v>603</v>
      </c>
      <c r="E1123" t="s">
        <v>10</v>
      </c>
      <c r="F1123">
        <v>3449904</v>
      </c>
      <c r="G1123" s="1">
        <v>13</v>
      </c>
      <c r="H1123" s="2">
        <v>23486</v>
      </c>
      <c r="I1123" t="str">
        <f>VLOOKUP(Tabela2[[#This Row],[PAIS]],'[1]nome do paixs'!$A:$B,2,0)</f>
        <v>Polônia</v>
      </c>
      <c r="J1123" t="s">
        <v>12</v>
      </c>
    </row>
    <row r="1124" spans="1:10">
      <c r="A1124">
        <v>2023</v>
      </c>
      <c r="B1124">
        <v>11</v>
      </c>
      <c r="C1124">
        <v>8807</v>
      </c>
      <c r="D1124">
        <v>190</v>
      </c>
      <c r="E1124" t="s">
        <v>10</v>
      </c>
      <c r="F1124">
        <v>3449904</v>
      </c>
      <c r="G1124" s="1">
        <v>65</v>
      </c>
      <c r="H1124" s="2">
        <v>105640</v>
      </c>
      <c r="I1124" t="str">
        <f>VLOOKUP(Tabela2[[#This Row],[PAIS]],'[1]nome do paixs'!$A:$B,2,0)</f>
        <v>Coreia do Sul</v>
      </c>
      <c r="J1124" t="s">
        <v>12</v>
      </c>
    </row>
    <row r="1125" spans="1:10">
      <c r="A1125">
        <v>2023</v>
      </c>
      <c r="B1125">
        <v>12</v>
      </c>
      <c r="C1125">
        <v>8807</v>
      </c>
      <c r="D1125">
        <v>628</v>
      </c>
      <c r="E1125" t="s">
        <v>10</v>
      </c>
      <c r="F1125">
        <v>3449904</v>
      </c>
      <c r="G1125" s="1">
        <v>268</v>
      </c>
      <c r="H1125" s="2">
        <v>332610</v>
      </c>
      <c r="I1125" t="str">
        <f>VLOOKUP(Tabela2[[#This Row],[PAIS]],'[1]nome do paixs'!$A:$B,2,0)</f>
        <v>Reino Unido</v>
      </c>
      <c r="J1125" t="s">
        <v>12</v>
      </c>
    </row>
    <row r="1126" spans="1:10">
      <c r="A1126">
        <v>2023</v>
      </c>
      <c r="B1126">
        <v>9</v>
      </c>
      <c r="C1126">
        <v>8807</v>
      </c>
      <c r="D1126">
        <v>756</v>
      </c>
      <c r="E1126" t="s">
        <v>10</v>
      </c>
      <c r="F1126">
        <v>3449904</v>
      </c>
      <c r="G1126" s="1">
        <v>2</v>
      </c>
      <c r="H1126" s="2">
        <v>10048</v>
      </c>
      <c r="I1126" t="str">
        <f>VLOOKUP(Tabela2[[#This Row],[PAIS]],'[1]nome do paixs'!$A:$B,2,0)</f>
        <v>África do Sul</v>
      </c>
      <c r="J1126" t="s">
        <v>12</v>
      </c>
    </row>
    <row r="1127" spans="1:10">
      <c r="A1127">
        <v>2023</v>
      </c>
      <c r="B1127">
        <v>4</v>
      </c>
      <c r="C1127">
        <v>8807</v>
      </c>
      <c r="D1127">
        <v>153</v>
      </c>
      <c r="E1127" t="s">
        <v>10</v>
      </c>
      <c r="F1127">
        <v>3449904</v>
      </c>
      <c r="G1127" s="1">
        <v>0</v>
      </c>
      <c r="H1127" s="2">
        <v>1088</v>
      </c>
      <c r="I1127" t="str">
        <f>VLOOKUP(Tabela2[[#This Row],[PAIS]],'[1]nome do paixs'!$A:$B,2,0)</f>
        <v>Cazaquistão</v>
      </c>
      <c r="J1127" t="s">
        <v>12</v>
      </c>
    </row>
    <row r="1128" spans="1:10">
      <c r="A1128">
        <v>2023</v>
      </c>
      <c r="B1128">
        <v>12</v>
      </c>
      <c r="C1128">
        <v>8807</v>
      </c>
      <c r="D1128">
        <v>245</v>
      </c>
      <c r="E1128" t="s">
        <v>10</v>
      </c>
      <c r="F1128">
        <v>3449904</v>
      </c>
      <c r="G1128" s="1">
        <v>5855</v>
      </c>
      <c r="H1128" s="2">
        <v>2898760</v>
      </c>
      <c r="I1128" t="str">
        <f>VLOOKUP(Tabela2[[#This Row],[PAIS]],'[1]nome do paixs'!$A:$B,2,0)</f>
        <v>Espanha</v>
      </c>
      <c r="J1128" t="s">
        <v>12</v>
      </c>
    </row>
    <row r="1129" spans="1:10">
      <c r="A1129">
        <v>2023</v>
      </c>
      <c r="B1129">
        <v>12</v>
      </c>
      <c r="C1129">
        <v>8807</v>
      </c>
      <c r="D1129">
        <v>158</v>
      </c>
      <c r="E1129" t="s">
        <v>10</v>
      </c>
      <c r="F1129">
        <v>3449904</v>
      </c>
      <c r="G1129" s="1">
        <v>79</v>
      </c>
      <c r="H1129" s="2">
        <v>222745</v>
      </c>
      <c r="I1129" t="str">
        <f>VLOOKUP(Tabela2[[#This Row],[PAIS]],'[1]nome do paixs'!$A:$B,2,0)</f>
        <v>Chile</v>
      </c>
      <c r="J1129" t="s">
        <v>12</v>
      </c>
    </row>
    <row r="1130" spans="1:10">
      <c r="A1130">
        <v>2023</v>
      </c>
      <c r="B1130">
        <v>11</v>
      </c>
      <c r="C1130">
        <v>8807</v>
      </c>
      <c r="D1130">
        <v>442</v>
      </c>
      <c r="E1130" t="s">
        <v>10</v>
      </c>
      <c r="F1130">
        <v>3449904</v>
      </c>
      <c r="G1130" s="1">
        <v>0</v>
      </c>
      <c r="H1130" s="2">
        <v>418</v>
      </c>
      <c r="I1130" t="str">
        <f>VLOOKUP(Tabela2[[#This Row],[PAIS]],'[1]nome do paixs'!$A:$B,2,0)</f>
        <v>Lituânia</v>
      </c>
      <c r="J1130" t="s">
        <v>12</v>
      </c>
    </row>
    <row r="1131" spans="1:10">
      <c r="A1131">
        <v>2023</v>
      </c>
      <c r="B1131">
        <v>8</v>
      </c>
      <c r="C1131">
        <v>8807</v>
      </c>
      <c r="D1131">
        <v>169</v>
      </c>
      <c r="E1131" t="s">
        <v>10</v>
      </c>
      <c r="F1131">
        <v>3449904</v>
      </c>
      <c r="G1131" s="1">
        <v>2</v>
      </c>
      <c r="H1131" s="2">
        <v>107000</v>
      </c>
      <c r="I1131" t="str">
        <f>VLOOKUP(Tabela2[[#This Row],[PAIS]],'[1]nome do paixs'!$A:$B,2,0)</f>
        <v>Colômbia</v>
      </c>
      <c r="J1131" t="s">
        <v>12</v>
      </c>
    </row>
    <row r="1132" spans="1:10">
      <c r="A1132">
        <v>2023</v>
      </c>
      <c r="B1132">
        <v>11</v>
      </c>
      <c r="C1132">
        <v>8807</v>
      </c>
      <c r="D1132">
        <v>239</v>
      </c>
      <c r="E1132" t="s">
        <v>10</v>
      </c>
      <c r="F1132">
        <v>3449904</v>
      </c>
      <c r="G1132" s="1">
        <v>0</v>
      </c>
      <c r="H1132" s="2">
        <v>1487</v>
      </c>
      <c r="I1132" t="str">
        <f>VLOOKUP(Tabela2[[#This Row],[PAIS]],'[1]nome do paixs'!$A:$B,2,0)</f>
        <v>Equador</v>
      </c>
      <c r="J1132" t="s">
        <v>12</v>
      </c>
    </row>
    <row r="1133" spans="1:10">
      <c r="A1133">
        <v>2023</v>
      </c>
      <c r="B1133">
        <v>6</v>
      </c>
      <c r="C1133">
        <v>8807</v>
      </c>
      <c r="D1133">
        <v>249</v>
      </c>
      <c r="E1133" t="s">
        <v>10</v>
      </c>
      <c r="F1133">
        <v>3449904</v>
      </c>
      <c r="G1133" s="1">
        <v>4875</v>
      </c>
      <c r="H1133" s="2">
        <v>3999719</v>
      </c>
      <c r="I1133" t="str">
        <f>VLOOKUP(Tabela2[[#This Row],[PAIS]],'[1]nome do paixs'!$A:$B,2,0)</f>
        <v>Estados Unidos</v>
      </c>
      <c r="J1133" t="s">
        <v>12</v>
      </c>
    </row>
    <row r="1134" spans="1:10">
      <c r="A1134">
        <v>2023</v>
      </c>
      <c r="B1134">
        <v>11</v>
      </c>
      <c r="C1134">
        <v>8807</v>
      </c>
      <c r="D1134">
        <v>386</v>
      </c>
      <c r="E1134" t="s">
        <v>10</v>
      </c>
      <c r="F1134">
        <v>3449904</v>
      </c>
      <c r="G1134" s="1">
        <v>171</v>
      </c>
      <c r="H1134" s="2">
        <v>57315</v>
      </c>
      <c r="I1134" t="str">
        <f>VLOOKUP(Tabela2[[#This Row],[PAIS]],'[1]nome do paixs'!$A:$B,2,0)</f>
        <v>Itália</v>
      </c>
      <c r="J1134" t="s">
        <v>12</v>
      </c>
    </row>
    <row r="1135" spans="1:10">
      <c r="A1135">
        <v>2023</v>
      </c>
      <c r="B1135">
        <v>6</v>
      </c>
      <c r="C1135">
        <v>8807</v>
      </c>
      <c r="D1135">
        <v>741</v>
      </c>
      <c r="E1135" t="s">
        <v>10</v>
      </c>
      <c r="F1135">
        <v>3449904</v>
      </c>
      <c r="G1135" s="1">
        <v>2</v>
      </c>
      <c r="H1135" s="2">
        <v>3214</v>
      </c>
      <c r="I1135" t="str">
        <f>VLOOKUP(Tabela2[[#This Row],[PAIS]],'[1]nome do paixs'!$A:$B,2,0)</f>
        <v>Singapura</v>
      </c>
      <c r="J1135" t="s">
        <v>12</v>
      </c>
    </row>
    <row r="1136" spans="1:10">
      <c r="A1136">
        <v>2023</v>
      </c>
      <c r="B1136">
        <v>6</v>
      </c>
      <c r="C1136">
        <v>8807</v>
      </c>
      <c r="D1136">
        <v>245</v>
      </c>
      <c r="E1136" t="s">
        <v>10</v>
      </c>
      <c r="F1136">
        <v>3449904</v>
      </c>
      <c r="G1136" s="1">
        <v>4439</v>
      </c>
      <c r="H1136" s="2">
        <v>2228145</v>
      </c>
      <c r="I1136" t="str">
        <f>VLOOKUP(Tabela2[[#This Row],[PAIS]],'[1]nome do paixs'!$A:$B,2,0)</f>
        <v>Espanha</v>
      </c>
      <c r="J1136" t="s">
        <v>12</v>
      </c>
    </row>
    <row r="1137" spans="1:10">
      <c r="A1137">
        <v>2023</v>
      </c>
      <c r="B1137">
        <v>2</v>
      </c>
      <c r="C1137">
        <v>8807</v>
      </c>
      <c r="D1137">
        <v>245</v>
      </c>
      <c r="E1137" t="s">
        <v>10</v>
      </c>
      <c r="F1137">
        <v>3449904</v>
      </c>
      <c r="G1137" s="1">
        <v>4894</v>
      </c>
      <c r="H1137" s="2">
        <v>2137266</v>
      </c>
      <c r="I1137" t="str">
        <f>VLOOKUP(Tabela2[[#This Row],[PAIS]],'[1]nome do paixs'!$A:$B,2,0)</f>
        <v>Espanha</v>
      </c>
      <c r="J1137" t="s">
        <v>12</v>
      </c>
    </row>
    <row r="1138" spans="1:10">
      <c r="A1138">
        <v>2023</v>
      </c>
      <c r="B1138">
        <v>2</v>
      </c>
      <c r="C1138">
        <v>8807</v>
      </c>
      <c r="D1138">
        <v>275</v>
      </c>
      <c r="E1138" t="s">
        <v>10</v>
      </c>
      <c r="F1138">
        <v>3449904</v>
      </c>
      <c r="G1138" s="1">
        <v>122</v>
      </c>
      <c r="H1138" s="2">
        <v>153134</v>
      </c>
      <c r="I1138" t="str">
        <f>VLOOKUP(Tabela2[[#This Row],[PAIS]],'[1]nome do paixs'!$A:$B,2,0)</f>
        <v>França</v>
      </c>
      <c r="J1138" t="s">
        <v>12</v>
      </c>
    </row>
    <row r="1139" spans="1:10">
      <c r="A1139">
        <v>2023</v>
      </c>
      <c r="B1139">
        <v>4</v>
      </c>
      <c r="C1139">
        <v>8807</v>
      </c>
      <c r="D1139">
        <v>493</v>
      </c>
      <c r="E1139" t="s">
        <v>10</v>
      </c>
      <c r="F1139">
        <v>3449904</v>
      </c>
      <c r="G1139" s="1">
        <v>119</v>
      </c>
      <c r="H1139" s="2">
        <v>215716</v>
      </c>
      <c r="I1139" t="str">
        <f>VLOOKUP(Tabela2[[#This Row],[PAIS]],'[1]nome do paixs'!$A:$B,2,0)</f>
        <v>México</v>
      </c>
      <c r="J1139" t="s">
        <v>12</v>
      </c>
    </row>
    <row r="1140" spans="1:10">
      <c r="A1140">
        <v>2023</v>
      </c>
      <c r="B1140">
        <v>10</v>
      </c>
      <c r="C1140">
        <v>8807</v>
      </c>
      <c r="D1140">
        <v>275</v>
      </c>
      <c r="E1140" t="s">
        <v>10</v>
      </c>
      <c r="F1140">
        <v>3449904</v>
      </c>
      <c r="G1140" s="1">
        <v>97</v>
      </c>
      <c r="H1140" s="2">
        <v>100653</v>
      </c>
      <c r="I1140" t="str">
        <f>VLOOKUP(Tabela2[[#This Row],[PAIS]],'[1]nome do paixs'!$A:$B,2,0)</f>
        <v>França</v>
      </c>
      <c r="J1140" t="s">
        <v>12</v>
      </c>
    </row>
    <row r="1141" spans="1:10">
      <c r="A1141">
        <v>2023</v>
      </c>
      <c r="B1141">
        <v>9</v>
      </c>
      <c r="C1141">
        <v>8807</v>
      </c>
      <c r="D1141">
        <v>528</v>
      </c>
      <c r="E1141" t="s">
        <v>10</v>
      </c>
      <c r="F1141">
        <v>3449904</v>
      </c>
      <c r="G1141" s="1">
        <v>0</v>
      </c>
      <c r="H1141" s="2">
        <v>654</v>
      </c>
      <c r="I1141" t="str">
        <f>VLOOKUP(Tabela2[[#This Row],[PAIS]],'[1]nome do paixs'!$A:$B,2,0)</f>
        <v>Nigéria</v>
      </c>
      <c r="J1141" t="s">
        <v>12</v>
      </c>
    </row>
    <row r="1142" spans="1:10">
      <c r="A1142">
        <v>2023</v>
      </c>
      <c r="B1142">
        <v>10</v>
      </c>
      <c r="C1142">
        <v>8807</v>
      </c>
      <c r="D1142">
        <v>245</v>
      </c>
      <c r="E1142" t="s">
        <v>10</v>
      </c>
      <c r="F1142">
        <v>3449904</v>
      </c>
      <c r="G1142" s="1">
        <v>5601</v>
      </c>
      <c r="H1142" s="2">
        <v>2756604</v>
      </c>
      <c r="I1142" t="str">
        <f>VLOOKUP(Tabela2[[#This Row],[PAIS]],'[1]nome do paixs'!$A:$B,2,0)</f>
        <v>Espanha</v>
      </c>
      <c r="J1142" t="s">
        <v>12</v>
      </c>
    </row>
    <row r="1143" spans="1:10">
      <c r="A1143">
        <v>2023</v>
      </c>
      <c r="B1143">
        <v>6</v>
      </c>
      <c r="C1143">
        <v>8807</v>
      </c>
      <c r="D1143">
        <v>767</v>
      </c>
      <c r="E1143" t="s">
        <v>10</v>
      </c>
      <c r="F1143">
        <v>3449904</v>
      </c>
      <c r="G1143" s="1">
        <v>1</v>
      </c>
      <c r="H1143" s="2">
        <v>5868</v>
      </c>
      <c r="I1143" t="str">
        <f>VLOOKUP(Tabela2[[#This Row],[PAIS]],'[1]nome do paixs'!$A:$B,2,0)</f>
        <v>Suíça</v>
      </c>
      <c r="J1143" t="s">
        <v>12</v>
      </c>
    </row>
    <row r="1144" spans="1:10">
      <c r="A1144">
        <v>2023</v>
      </c>
      <c r="B1144">
        <v>9</v>
      </c>
      <c r="C1144">
        <v>8807</v>
      </c>
      <c r="D1144">
        <v>603</v>
      </c>
      <c r="E1144" t="s">
        <v>10</v>
      </c>
      <c r="F1144">
        <v>3449904</v>
      </c>
      <c r="G1144" s="1">
        <v>1</v>
      </c>
      <c r="H1144" s="2">
        <v>776</v>
      </c>
      <c r="I1144" t="str">
        <f>VLOOKUP(Tabela2[[#This Row],[PAIS]],'[1]nome do paixs'!$A:$B,2,0)</f>
        <v>Polônia</v>
      </c>
      <c r="J1144" t="s">
        <v>12</v>
      </c>
    </row>
    <row r="1145" spans="1:10">
      <c r="A1145">
        <v>2023</v>
      </c>
      <c r="B1145">
        <v>11</v>
      </c>
      <c r="C1145">
        <v>8807</v>
      </c>
      <c r="D1145">
        <v>160</v>
      </c>
      <c r="E1145" t="s">
        <v>10</v>
      </c>
      <c r="F1145">
        <v>3449904</v>
      </c>
      <c r="G1145" s="1">
        <v>3</v>
      </c>
      <c r="H1145" s="2">
        <v>476</v>
      </c>
      <c r="I1145" t="str">
        <f>VLOOKUP(Tabela2[[#This Row],[PAIS]],'[1]nome do paixs'!$A:$B,2,0)</f>
        <v>China</v>
      </c>
      <c r="J1145" t="s">
        <v>12</v>
      </c>
    </row>
    <row r="1146" spans="1:10">
      <c r="A1146">
        <v>2023</v>
      </c>
      <c r="B1146">
        <v>11</v>
      </c>
      <c r="C1146">
        <v>8807</v>
      </c>
      <c r="D1146">
        <v>741</v>
      </c>
      <c r="E1146" t="s">
        <v>10</v>
      </c>
      <c r="F1146">
        <v>3449904</v>
      </c>
      <c r="G1146" s="1">
        <v>37</v>
      </c>
      <c r="H1146" s="2">
        <v>128391</v>
      </c>
      <c r="I1146" t="str">
        <f>VLOOKUP(Tabela2[[#This Row],[PAIS]],'[1]nome do paixs'!$A:$B,2,0)</f>
        <v>Singapura</v>
      </c>
      <c r="J1146" t="s">
        <v>12</v>
      </c>
    </row>
    <row r="1147" spans="1:10">
      <c r="A1147">
        <v>2023</v>
      </c>
      <c r="B1147">
        <v>4</v>
      </c>
      <c r="C1147">
        <v>8807</v>
      </c>
      <c r="D1147">
        <v>741</v>
      </c>
      <c r="E1147" t="s">
        <v>10</v>
      </c>
      <c r="F1147">
        <v>3449904</v>
      </c>
      <c r="G1147" s="1">
        <v>26</v>
      </c>
      <c r="H1147" s="2">
        <v>28624</v>
      </c>
      <c r="I1147" t="str">
        <f>VLOOKUP(Tabela2[[#This Row],[PAIS]],'[1]nome do paixs'!$A:$B,2,0)</f>
        <v>Singapura</v>
      </c>
      <c r="J1147" t="s">
        <v>12</v>
      </c>
    </row>
    <row r="1148" spans="1:10">
      <c r="A1148">
        <v>2023</v>
      </c>
      <c r="B1148">
        <v>3</v>
      </c>
      <c r="C1148">
        <v>8807</v>
      </c>
      <c r="D1148">
        <v>573</v>
      </c>
      <c r="E1148" t="s">
        <v>10</v>
      </c>
      <c r="F1148">
        <v>3449904</v>
      </c>
      <c r="G1148" s="1">
        <v>0</v>
      </c>
      <c r="H1148" s="2">
        <v>544</v>
      </c>
      <c r="I1148" t="str">
        <f>VLOOKUP(Tabela2[[#This Row],[PAIS]],'[1]nome do paixs'!$A:$B,2,0)</f>
        <v>Países Baixos (Holanda)</v>
      </c>
      <c r="J1148" t="s">
        <v>12</v>
      </c>
    </row>
    <row r="1149" spans="1:10">
      <c r="A1149">
        <v>2023</v>
      </c>
      <c r="B1149">
        <v>3</v>
      </c>
      <c r="C1149">
        <v>8807</v>
      </c>
      <c r="D1149">
        <v>767</v>
      </c>
      <c r="E1149" t="s">
        <v>10</v>
      </c>
      <c r="F1149">
        <v>3449904</v>
      </c>
      <c r="G1149" s="1">
        <v>0</v>
      </c>
      <c r="H1149" s="2">
        <v>163</v>
      </c>
      <c r="I1149" t="str">
        <f>VLOOKUP(Tabela2[[#This Row],[PAIS]],'[1]nome do paixs'!$A:$B,2,0)</f>
        <v>Suíça</v>
      </c>
      <c r="J1149" t="s">
        <v>12</v>
      </c>
    </row>
    <row r="1150" spans="1:10">
      <c r="A1150">
        <v>2023</v>
      </c>
      <c r="B1150">
        <v>3</v>
      </c>
      <c r="C1150">
        <v>8807</v>
      </c>
      <c r="D1150">
        <v>158</v>
      </c>
      <c r="E1150" t="s">
        <v>10</v>
      </c>
      <c r="F1150">
        <v>3449904</v>
      </c>
      <c r="G1150" s="1">
        <v>5</v>
      </c>
      <c r="H1150" s="2">
        <v>9817</v>
      </c>
      <c r="I1150" t="str">
        <f>VLOOKUP(Tabela2[[#This Row],[PAIS]],'[1]nome do paixs'!$A:$B,2,0)</f>
        <v>Chile</v>
      </c>
      <c r="J1150" t="s">
        <v>12</v>
      </c>
    </row>
    <row r="1151" spans="1:10">
      <c r="A1151">
        <v>2023</v>
      </c>
      <c r="B1151">
        <v>8</v>
      </c>
      <c r="C1151">
        <v>8807</v>
      </c>
      <c r="D1151">
        <v>193</v>
      </c>
      <c r="E1151" t="s">
        <v>10</v>
      </c>
      <c r="F1151">
        <v>3449904</v>
      </c>
      <c r="G1151" s="1">
        <v>164</v>
      </c>
      <c r="H1151" s="2">
        <v>354042</v>
      </c>
      <c r="I1151" t="str">
        <f>VLOOKUP(Tabela2[[#This Row],[PAIS]],'[1]nome do paixs'!$A:$B,2,0)</f>
        <v>Costa do Marfim</v>
      </c>
      <c r="J1151" t="s">
        <v>12</v>
      </c>
    </row>
    <row r="1152" spans="1:10">
      <c r="A1152">
        <v>2023</v>
      </c>
      <c r="B1152">
        <v>3</v>
      </c>
      <c r="C1152">
        <v>8807</v>
      </c>
      <c r="D1152">
        <v>249</v>
      </c>
      <c r="E1152" t="s">
        <v>10</v>
      </c>
      <c r="F1152">
        <v>3449904</v>
      </c>
      <c r="G1152" s="1">
        <v>5528</v>
      </c>
      <c r="H1152" s="2">
        <v>4752462</v>
      </c>
      <c r="I1152" t="str">
        <f>VLOOKUP(Tabela2[[#This Row],[PAIS]],'[1]nome do paixs'!$A:$B,2,0)</f>
        <v>Estados Unidos</v>
      </c>
      <c r="J1152" t="s">
        <v>12</v>
      </c>
    </row>
    <row r="1153" spans="1:10">
      <c r="A1153">
        <v>2023</v>
      </c>
      <c r="B1153">
        <v>2</v>
      </c>
      <c r="C1153">
        <v>8807</v>
      </c>
      <c r="D1153">
        <v>249</v>
      </c>
      <c r="E1153" t="s">
        <v>10</v>
      </c>
      <c r="F1153">
        <v>3449904</v>
      </c>
      <c r="G1153" s="1">
        <v>6017</v>
      </c>
      <c r="H1153" s="2">
        <v>3905719</v>
      </c>
      <c r="I1153" t="str">
        <f>VLOOKUP(Tabela2[[#This Row],[PAIS]],'[1]nome do paixs'!$A:$B,2,0)</f>
        <v>Estados Unidos</v>
      </c>
      <c r="J1153" t="s">
        <v>12</v>
      </c>
    </row>
    <row r="1154" spans="1:10">
      <c r="A1154">
        <v>2023</v>
      </c>
      <c r="B1154">
        <v>10</v>
      </c>
      <c r="C1154">
        <v>8807</v>
      </c>
      <c r="D1154">
        <v>87</v>
      </c>
      <c r="E1154" t="s">
        <v>10</v>
      </c>
      <c r="F1154">
        <v>3449904</v>
      </c>
      <c r="G1154" s="1">
        <v>9311</v>
      </c>
      <c r="H1154" s="2">
        <v>4920382</v>
      </c>
      <c r="I1154" t="str">
        <f>VLOOKUP(Tabela2[[#This Row],[PAIS]],'[1]nome do paixs'!$A:$B,2,0)</f>
        <v>Bélgica</v>
      </c>
      <c r="J1154" t="s">
        <v>12</v>
      </c>
    </row>
    <row r="1155" spans="1:10">
      <c r="A1155">
        <v>2023</v>
      </c>
      <c r="B1155">
        <v>9</v>
      </c>
      <c r="C1155">
        <v>8807</v>
      </c>
      <c r="D1155">
        <v>455</v>
      </c>
      <c r="E1155" t="s">
        <v>10</v>
      </c>
      <c r="F1155">
        <v>3449904</v>
      </c>
      <c r="G1155" s="1">
        <v>3</v>
      </c>
      <c r="H1155" s="2">
        <v>1162</v>
      </c>
      <c r="I1155" t="str">
        <f>VLOOKUP(Tabela2[[#This Row],[PAIS]],'[1]nome do paixs'!$A:$B,2,0)</f>
        <v>Malásia</v>
      </c>
      <c r="J1155" t="s">
        <v>12</v>
      </c>
    </row>
    <row r="1156" spans="1:10">
      <c r="A1156">
        <v>2023</v>
      </c>
      <c r="B1156">
        <v>2</v>
      </c>
      <c r="C1156">
        <v>8807</v>
      </c>
      <c r="D1156">
        <v>386</v>
      </c>
      <c r="E1156" t="s">
        <v>10</v>
      </c>
      <c r="F1156">
        <v>3449904</v>
      </c>
      <c r="G1156" s="1">
        <v>205</v>
      </c>
      <c r="H1156" s="2">
        <v>58454</v>
      </c>
      <c r="I1156" t="str">
        <f>VLOOKUP(Tabela2[[#This Row],[PAIS]],'[1]nome do paixs'!$A:$B,2,0)</f>
        <v>Itália</v>
      </c>
      <c r="J1156" t="s">
        <v>12</v>
      </c>
    </row>
    <row r="1157" spans="1:10">
      <c r="A1157">
        <v>2023</v>
      </c>
      <c r="B1157">
        <v>6</v>
      </c>
      <c r="C1157">
        <v>8807</v>
      </c>
      <c r="D1157">
        <v>628</v>
      </c>
      <c r="E1157" t="s">
        <v>10</v>
      </c>
      <c r="F1157">
        <v>3449904</v>
      </c>
      <c r="G1157" s="1">
        <v>1457</v>
      </c>
      <c r="H1157" s="2">
        <v>471731</v>
      </c>
      <c r="I1157" t="str">
        <f>VLOOKUP(Tabela2[[#This Row],[PAIS]],'[1]nome do paixs'!$A:$B,2,0)</f>
        <v>Reino Unido</v>
      </c>
      <c r="J1157" t="s">
        <v>12</v>
      </c>
    </row>
    <row r="1158" spans="1:10">
      <c r="A1158">
        <v>2023</v>
      </c>
      <c r="B1158">
        <v>9</v>
      </c>
      <c r="C1158">
        <v>8807</v>
      </c>
      <c r="D1158">
        <v>190</v>
      </c>
      <c r="E1158" t="s">
        <v>10</v>
      </c>
      <c r="F1158">
        <v>3449904</v>
      </c>
      <c r="G1158" s="1">
        <v>40</v>
      </c>
      <c r="H1158" s="2">
        <v>136761</v>
      </c>
      <c r="I1158" t="str">
        <f>VLOOKUP(Tabela2[[#This Row],[PAIS]],'[1]nome do paixs'!$A:$B,2,0)</f>
        <v>Coreia do Sul</v>
      </c>
      <c r="J1158" t="s">
        <v>12</v>
      </c>
    </row>
    <row r="1159" spans="1:10">
      <c r="A1159">
        <v>2023</v>
      </c>
      <c r="B1159">
        <v>4</v>
      </c>
      <c r="C1159">
        <v>8807</v>
      </c>
      <c r="D1159">
        <v>169</v>
      </c>
      <c r="E1159" t="s">
        <v>10</v>
      </c>
      <c r="F1159">
        <v>3449904</v>
      </c>
      <c r="G1159" s="1">
        <v>31</v>
      </c>
      <c r="H1159" s="2">
        <v>77078</v>
      </c>
      <c r="I1159" t="str">
        <f>VLOOKUP(Tabela2[[#This Row],[PAIS]],'[1]nome do paixs'!$A:$B,2,0)</f>
        <v>Colômbia</v>
      </c>
      <c r="J1159" t="s">
        <v>12</v>
      </c>
    </row>
    <row r="1160" spans="1:10">
      <c r="A1160">
        <v>2023</v>
      </c>
      <c r="B1160">
        <v>4</v>
      </c>
      <c r="C1160">
        <v>8807</v>
      </c>
      <c r="D1160">
        <v>628</v>
      </c>
      <c r="E1160" t="s">
        <v>10</v>
      </c>
      <c r="F1160">
        <v>3449904</v>
      </c>
      <c r="G1160" s="1">
        <v>1553</v>
      </c>
      <c r="H1160" s="2">
        <v>593980</v>
      </c>
      <c r="I1160" t="str">
        <f>VLOOKUP(Tabela2[[#This Row],[PAIS]],'[1]nome do paixs'!$A:$B,2,0)</f>
        <v>Reino Unido</v>
      </c>
      <c r="J1160" t="s">
        <v>12</v>
      </c>
    </row>
    <row r="1161" spans="1:10">
      <c r="A1161">
        <v>2023</v>
      </c>
      <c r="B1161">
        <v>11</v>
      </c>
      <c r="C1161">
        <v>8807</v>
      </c>
      <c r="D1161">
        <v>149</v>
      </c>
      <c r="E1161" t="s">
        <v>10</v>
      </c>
      <c r="F1161">
        <v>3449904</v>
      </c>
      <c r="G1161" s="1">
        <v>0</v>
      </c>
      <c r="H1161" s="2">
        <v>3005</v>
      </c>
      <c r="I1161" t="str">
        <f>VLOOKUP(Tabela2[[#This Row],[PAIS]],'[1]nome do paixs'!$A:$B,2,0)</f>
        <v>Canadá</v>
      </c>
      <c r="J1161" t="s">
        <v>12</v>
      </c>
    </row>
    <row r="1162" spans="1:10">
      <c r="A1162">
        <v>2023</v>
      </c>
      <c r="B1162">
        <v>2</v>
      </c>
      <c r="C1162">
        <v>8807</v>
      </c>
      <c r="D1162">
        <v>72</v>
      </c>
      <c r="E1162" t="s">
        <v>10</v>
      </c>
      <c r="F1162">
        <v>3449904</v>
      </c>
      <c r="G1162" s="1">
        <v>1</v>
      </c>
      <c r="H1162" s="2">
        <v>14564</v>
      </c>
      <c r="I1162" t="str">
        <f>VLOOKUP(Tabela2[[#This Row],[PAIS]],'[1]nome do paixs'!$A:$B,2,0)</f>
        <v>Áustria</v>
      </c>
      <c r="J1162" t="s">
        <v>12</v>
      </c>
    </row>
    <row r="1163" spans="1:10">
      <c r="A1163">
        <v>2023</v>
      </c>
      <c r="B1163">
        <v>11</v>
      </c>
      <c r="C1163">
        <v>8807</v>
      </c>
      <c r="D1163">
        <v>245</v>
      </c>
      <c r="E1163" t="s">
        <v>10</v>
      </c>
      <c r="F1163">
        <v>3449904</v>
      </c>
      <c r="G1163" s="1">
        <v>4867</v>
      </c>
      <c r="H1163" s="2">
        <v>2462653</v>
      </c>
      <c r="I1163" t="str">
        <f>VLOOKUP(Tabela2[[#This Row],[PAIS]],'[1]nome do paixs'!$A:$B,2,0)</f>
        <v>Espanha</v>
      </c>
      <c r="J1163" t="s">
        <v>12</v>
      </c>
    </row>
    <row r="1164" spans="1:10">
      <c r="A1164">
        <v>2023</v>
      </c>
      <c r="B1164">
        <v>9</v>
      </c>
      <c r="C1164">
        <v>8807</v>
      </c>
      <c r="D1164">
        <v>607</v>
      </c>
      <c r="E1164" t="s">
        <v>10</v>
      </c>
      <c r="F1164">
        <v>3449904</v>
      </c>
      <c r="G1164" s="1">
        <v>101</v>
      </c>
      <c r="H1164" s="2">
        <v>115473</v>
      </c>
      <c r="I1164" t="str">
        <f>VLOOKUP(Tabela2[[#This Row],[PAIS]],'[1]nome do paixs'!$A:$B,2,0)</f>
        <v>Portugal</v>
      </c>
      <c r="J1164" t="s">
        <v>12</v>
      </c>
    </row>
    <row r="1165" spans="1:10">
      <c r="A1165">
        <v>2023</v>
      </c>
      <c r="B1165">
        <v>12</v>
      </c>
      <c r="C1165">
        <v>8807</v>
      </c>
      <c r="D1165">
        <v>355</v>
      </c>
      <c r="E1165" t="s">
        <v>10</v>
      </c>
      <c r="F1165">
        <v>3449904</v>
      </c>
      <c r="G1165" s="1">
        <v>807</v>
      </c>
      <c r="H1165" s="2">
        <v>663965</v>
      </c>
      <c r="I1165" t="str">
        <f>VLOOKUP(Tabela2[[#This Row],[PAIS]],'[1]nome do paixs'!$A:$B,2,0)</f>
        <v>Hungria</v>
      </c>
      <c r="J1165" t="s">
        <v>12</v>
      </c>
    </row>
    <row r="1166" spans="1:10">
      <c r="A1166">
        <v>2023</v>
      </c>
      <c r="B1166">
        <v>1</v>
      </c>
      <c r="C1166">
        <v>8807</v>
      </c>
      <c r="D1166">
        <v>87</v>
      </c>
      <c r="E1166" t="s">
        <v>10</v>
      </c>
      <c r="F1166">
        <v>3449904</v>
      </c>
      <c r="G1166" s="1">
        <v>7187</v>
      </c>
      <c r="H1166" s="2">
        <v>3607987</v>
      </c>
      <c r="I1166" t="str">
        <f>VLOOKUP(Tabela2[[#This Row],[PAIS]],'[1]nome do paixs'!$A:$B,2,0)</f>
        <v>Bélgica</v>
      </c>
      <c r="J1166" t="s">
        <v>12</v>
      </c>
    </row>
    <row r="1167" spans="1:10">
      <c r="A1167">
        <v>2023</v>
      </c>
      <c r="B1167">
        <v>9</v>
      </c>
      <c r="C1167">
        <v>8807</v>
      </c>
      <c r="D1167">
        <v>767</v>
      </c>
      <c r="E1167" t="s">
        <v>10</v>
      </c>
      <c r="F1167">
        <v>3449904</v>
      </c>
      <c r="G1167" s="1">
        <v>140</v>
      </c>
      <c r="H1167" s="2">
        <v>102614</v>
      </c>
      <c r="I1167" t="str">
        <f>VLOOKUP(Tabela2[[#This Row],[PAIS]],'[1]nome do paixs'!$A:$B,2,0)</f>
        <v>Suíça</v>
      </c>
      <c r="J1167" t="s">
        <v>12</v>
      </c>
    </row>
    <row r="1168" spans="1:10">
      <c r="A1168">
        <v>2023</v>
      </c>
      <c r="B1168">
        <v>10</v>
      </c>
      <c r="C1168">
        <v>8807</v>
      </c>
      <c r="D1168">
        <v>244</v>
      </c>
      <c r="E1168" t="s">
        <v>10</v>
      </c>
      <c r="F1168">
        <v>3449904</v>
      </c>
      <c r="G1168" s="1">
        <v>175</v>
      </c>
      <c r="H1168" s="2">
        <v>211662</v>
      </c>
      <c r="I1168" t="str">
        <f>VLOOKUP(Tabela2[[#This Row],[PAIS]],'[1]nome do paixs'!$A:$B,2,0)</f>
        <v>Emirados Árabes Unidos</v>
      </c>
      <c r="J1168" t="s">
        <v>12</v>
      </c>
    </row>
    <row r="1169" spans="1:10">
      <c r="A1169">
        <v>2023</v>
      </c>
      <c r="B1169">
        <v>2</v>
      </c>
      <c r="C1169">
        <v>8807</v>
      </c>
      <c r="D1169">
        <v>628</v>
      </c>
      <c r="E1169" t="s">
        <v>10</v>
      </c>
      <c r="F1169">
        <v>3449904</v>
      </c>
      <c r="G1169" s="1">
        <v>1926</v>
      </c>
      <c r="H1169" s="2">
        <v>671929</v>
      </c>
      <c r="I1169" t="str">
        <f>VLOOKUP(Tabela2[[#This Row],[PAIS]],'[1]nome do paixs'!$A:$B,2,0)</f>
        <v>Reino Unido</v>
      </c>
      <c r="J1169" t="s">
        <v>12</v>
      </c>
    </row>
    <row r="1170" spans="1:10">
      <c r="A1170">
        <v>2023</v>
      </c>
      <c r="B1170">
        <v>12</v>
      </c>
      <c r="C1170">
        <v>8807</v>
      </c>
      <c r="D1170">
        <v>741</v>
      </c>
      <c r="E1170" t="s">
        <v>10</v>
      </c>
      <c r="F1170">
        <v>3449904</v>
      </c>
      <c r="G1170" s="1">
        <v>22</v>
      </c>
      <c r="H1170" s="2">
        <v>26662</v>
      </c>
      <c r="I1170" t="str">
        <f>VLOOKUP(Tabela2[[#This Row],[PAIS]],'[1]nome do paixs'!$A:$B,2,0)</f>
        <v>Singapura</v>
      </c>
      <c r="J1170" t="s">
        <v>12</v>
      </c>
    </row>
    <row r="1171" spans="1:10">
      <c r="A1171">
        <v>2023</v>
      </c>
      <c r="B1171">
        <v>8</v>
      </c>
      <c r="C1171">
        <v>8807</v>
      </c>
      <c r="D1171">
        <v>741</v>
      </c>
      <c r="E1171" t="s">
        <v>10</v>
      </c>
      <c r="F1171">
        <v>3449904</v>
      </c>
      <c r="G1171" s="1">
        <v>13</v>
      </c>
      <c r="H1171" s="2">
        <v>6044</v>
      </c>
      <c r="I1171" t="str">
        <f>VLOOKUP(Tabela2[[#This Row],[PAIS]],'[1]nome do paixs'!$A:$B,2,0)</f>
        <v>Singapura</v>
      </c>
      <c r="J1171" t="s">
        <v>12</v>
      </c>
    </row>
    <row r="1172" spans="1:10">
      <c r="A1172">
        <v>2023</v>
      </c>
      <c r="B1172">
        <v>4</v>
      </c>
      <c r="C1172">
        <v>8807</v>
      </c>
      <c r="D1172">
        <v>386</v>
      </c>
      <c r="E1172" t="s">
        <v>10</v>
      </c>
      <c r="F1172">
        <v>3449904</v>
      </c>
      <c r="G1172" s="1">
        <v>22</v>
      </c>
      <c r="H1172" s="2">
        <v>5561</v>
      </c>
      <c r="I1172" t="str">
        <f>VLOOKUP(Tabela2[[#This Row],[PAIS]],'[1]nome do paixs'!$A:$B,2,0)</f>
        <v>Itália</v>
      </c>
      <c r="J1172" t="s">
        <v>12</v>
      </c>
    </row>
    <row r="1173" spans="1:10">
      <c r="A1173">
        <v>2023</v>
      </c>
      <c r="B1173">
        <v>8</v>
      </c>
      <c r="C1173">
        <v>8807</v>
      </c>
      <c r="D1173">
        <v>493</v>
      </c>
      <c r="E1173" t="s">
        <v>10</v>
      </c>
      <c r="F1173">
        <v>3449904</v>
      </c>
      <c r="G1173" s="1">
        <v>158</v>
      </c>
      <c r="H1173" s="2">
        <v>330527</v>
      </c>
      <c r="I1173" t="str">
        <f>VLOOKUP(Tabela2[[#This Row],[PAIS]],'[1]nome do paixs'!$A:$B,2,0)</f>
        <v>México</v>
      </c>
      <c r="J1173" t="s">
        <v>12</v>
      </c>
    </row>
    <row r="1174" spans="1:10">
      <c r="A1174">
        <v>2023</v>
      </c>
      <c r="B1174">
        <v>8</v>
      </c>
      <c r="C1174">
        <v>8807</v>
      </c>
      <c r="D1174">
        <v>756</v>
      </c>
      <c r="E1174" t="s">
        <v>10</v>
      </c>
      <c r="F1174">
        <v>3449904</v>
      </c>
      <c r="G1174" s="1">
        <v>5</v>
      </c>
      <c r="H1174" s="2">
        <v>15418</v>
      </c>
      <c r="I1174" t="str">
        <f>VLOOKUP(Tabela2[[#This Row],[PAIS]],'[1]nome do paixs'!$A:$B,2,0)</f>
        <v>África do Sul</v>
      </c>
      <c r="J1174" t="s">
        <v>12</v>
      </c>
    </row>
    <row r="1175" spans="1:10">
      <c r="A1175">
        <v>2023</v>
      </c>
      <c r="B1175">
        <v>7</v>
      </c>
      <c r="C1175">
        <v>8807</v>
      </c>
      <c r="D1175">
        <v>153</v>
      </c>
      <c r="E1175" t="s">
        <v>10</v>
      </c>
      <c r="F1175">
        <v>3449904</v>
      </c>
      <c r="G1175" s="1">
        <v>4</v>
      </c>
      <c r="H1175" s="2">
        <v>16796</v>
      </c>
      <c r="I1175" t="str">
        <f>VLOOKUP(Tabela2[[#This Row],[PAIS]],'[1]nome do paixs'!$A:$B,2,0)</f>
        <v>Cazaquistão</v>
      </c>
      <c r="J1175" t="s">
        <v>12</v>
      </c>
    </row>
    <row r="1176" spans="1:10">
      <c r="A1176">
        <v>2023</v>
      </c>
      <c r="B1176">
        <v>11</v>
      </c>
      <c r="C1176">
        <v>8807</v>
      </c>
      <c r="D1176">
        <v>603</v>
      </c>
      <c r="E1176" t="s">
        <v>10</v>
      </c>
      <c r="F1176">
        <v>3449904</v>
      </c>
      <c r="G1176" s="1">
        <v>30</v>
      </c>
      <c r="H1176" s="2">
        <v>5939</v>
      </c>
      <c r="I1176" t="str">
        <f>VLOOKUP(Tabela2[[#This Row],[PAIS]],'[1]nome do paixs'!$A:$B,2,0)</f>
        <v>Polônia</v>
      </c>
      <c r="J1176" t="s">
        <v>12</v>
      </c>
    </row>
    <row r="1177" spans="1:10">
      <c r="A1177">
        <v>2023</v>
      </c>
      <c r="B1177">
        <v>8</v>
      </c>
      <c r="C1177">
        <v>8807</v>
      </c>
      <c r="D1177">
        <v>399</v>
      </c>
      <c r="E1177" t="s">
        <v>10</v>
      </c>
      <c r="F1177">
        <v>3449904</v>
      </c>
      <c r="G1177" s="1">
        <v>3</v>
      </c>
      <c r="H1177" s="2">
        <v>9261</v>
      </c>
      <c r="I1177" t="str">
        <f>VLOOKUP(Tabela2[[#This Row],[PAIS]],'[1]nome do paixs'!$A:$B,2,0)</f>
        <v>Japão</v>
      </c>
      <c r="J1177" t="s">
        <v>12</v>
      </c>
    </row>
    <row r="1178" spans="1:10">
      <c r="A1178">
        <v>2023</v>
      </c>
      <c r="B1178">
        <v>6</v>
      </c>
      <c r="C1178">
        <v>8807</v>
      </c>
      <c r="D1178">
        <v>493</v>
      </c>
      <c r="E1178" t="s">
        <v>10</v>
      </c>
      <c r="F1178">
        <v>3449904</v>
      </c>
      <c r="G1178" s="1">
        <v>8</v>
      </c>
      <c r="H1178" s="2">
        <v>8642</v>
      </c>
      <c r="I1178" t="str">
        <f>VLOOKUP(Tabela2[[#This Row],[PAIS]],'[1]nome do paixs'!$A:$B,2,0)</f>
        <v>México</v>
      </c>
      <c r="J1178" t="s">
        <v>12</v>
      </c>
    </row>
    <row r="1179" spans="1:10">
      <c r="A1179">
        <v>2023</v>
      </c>
      <c r="B1179">
        <v>6</v>
      </c>
      <c r="C1179">
        <v>8807</v>
      </c>
      <c r="D1179">
        <v>399</v>
      </c>
      <c r="E1179" t="s">
        <v>10</v>
      </c>
      <c r="F1179">
        <v>3449904</v>
      </c>
      <c r="G1179" s="1">
        <v>4</v>
      </c>
      <c r="H1179" s="2">
        <v>11114</v>
      </c>
      <c r="I1179" t="str">
        <f>VLOOKUP(Tabela2[[#This Row],[PAIS]],'[1]nome do paixs'!$A:$B,2,0)</f>
        <v>Japão</v>
      </c>
      <c r="J1179" t="s">
        <v>12</v>
      </c>
    </row>
    <row r="1180" spans="1:10">
      <c r="A1180">
        <v>2023</v>
      </c>
      <c r="B1180">
        <v>6</v>
      </c>
      <c r="C1180">
        <v>8807</v>
      </c>
      <c r="D1180">
        <v>275</v>
      </c>
      <c r="E1180" t="s">
        <v>10</v>
      </c>
      <c r="F1180">
        <v>3449904</v>
      </c>
      <c r="G1180" s="1">
        <v>289</v>
      </c>
      <c r="H1180" s="2">
        <v>410695</v>
      </c>
      <c r="I1180" t="str">
        <f>VLOOKUP(Tabela2[[#This Row],[PAIS]],'[1]nome do paixs'!$A:$B,2,0)</f>
        <v>França</v>
      </c>
      <c r="J1180" t="s">
        <v>12</v>
      </c>
    </row>
    <row r="1181" spans="1:10">
      <c r="A1181">
        <v>2023</v>
      </c>
      <c r="B1181">
        <v>10</v>
      </c>
      <c r="C1181">
        <v>8807</v>
      </c>
      <c r="D1181">
        <v>63</v>
      </c>
      <c r="E1181" t="s">
        <v>10</v>
      </c>
      <c r="F1181">
        <v>3449904</v>
      </c>
      <c r="G1181" s="1">
        <v>1</v>
      </c>
      <c r="H1181" s="2">
        <v>8749</v>
      </c>
      <c r="I1181" t="str">
        <f>VLOOKUP(Tabela2[[#This Row],[PAIS]],'[1]nome do paixs'!$A:$B,2,0)</f>
        <v>Argentina</v>
      </c>
      <c r="J1181" t="s">
        <v>12</v>
      </c>
    </row>
    <row r="1182" spans="1:10">
      <c r="A1182">
        <v>2023</v>
      </c>
      <c r="B1182">
        <v>7</v>
      </c>
      <c r="C1182">
        <v>8807</v>
      </c>
      <c r="D1182">
        <v>249</v>
      </c>
      <c r="E1182" t="s">
        <v>10</v>
      </c>
      <c r="F1182">
        <v>3449904</v>
      </c>
      <c r="G1182" s="1">
        <v>7768</v>
      </c>
      <c r="H1182" s="2">
        <v>6002119</v>
      </c>
      <c r="I1182" t="str">
        <f>VLOOKUP(Tabela2[[#This Row],[PAIS]],'[1]nome do paixs'!$A:$B,2,0)</f>
        <v>Estados Unidos</v>
      </c>
      <c r="J1182" t="s">
        <v>12</v>
      </c>
    </row>
    <row r="1183" spans="1:10">
      <c r="A1183">
        <v>2023</v>
      </c>
      <c r="B1183">
        <v>12</v>
      </c>
      <c r="C1183">
        <v>8807</v>
      </c>
      <c r="D1183">
        <v>383</v>
      </c>
      <c r="E1183" t="s">
        <v>10</v>
      </c>
      <c r="F1183">
        <v>3449904</v>
      </c>
      <c r="G1183" s="1">
        <v>4</v>
      </c>
      <c r="H1183" s="2">
        <v>94532</v>
      </c>
      <c r="I1183" t="str">
        <f>VLOOKUP(Tabela2[[#This Row],[PAIS]],'[1]nome do paixs'!$A:$B,2,0)</f>
        <v>Israel</v>
      </c>
      <c r="J1183" t="s">
        <v>12</v>
      </c>
    </row>
    <row r="1184" spans="1:10">
      <c r="A1184">
        <v>2023</v>
      </c>
      <c r="B1184">
        <v>6</v>
      </c>
      <c r="C1184">
        <v>8807</v>
      </c>
      <c r="D1184">
        <v>386</v>
      </c>
      <c r="E1184" t="s">
        <v>10</v>
      </c>
      <c r="F1184">
        <v>3449904</v>
      </c>
      <c r="G1184" s="1">
        <v>718</v>
      </c>
      <c r="H1184" s="2">
        <v>324163</v>
      </c>
      <c r="I1184" t="str">
        <f>VLOOKUP(Tabela2[[#This Row],[PAIS]],'[1]nome do paixs'!$A:$B,2,0)</f>
        <v>Itália</v>
      </c>
      <c r="J1184" t="s">
        <v>12</v>
      </c>
    </row>
    <row r="1185" spans="1:10">
      <c r="A1185">
        <v>2023</v>
      </c>
      <c r="B1185">
        <v>7</v>
      </c>
      <c r="C1185">
        <v>8807</v>
      </c>
      <c r="D1185">
        <v>239</v>
      </c>
      <c r="E1185" t="s">
        <v>10</v>
      </c>
      <c r="F1185">
        <v>3449904</v>
      </c>
      <c r="G1185" s="1">
        <v>1</v>
      </c>
      <c r="H1185" s="2">
        <v>5324</v>
      </c>
      <c r="I1185" t="str">
        <f>VLOOKUP(Tabela2[[#This Row],[PAIS]],'[1]nome do paixs'!$A:$B,2,0)</f>
        <v>Equador</v>
      </c>
      <c r="J1185" t="s">
        <v>12</v>
      </c>
    </row>
    <row r="1186" spans="1:10">
      <c r="A1186">
        <v>2023</v>
      </c>
      <c r="B1186">
        <v>1</v>
      </c>
      <c r="C1186">
        <v>8807</v>
      </c>
      <c r="D1186">
        <v>767</v>
      </c>
      <c r="E1186" t="s">
        <v>10</v>
      </c>
      <c r="F1186">
        <v>3449904</v>
      </c>
      <c r="G1186" s="1">
        <v>5</v>
      </c>
      <c r="H1186" s="2">
        <v>19168</v>
      </c>
      <c r="I1186" t="str">
        <f>VLOOKUP(Tabela2[[#This Row],[PAIS]],'[1]nome do paixs'!$A:$B,2,0)</f>
        <v>Suíça</v>
      </c>
      <c r="J1186" t="s">
        <v>12</v>
      </c>
    </row>
    <row r="1187" spans="1:10">
      <c r="A1187">
        <v>2023</v>
      </c>
      <c r="B1187">
        <v>5</v>
      </c>
      <c r="C1187">
        <v>8807</v>
      </c>
      <c r="D1187">
        <v>169</v>
      </c>
      <c r="E1187" t="s">
        <v>10</v>
      </c>
      <c r="F1187">
        <v>3449904</v>
      </c>
      <c r="G1187" s="1">
        <v>7</v>
      </c>
      <c r="H1187" s="2">
        <v>15611</v>
      </c>
      <c r="I1187" t="str">
        <f>VLOOKUP(Tabela2[[#This Row],[PAIS]],'[1]nome do paixs'!$A:$B,2,0)</f>
        <v>Colômbia</v>
      </c>
      <c r="J1187" t="s">
        <v>12</v>
      </c>
    </row>
    <row r="1188" spans="1:10">
      <c r="A1188">
        <v>2023</v>
      </c>
      <c r="B1188">
        <v>7</v>
      </c>
      <c r="C1188">
        <v>8807</v>
      </c>
      <c r="D1188">
        <v>741</v>
      </c>
      <c r="E1188" t="s">
        <v>10</v>
      </c>
      <c r="F1188">
        <v>3449904</v>
      </c>
      <c r="G1188" s="1">
        <v>2</v>
      </c>
      <c r="H1188" s="2">
        <v>2476</v>
      </c>
      <c r="I1188" t="str">
        <f>VLOOKUP(Tabela2[[#This Row],[PAIS]],'[1]nome do paixs'!$A:$B,2,0)</f>
        <v>Singapura</v>
      </c>
      <c r="J1188" t="s">
        <v>12</v>
      </c>
    </row>
    <row r="1189" spans="1:10">
      <c r="A1189">
        <v>2023</v>
      </c>
      <c r="B1189">
        <v>4</v>
      </c>
      <c r="C1189">
        <v>8807</v>
      </c>
      <c r="D1189">
        <v>607</v>
      </c>
      <c r="E1189" t="s">
        <v>10</v>
      </c>
      <c r="F1189">
        <v>3449904</v>
      </c>
      <c r="G1189" s="1">
        <v>74</v>
      </c>
      <c r="H1189" s="2">
        <v>75379</v>
      </c>
      <c r="I1189" t="str">
        <f>VLOOKUP(Tabela2[[#This Row],[PAIS]],'[1]nome do paixs'!$A:$B,2,0)</f>
        <v>Portugal</v>
      </c>
      <c r="J1189" t="s">
        <v>12</v>
      </c>
    </row>
    <row r="1190" spans="1:10">
      <c r="A1190">
        <v>2023</v>
      </c>
      <c r="B1190">
        <v>11</v>
      </c>
      <c r="C1190">
        <v>8807</v>
      </c>
      <c r="D1190">
        <v>23</v>
      </c>
      <c r="E1190" t="s">
        <v>10</v>
      </c>
      <c r="F1190">
        <v>3449904</v>
      </c>
      <c r="G1190" s="1">
        <v>1048</v>
      </c>
      <c r="H1190" s="2">
        <v>889509</v>
      </c>
      <c r="I1190" t="str">
        <f>VLOOKUP(Tabela2[[#This Row],[PAIS]],'[1]nome do paixs'!$A:$B,2,0)</f>
        <v>Alemanha</v>
      </c>
      <c r="J1190" t="s">
        <v>12</v>
      </c>
    </row>
    <row r="1191" spans="1:10">
      <c r="A1191">
        <v>2023</v>
      </c>
      <c r="B1191">
        <v>7</v>
      </c>
      <c r="C1191">
        <v>8807</v>
      </c>
      <c r="D1191">
        <v>607</v>
      </c>
      <c r="E1191" t="s">
        <v>10</v>
      </c>
      <c r="F1191">
        <v>3449904</v>
      </c>
      <c r="G1191" s="1">
        <v>142</v>
      </c>
      <c r="H1191" s="2">
        <v>106237</v>
      </c>
      <c r="I1191" t="str">
        <f>VLOOKUP(Tabela2[[#This Row],[PAIS]],'[1]nome do paixs'!$A:$B,2,0)</f>
        <v>Portugal</v>
      </c>
      <c r="J1191" t="s">
        <v>12</v>
      </c>
    </row>
    <row r="1192" spans="1:10">
      <c r="A1192">
        <v>2023</v>
      </c>
      <c r="B1192">
        <v>4</v>
      </c>
      <c r="C1192">
        <v>8807</v>
      </c>
      <c r="D1192">
        <v>23</v>
      </c>
      <c r="E1192" t="s">
        <v>10</v>
      </c>
      <c r="F1192">
        <v>3449904</v>
      </c>
      <c r="G1192" s="1">
        <v>187</v>
      </c>
      <c r="H1192" s="2">
        <v>265955</v>
      </c>
      <c r="I1192" t="str">
        <f>VLOOKUP(Tabela2[[#This Row],[PAIS]],'[1]nome do paixs'!$A:$B,2,0)</f>
        <v>Alemanha</v>
      </c>
      <c r="J1192" t="s">
        <v>12</v>
      </c>
    </row>
    <row r="1193" spans="1:10">
      <c r="A1193">
        <v>2023</v>
      </c>
      <c r="B1193">
        <v>6</v>
      </c>
      <c r="C1193">
        <v>8807</v>
      </c>
      <c r="D1193">
        <v>160</v>
      </c>
      <c r="E1193" t="s">
        <v>10</v>
      </c>
      <c r="F1193">
        <v>3449904</v>
      </c>
      <c r="G1193" s="1">
        <v>20</v>
      </c>
      <c r="H1193" s="2">
        <v>65635</v>
      </c>
      <c r="I1193" t="str">
        <f>VLOOKUP(Tabela2[[#This Row],[PAIS]],'[1]nome do paixs'!$A:$B,2,0)</f>
        <v>China</v>
      </c>
      <c r="J1193" t="s">
        <v>12</v>
      </c>
    </row>
    <row r="1194" spans="1:10">
      <c r="A1194">
        <v>2023</v>
      </c>
      <c r="B1194">
        <v>3</v>
      </c>
      <c r="C1194">
        <v>8807</v>
      </c>
      <c r="D1194">
        <v>741</v>
      </c>
      <c r="E1194" t="s">
        <v>10</v>
      </c>
      <c r="F1194">
        <v>3449904</v>
      </c>
      <c r="G1194" s="1">
        <v>49</v>
      </c>
      <c r="H1194" s="2">
        <v>58059</v>
      </c>
      <c r="I1194" t="str">
        <f>VLOOKUP(Tabela2[[#This Row],[PAIS]],'[1]nome do paixs'!$A:$B,2,0)</f>
        <v>Singapura</v>
      </c>
      <c r="J1194" t="s">
        <v>12</v>
      </c>
    </row>
    <row r="1195" spans="1:10">
      <c r="A1195">
        <v>2023</v>
      </c>
      <c r="B1195">
        <v>12</v>
      </c>
      <c r="C1195">
        <v>8807</v>
      </c>
      <c r="D1195">
        <v>497</v>
      </c>
      <c r="E1195" t="s">
        <v>10</v>
      </c>
      <c r="F1195">
        <v>3449904</v>
      </c>
      <c r="G1195" s="1">
        <v>1</v>
      </c>
      <c r="H1195" s="2">
        <v>11874</v>
      </c>
      <c r="I1195" t="str">
        <f>VLOOKUP(Tabela2[[#This Row],[PAIS]],'[1]nome do paixs'!$A:$B,2,0)</f>
        <v>Mongólia</v>
      </c>
      <c r="J1195" t="s">
        <v>12</v>
      </c>
    </row>
    <row r="1196" spans="1:10">
      <c r="A1196">
        <v>2023</v>
      </c>
      <c r="B1196">
        <v>3</v>
      </c>
      <c r="C1196">
        <v>8807</v>
      </c>
      <c r="D1196">
        <v>149</v>
      </c>
      <c r="E1196" t="s">
        <v>10</v>
      </c>
      <c r="F1196">
        <v>3449904</v>
      </c>
      <c r="G1196" s="1">
        <v>1</v>
      </c>
      <c r="H1196" s="2">
        <v>4294</v>
      </c>
      <c r="I1196" t="str">
        <f>VLOOKUP(Tabela2[[#This Row],[PAIS]],'[1]nome do paixs'!$A:$B,2,0)</f>
        <v>Canadá</v>
      </c>
      <c r="J1196" t="s">
        <v>12</v>
      </c>
    </row>
    <row r="1197" spans="1:10">
      <c r="A1197">
        <v>2023</v>
      </c>
      <c r="B1197">
        <v>5</v>
      </c>
      <c r="C1197">
        <v>8807</v>
      </c>
      <c r="D1197">
        <v>158</v>
      </c>
      <c r="E1197" t="s">
        <v>10</v>
      </c>
      <c r="F1197">
        <v>3449904</v>
      </c>
      <c r="G1197" s="1">
        <v>0</v>
      </c>
      <c r="H1197" s="2">
        <v>5764</v>
      </c>
      <c r="I1197" t="str">
        <f>VLOOKUP(Tabela2[[#This Row],[PAIS]],'[1]nome do paixs'!$A:$B,2,0)</f>
        <v>Chile</v>
      </c>
      <c r="J1197" t="s">
        <v>12</v>
      </c>
    </row>
    <row r="1198" spans="1:10">
      <c r="A1198">
        <v>2023</v>
      </c>
      <c r="B1198">
        <v>8</v>
      </c>
      <c r="C1198">
        <v>8807</v>
      </c>
      <c r="D1198">
        <v>528</v>
      </c>
      <c r="E1198" t="s">
        <v>10</v>
      </c>
      <c r="F1198">
        <v>3449904</v>
      </c>
      <c r="G1198" s="1">
        <v>5</v>
      </c>
      <c r="H1198" s="2">
        <v>2911</v>
      </c>
      <c r="I1198" t="str">
        <f>VLOOKUP(Tabela2[[#This Row],[PAIS]],'[1]nome do paixs'!$A:$B,2,0)</f>
        <v>Nigéria</v>
      </c>
      <c r="J1198" t="s">
        <v>12</v>
      </c>
    </row>
    <row r="1199" spans="1:10">
      <c r="A1199">
        <v>2023</v>
      </c>
      <c r="B1199">
        <v>4</v>
      </c>
      <c r="C1199">
        <v>8807</v>
      </c>
      <c r="D1199">
        <v>87</v>
      </c>
      <c r="E1199" t="s">
        <v>10</v>
      </c>
      <c r="F1199">
        <v>3449904</v>
      </c>
      <c r="G1199" s="1">
        <v>7933</v>
      </c>
      <c r="H1199" s="2">
        <v>4369634</v>
      </c>
      <c r="I1199" t="str">
        <f>VLOOKUP(Tabela2[[#This Row],[PAIS]],'[1]nome do paixs'!$A:$B,2,0)</f>
        <v>Bélgica</v>
      </c>
      <c r="J1199" t="s">
        <v>12</v>
      </c>
    </row>
    <row r="1200" spans="1:10">
      <c r="A1200">
        <v>2023</v>
      </c>
      <c r="B1200">
        <v>5</v>
      </c>
      <c r="C1200">
        <v>8807</v>
      </c>
      <c r="D1200">
        <v>249</v>
      </c>
      <c r="E1200" t="s">
        <v>10</v>
      </c>
      <c r="F1200">
        <v>3449904</v>
      </c>
      <c r="G1200" s="1">
        <v>8145</v>
      </c>
      <c r="H1200" s="2">
        <v>6815524</v>
      </c>
      <c r="I1200" t="str">
        <f>VLOOKUP(Tabela2[[#This Row],[PAIS]],'[1]nome do paixs'!$A:$B,2,0)</f>
        <v>Estados Unidos</v>
      </c>
      <c r="J1200" t="s">
        <v>12</v>
      </c>
    </row>
    <row r="1201" spans="1:10">
      <c r="A1201">
        <v>2023</v>
      </c>
      <c r="B1201">
        <v>8</v>
      </c>
      <c r="C1201">
        <v>8807</v>
      </c>
      <c r="D1201">
        <v>386</v>
      </c>
      <c r="E1201" t="s">
        <v>10</v>
      </c>
      <c r="F1201">
        <v>3449904</v>
      </c>
      <c r="G1201" s="1">
        <v>971</v>
      </c>
      <c r="H1201" s="2">
        <v>349685</v>
      </c>
      <c r="I1201" t="str">
        <f>VLOOKUP(Tabela2[[#This Row],[PAIS]],'[1]nome do paixs'!$A:$B,2,0)</f>
        <v>Itália</v>
      </c>
      <c r="J1201" t="s">
        <v>12</v>
      </c>
    </row>
    <row r="1202" spans="1:10">
      <c r="A1202">
        <v>2023</v>
      </c>
      <c r="B1202">
        <v>7</v>
      </c>
      <c r="C1202">
        <v>8807</v>
      </c>
      <c r="D1202">
        <v>386</v>
      </c>
      <c r="E1202" t="s">
        <v>10</v>
      </c>
      <c r="F1202">
        <v>3449904</v>
      </c>
      <c r="G1202" s="1">
        <v>773</v>
      </c>
      <c r="H1202" s="2">
        <v>329050</v>
      </c>
      <c r="I1202" t="str">
        <f>VLOOKUP(Tabela2[[#This Row],[PAIS]],'[1]nome do paixs'!$A:$B,2,0)</f>
        <v>Itália</v>
      </c>
      <c r="J1202" t="s">
        <v>12</v>
      </c>
    </row>
    <row r="1203" spans="1:10">
      <c r="A1203">
        <v>2023</v>
      </c>
      <c r="B1203">
        <v>11</v>
      </c>
      <c r="C1203">
        <v>8807</v>
      </c>
      <c r="D1203">
        <v>169</v>
      </c>
      <c r="E1203" t="s">
        <v>10</v>
      </c>
      <c r="F1203">
        <v>3449904</v>
      </c>
      <c r="G1203" s="1">
        <v>0</v>
      </c>
      <c r="H1203" s="2">
        <v>354</v>
      </c>
      <c r="I1203" t="str">
        <f>VLOOKUP(Tabela2[[#This Row],[PAIS]],'[1]nome do paixs'!$A:$B,2,0)</f>
        <v>Colômbia</v>
      </c>
      <c r="J1203" t="s">
        <v>12</v>
      </c>
    </row>
    <row r="1204" spans="1:10">
      <c r="A1204">
        <v>2023</v>
      </c>
      <c r="B1204">
        <v>2</v>
      </c>
      <c r="C1204">
        <v>8807</v>
      </c>
      <c r="D1204">
        <v>741</v>
      </c>
      <c r="E1204" t="s">
        <v>10</v>
      </c>
      <c r="F1204">
        <v>3449904</v>
      </c>
      <c r="G1204" s="1">
        <v>53</v>
      </c>
      <c r="H1204" s="2">
        <v>62934</v>
      </c>
      <c r="I1204" t="str">
        <f>VLOOKUP(Tabela2[[#This Row],[PAIS]],'[1]nome do paixs'!$A:$B,2,0)</f>
        <v>Singapura</v>
      </c>
      <c r="J1204" t="s">
        <v>12</v>
      </c>
    </row>
    <row r="1205" spans="1:10">
      <c r="A1205">
        <v>2023</v>
      </c>
      <c r="B1205">
        <v>8</v>
      </c>
      <c r="C1205">
        <v>8807</v>
      </c>
      <c r="D1205">
        <v>767</v>
      </c>
      <c r="E1205" t="s">
        <v>10</v>
      </c>
      <c r="F1205">
        <v>3449904</v>
      </c>
      <c r="G1205" s="1">
        <v>0</v>
      </c>
      <c r="H1205" s="2">
        <v>2707</v>
      </c>
      <c r="I1205" t="str">
        <f>VLOOKUP(Tabela2[[#This Row],[PAIS]],'[1]nome do paixs'!$A:$B,2,0)</f>
        <v>Suíça</v>
      </c>
      <c r="J1205" t="s">
        <v>12</v>
      </c>
    </row>
    <row r="1206" spans="1:10">
      <c r="A1206">
        <v>2023</v>
      </c>
      <c r="B1206">
        <v>8</v>
      </c>
      <c r="C1206">
        <v>8807</v>
      </c>
      <c r="D1206">
        <v>244</v>
      </c>
      <c r="E1206" t="s">
        <v>10</v>
      </c>
      <c r="F1206">
        <v>3449904</v>
      </c>
      <c r="G1206" s="1">
        <v>35</v>
      </c>
      <c r="H1206" s="2">
        <v>9797</v>
      </c>
      <c r="I1206" t="str">
        <f>VLOOKUP(Tabela2[[#This Row],[PAIS]],'[1]nome do paixs'!$A:$B,2,0)</f>
        <v>Emirados Árabes Unidos</v>
      </c>
      <c r="J1206" t="s">
        <v>12</v>
      </c>
    </row>
    <row r="1207" spans="1:10">
      <c r="A1207">
        <v>2023</v>
      </c>
      <c r="B1207">
        <v>12</v>
      </c>
      <c r="C1207">
        <v>8807</v>
      </c>
      <c r="D1207">
        <v>72</v>
      </c>
      <c r="E1207" t="s">
        <v>10</v>
      </c>
      <c r="F1207">
        <v>3449904</v>
      </c>
      <c r="G1207" s="1">
        <v>2</v>
      </c>
      <c r="H1207" s="2">
        <v>47266</v>
      </c>
      <c r="I1207" t="str">
        <f>VLOOKUP(Tabela2[[#This Row],[PAIS]],'[1]nome do paixs'!$A:$B,2,0)</f>
        <v>Áustria</v>
      </c>
      <c r="J1207" t="s">
        <v>12</v>
      </c>
    </row>
    <row r="1208" spans="1:10">
      <c r="A1208">
        <v>2023</v>
      </c>
      <c r="B1208">
        <v>9</v>
      </c>
      <c r="C1208">
        <v>8807</v>
      </c>
      <c r="D1208">
        <v>160</v>
      </c>
      <c r="E1208" t="s">
        <v>10</v>
      </c>
      <c r="F1208">
        <v>3449904</v>
      </c>
      <c r="G1208" s="1">
        <v>0</v>
      </c>
      <c r="H1208" s="2">
        <v>133</v>
      </c>
      <c r="I1208" t="str">
        <f>VLOOKUP(Tabela2[[#This Row],[PAIS]],'[1]nome do paixs'!$A:$B,2,0)</f>
        <v>China</v>
      </c>
      <c r="J1208" t="s">
        <v>12</v>
      </c>
    </row>
    <row r="1209" spans="1:10">
      <c r="A1209">
        <v>2023</v>
      </c>
      <c r="B1209">
        <v>2</v>
      </c>
      <c r="C1209">
        <v>8807</v>
      </c>
      <c r="D1209">
        <v>756</v>
      </c>
      <c r="E1209" t="s">
        <v>10</v>
      </c>
      <c r="F1209">
        <v>3449904</v>
      </c>
      <c r="G1209" s="1">
        <v>0</v>
      </c>
      <c r="H1209" s="2">
        <v>234</v>
      </c>
      <c r="I1209" t="str">
        <f>VLOOKUP(Tabela2[[#This Row],[PAIS]],'[1]nome do paixs'!$A:$B,2,0)</f>
        <v>África do Sul</v>
      </c>
      <c r="J1209" t="s">
        <v>12</v>
      </c>
    </row>
    <row r="1210" spans="1:10">
      <c r="A1210">
        <v>2023</v>
      </c>
      <c r="B1210">
        <v>10</v>
      </c>
      <c r="C1210">
        <v>8807</v>
      </c>
      <c r="D1210">
        <v>827</v>
      </c>
      <c r="E1210" t="s">
        <v>10</v>
      </c>
      <c r="F1210">
        <v>3449904</v>
      </c>
      <c r="G1210" s="1">
        <v>4</v>
      </c>
      <c r="H1210" s="2">
        <v>12792</v>
      </c>
      <c r="I1210" t="str">
        <f>VLOOKUP(Tabela2[[#This Row],[PAIS]],'[1]nome do paixs'!$A:$B,2,0)</f>
        <v>Turquia</v>
      </c>
      <c r="J1210" t="s">
        <v>12</v>
      </c>
    </row>
    <row r="1211" spans="1:10">
      <c r="A1211">
        <v>2023</v>
      </c>
      <c r="B1211">
        <v>9</v>
      </c>
      <c r="C1211">
        <v>8807</v>
      </c>
      <c r="D1211">
        <v>386</v>
      </c>
      <c r="E1211" t="s">
        <v>10</v>
      </c>
      <c r="F1211">
        <v>3449904</v>
      </c>
      <c r="G1211" s="1">
        <v>198</v>
      </c>
      <c r="H1211" s="2">
        <v>105808</v>
      </c>
      <c r="I1211" t="str">
        <f>VLOOKUP(Tabela2[[#This Row],[PAIS]],'[1]nome do paixs'!$A:$B,2,0)</f>
        <v>Itália</v>
      </c>
      <c r="J1211" t="s">
        <v>12</v>
      </c>
    </row>
    <row r="1212" spans="1:10">
      <c r="A1212">
        <v>2023</v>
      </c>
      <c r="B1212">
        <v>10</v>
      </c>
      <c r="C1212">
        <v>8807</v>
      </c>
      <c r="D1212">
        <v>607</v>
      </c>
      <c r="E1212" t="s">
        <v>10</v>
      </c>
      <c r="F1212">
        <v>3449904</v>
      </c>
      <c r="G1212" s="1">
        <v>142</v>
      </c>
      <c r="H1212" s="2">
        <v>145537</v>
      </c>
      <c r="I1212" t="str">
        <f>VLOOKUP(Tabela2[[#This Row],[PAIS]],'[1]nome do paixs'!$A:$B,2,0)</f>
        <v>Portugal</v>
      </c>
      <c r="J1212" t="s">
        <v>12</v>
      </c>
    </row>
    <row r="1213" spans="1:10">
      <c r="A1213">
        <v>2023</v>
      </c>
      <c r="B1213">
        <v>7</v>
      </c>
      <c r="C1213">
        <v>8807</v>
      </c>
      <c r="D1213">
        <v>23</v>
      </c>
      <c r="E1213" t="s">
        <v>10</v>
      </c>
      <c r="F1213">
        <v>3449904</v>
      </c>
      <c r="G1213" s="1">
        <v>358</v>
      </c>
      <c r="H1213" s="2">
        <v>330564</v>
      </c>
      <c r="I1213" t="str">
        <f>VLOOKUP(Tabela2[[#This Row],[PAIS]],'[1]nome do paixs'!$A:$B,2,0)</f>
        <v>Alemanha</v>
      </c>
      <c r="J1213" t="s">
        <v>12</v>
      </c>
    </row>
    <row r="1214" spans="1:10">
      <c r="A1214">
        <v>2023</v>
      </c>
      <c r="B1214">
        <v>10</v>
      </c>
      <c r="C1214">
        <v>8807</v>
      </c>
      <c r="D1214">
        <v>31</v>
      </c>
      <c r="E1214" t="s">
        <v>10</v>
      </c>
      <c r="F1214">
        <v>3449904</v>
      </c>
      <c r="G1214" s="1">
        <v>0</v>
      </c>
      <c r="H1214" s="2">
        <v>3836</v>
      </c>
      <c r="I1214" t="str">
        <f>VLOOKUP(Tabela2[[#This Row],[PAIS]],'[1]nome do paixs'!$A:$B,2,0)</f>
        <v>Burkina Faso</v>
      </c>
      <c r="J1214" t="s">
        <v>12</v>
      </c>
    </row>
    <row r="1215" spans="1:10">
      <c r="A1215">
        <v>2023</v>
      </c>
      <c r="B1215">
        <v>8</v>
      </c>
      <c r="C1215">
        <v>8807</v>
      </c>
      <c r="D1215">
        <v>607</v>
      </c>
      <c r="E1215" t="s">
        <v>10</v>
      </c>
      <c r="F1215">
        <v>3449904</v>
      </c>
      <c r="G1215" s="1">
        <v>78</v>
      </c>
      <c r="H1215" s="2">
        <v>121227</v>
      </c>
      <c r="I1215" t="str">
        <f>VLOOKUP(Tabela2[[#This Row],[PAIS]],'[1]nome do paixs'!$A:$B,2,0)</f>
        <v>Portugal</v>
      </c>
      <c r="J1215" t="s">
        <v>12</v>
      </c>
    </row>
    <row r="1216" spans="1:10">
      <c r="A1216">
        <v>2023</v>
      </c>
      <c r="B1216">
        <v>9</v>
      </c>
      <c r="C1216">
        <v>8807</v>
      </c>
      <c r="D1216">
        <v>239</v>
      </c>
      <c r="E1216" t="s">
        <v>10</v>
      </c>
      <c r="F1216">
        <v>3449904</v>
      </c>
      <c r="G1216" s="1">
        <v>18</v>
      </c>
      <c r="H1216" s="2">
        <v>58395</v>
      </c>
      <c r="I1216" t="str">
        <f>VLOOKUP(Tabela2[[#This Row],[PAIS]],'[1]nome do paixs'!$A:$B,2,0)</f>
        <v>Equador</v>
      </c>
      <c r="J1216" t="s">
        <v>12</v>
      </c>
    </row>
    <row r="1217" spans="1:10">
      <c r="A1217">
        <v>2023</v>
      </c>
      <c r="B1217">
        <v>11</v>
      </c>
      <c r="C1217">
        <v>8807</v>
      </c>
      <c r="D1217">
        <v>528</v>
      </c>
      <c r="E1217" t="s">
        <v>10</v>
      </c>
      <c r="F1217">
        <v>3449904</v>
      </c>
      <c r="G1217" s="1">
        <v>2</v>
      </c>
      <c r="H1217" s="2">
        <v>9051</v>
      </c>
      <c r="I1217" t="str">
        <f>VLOOKUP(Tabela2[[#This Row],[PAIS]],'[1]nome do paixs'!$A:$B,2,0)</f>
        <v>Nigéria</v>
      </c>
      <c r="J1217" t="s">
        <v>12</v>
      </c>
    </row>
    <row r="1218" spans="1:10">
      <c r="A1218">
        <v>2023</v>
      </c>
      <c r="B1218">
        <v>8</v>
      </c>
      <c r="C1218">
        <v>8807</v>
      </c>
      <c r="D1218">
        <v>628</v>
      </c>
      <c r="E1218" t="s">
        <v>10</v>
      </c>
      <c r="F1218">
        <v>3449904</v>
      </c>
      <c r="G1218" s="1">
        <v>1509</v>
      </c>
      <c r="H1218" s="2">
        <v>516321</v>
      </c>
      <c r="I1218" t="str">
        <f>VLOOKUP(Tabela2[[#This Row],[PAIS]],'[1]nome do paixs'!$A:$B,2,0)</f>
        <v>Reino Unido</v>
      </c>
      <c r="J1218" t="s">
        <v>12</v>
      </c>
    </row>
    <row r="1219" spans="1:10">
      <c r="A1219">
        <v>2023</v>
      </c>
      <c r="B1219">
        <v>12</v>
      </c>
      <c r="C1219">
        <v>8807</v>
      </c>
      <c r="D1219">
        <v>169</v>
      </c>
      <c r="E1219" t="s">
        <v>10</v>
      </c>
      <c r="F1219">
        <v>3449904</v>
      </c>
      <c r="G1219" s="1">
        <v>0</v>
      </c>
      <c r="H1219" s="2">
        <v>6229</v>
      </c>
      <c r="I1219" t="str">
        <f>VLOOKUP(Tabela2[[#This Row],[PAIS]],'[1]nome do paixs'!$A:$B,2,0)</f>
        <v>Colômbia</v>
      </c>
      <c r="J1219" t="s">
        <v>12</v>
      </c>
    </row>
    <row r="1220" spans="1:10">
      <c r="A1220">
        <v>2023</v>
      </c>
      <c r="B1220">
        <v>4</v>
      </c>
      <c r="C1220">
        <v>8807</v>
      </c>
      <c r="D1220">
        <v>249</v>
      </c>
      <c r="E1220" t="s">
        <v>10</v>
      </c>
      <c r="F1220">
        <v>3449904</v>
      </c>
      <c r="G1220" s="1">
        <v>5010</v>
      </c>
      <c r="H1220" s="2">
        <v>3869805</v>
      </c>
      <c r="I1220" t="str">
        <f>VLOOKUP(Tabela2[[#This Row],[PAIS]],'[1]nome do paixs'!$A:$B,2,0)</f>
        <v>Estados Unidos</v>
      </c>
      <c r="J1220" t="s">
        <v>12</v>
      </c>
    </row>
    <row r="1221" spans="1:10">
      <c r="A1221">
        <v>2023</v>
      </c>
      <c r="B1221">
        <v>5</v>
      </c>
      <c r="C1221">
        <v>8807</v>
      </c>
      <c r="D1221">
        <v>767</v>
      </c>
      <c r="E1221" t="s">
        <v>10</v>
      </c>
      <c r="F1221">
        <v>3449904</v>
      </c>
      <c r="G1221" s="1">
        <v>0</v>
      </c>
      <c r="H1221" s="2">
        <v>976</v>
      </c>
      <c r="I1221" t="str">
        <f>VLOOKUP(Tabela2[[#This Row],[PAIS]],'[1]nome do paixs'!$A:$B,2,0)</f>
        <v>Suíça</v>
      </c>
      <c r="J1221" t="s">
        <v>12</v>
      </c>
    </row>
    <row r="1222" spans="1:10">
      <c r="A1222">
        <v>2023</v>
      </c>
      <c r="B1222">
        <v>7</v>
      </c>
      <c r="C1222">
        <v>8807</v>
      </c>
      <c r="D1222">
        <v>244</v>
      </c>
      <c r="E1222" t="s">
        <v>10</v>
      </c>
      <c r="F1222">
        <v>3449904</v>
      </c>
      <c r="G1222" s="1">
        <v>198</v>
      </c>
      <c r="H1222" s="2">
        <v>29459</v>
      </c>
      <c r="I1222" t="str">
        <f>VLOOKUP(Tabela2[[#This Row],[PAIS]],'[1]nome do paixs'!$A:$B,2,0)</f>
        <v>Emirados Árabes Unidos</v>
      </c>
      <c r="J1222" t="s">
        <v>12</v>
      </c>
    </row>
    <row r="1223" spans="1:10">
      <c r="A1223">
        <v>2023</v>
      </c>
      <c r="B1223">
        <v>12</v>
      </c>
      <c r="C1223">
        <v>8807</v>
      </c>
      <c r="D1223">
        <v>160</v>
      </c>
      <c r="E1223" t="s">
        <v>10</v>
      </c>
      <c r="F1223">
        <v>3449904</v>
      </c>
      <c r="G1223" s="1">
        <v>37</v>
      </c>
      <c r="H1223" s="2">
        <v>22054</v>
      </c>
      <c r="I1223" t="str">
        <f>VLOOKUP(Tabela2[[#This Row],[PAIS]],'[1]nome do paixs'!$A:$B,2,0)</f>
        <v>China</v>
      </c>
      <c r="J1223" t="s">
        <v>12</v>
      </c>
    </row>
    <row r="1224" spans="1:10">
      <c r="A1224">
        <v>2023</v>
      </c>
      <c r="B1224">
        <v>12</v>
      </c>
      <c r="C1224">
        <v>8807</v>
      </c>
      <c r="D1224">
        <v>244</v>
      </c>
      <c r="E1224" t="s">
        <v>10</v>
      </c>
      <c r="F1224">
        <v>3449904</v>
      </c>
      <c r="G1224" s="1">
        <v>369</v>
      </c>
      <c r="H1224" s="2">
        <v>48388</v>
      </c>
      <c r="I1224" t="str">
        <f>VLOOKUP(Tabela2[[#This Row],[PAIS]],'[1]nome do paixs'!$A:$B,2,0)</f>
        <v>Emirados Árabes Unidos</v>
      </c>
      <c r="J1224" t="s">
        <v>12</v>
      </c>
    </row>
    <row r="1225" spans="1:10">
      <c r="A1225">
        <v>2023</v>
      </c>
      <c r="B1225">
        <v>10</v>
      </c>
      <c r="C1225">
        <v>8807</v>
      </c>
      <c r="D1225">
        <v>493</v>
      </c>
      <c r="E1225" t="s">
        <v>10</v>
      </c>
      <c r="F1225">
        <v>3449904</v>
      </c>
      <c r="G1225" s="1">
        <v>25</v>
      </c>
      <c r="H1225" s="2">
        <v>25925</v>
      </c>
      <c r="I1225" t="str">
        <f>VLOOKUP(Tabela2[[#This Row],[PAIS]],'[1]nome do paixs'!$A:$B,2,0)</f>
        <v>México</v>
      </c>
      <c r="J1225" t="s">
        <v>12</v>
      </c>
    </row>
    <row r="1226" spans="1:10">
      <c r="A1226">
        <v>2023</v>
      </c>
      <c r="B1226">
        <v>8</v>
      </c>
      <c r="C1226">
        <v>8807</v>
      </c>
      <c r="D1226">
        <v>245</v>
      </c>
      <c r="E1226" t="s">
        <v>10</v>
      </c>
      <c r="F1226">
        <v>3449904</v>
      </c>
      <c r="G1226" s="1">
        <v>6516</v>
      </c>
      <c r="H1226" s="2">
        <v>3067238</v>
      </c>
      <c r="I1226" t="str">
        <f>VLOOKUP(Tabela2[[#This Row],[PAIS]],'[1]nome do paixs'!$A:$B,2,0)</f>
        <v>Espanha</v>
      </c>
      <c r="J1226" t="s">
        <v>12</v>
      </c>
    </row>
    <row r="1227" spans="1:10">
      <c r="A1227">
        <v>2023</v>
      </c>
      <c r="B1227">
        <v>3</v>
      </c>
      <c r="C1227">
        <v>8807</v>
      </c>
      <c r="D1227">
        <v>756</v>
      </c>
      <c r="E1227" t="s">
        <v>10</v>
      </c>
      <c r="F1227">
        <v>3449904</v>
      </c>
      <c r="G1227" s="1">
        <v>1</v>
      </c>
      <c r="H1227" s="2">
        <v>844</v>
      </c>
      <c r="I1227" t="str">
        <f>VLOOKUP(Tabela2[[#This Row],[PAIS]],'[1]nome do paixs'!$A:$B,2,0)</f>
        <v>África do Sul</v>
      </c>
      <c r="J1227" t="s">
        <v>12</v>
      </c>
    </row>
    <row r="1228" spans="1:10">
      <c r="A1228">
        <v>2023</v>
      </c>
      <c r="B1228">
        <v>12</v>
      </c>
      <c r="C1228">
        <v>8807</v>
      </c>
      <c r="D1228">
        <v>556</v>
      </c>
      <c r="E1228" t="s">
        <v>10</v>
      </c>
      <c r="F1228">
        <v>3449904</v>
      </c>
      <c r="G1228" s="1">
        <v>0</v>
      </c>
      <c r="H1228" s="2">
        <v>874</v>
      </c>
      <c r="I1228" t="str">
        <f>VLOOKUP(Tabela2[[#This Row],[PAIS]],'[1]nome do paixs'!$A:$B,2,0)</f>
        <v>Omã</v>
      </c>
      <c r="J1228" t="s">
        <v>12</v>
      </c>
    </row>
    <row r="1229" spans="1:10">
      <c r="A1229">
        <v>2023</v>
      </c>
      <c r="B1229">
        <v>1</v>
      </c>
      <c r="C1229">
        <v>8807</v>
      </c>
      <c r="D1229">
        <v>573</v>
      </c>
      <c r="E1229" t="s">
        <v>10</v>
      </c>
      <c r="F1229">
        <v>3449904</v>
      </c>
      <c r="G1229" s="1">
        <v>30</v>
      </c>
      <c r="H1229" s="2">
        <v>55411</v>
      </c>
      <c r="I1229" t="str">
        <f>VLOOKUP(Tabela2[[#This Row],[PAIS]],'[1]nome do paixs'!$A:$B,2,0)</f>
        <v>Países Baixos (Holanda)</v>
      </c>
      <c r="J1229" t="s">
        <v>12</v>
      </c>
    </row>
    <row r="1230" spans="1:10">
      <c r="A1230">
        <v>2023</v>
      </c>
      <c r="B1230">
        <v>3</v>
      </c>
      <c r="C1230">
        <v>8807</v>
      </c>
      <c r="D1230">
        <v>97</v>
      </c>
      <c r="E1230" t="s">
        <v>10</v>
      </c>
      <c r="F1230">
        <v>3449904</v>
      </c>
      <c r="G1230" s="1">
        <v>73</v>
      </c>
      <c r="H1230" s="2">
        <v>14850</v>
      </c>
      <c r="I1230" t="str">
        <f>VLOOKUP(Tabela2[[#This Row],[PAIS]],'[1]nome do paixs'!$A:$B,2,0)</f>
        <v>Bolívia</v>
      </c>
      <c r="J1230" t="s">
        <v>12</v>
      </c>
    </row>
    <row r="1231" spans="1:10">
      <c r="A1231">
        <v>2023</v>
      </c>
      <c r="B1231">
        <v>10</v>
      </c>
      <c r="C1231">
        <v>8807</v>
      </c>
      <c r="D1231">
        <v>355</v>
      </c>
      <c r="E1231" t="s">
        <v>10</v>
      </c>
      <c r="F1231">
        <v>3449904</v>
      </c>
      <c r="G1231" s="1">
        <v>0</v>
      </c>
      <c r="H1231" s="2">
        <v>4460</v>
      </c>
      <c r="I1231" t="str">
        <f>VLOOKUP(Tabela2[[#This Row],[PAIS]],'[1]nome do paixs'!$A:$B,2,0)</f>
        <v>Hungria</v>
      </c>
      <c r="J1231" t="s">
        <v>12</v>
      </c>
    </row>
    <row r="1232" spans="1:10">
      <c r="A1232">
        <v>2023</v>
      </c>
      <c r="B1232">
        <v>5</v>
      </c>
      <c r="C1232">
        <v>8807</v>
      </c>
      <c r="D1232">
        <v>72</v>
      </c>
      <c r="E1232" t="s">
        <v>10</v>
      </c>
      <c r="F1232">
        <v>3449904</v>
      </c>
      <c r="G1232" s="1">
        <v>2</v>
      </c>
      <c r="H1232" s="2">
        <v>18725</v>
      </c>
      <c r="I1232" t="str">
        <f>VLOOKUP(Tabela2[[#This Row],[PAIS]],'[1]nome do paixs'!$A:$B,2,0)</f>
        <v>Áustria</v>
      </c>
      <c r="J1232" t="s">
        <v>12</v>
      </c>
    </row>
    <row r="1233" spans="1:10">
      <c r="A1233">
        <v>2023</v>
      </c>
      <c r="B1233">
        <v>12</v>
      </c>
      <c r="C1233">
        <v>8807</v>
      </c>
      <c r="D1233">
        <v>73</v>
      </c>
      <c r="E1233" t="s">
        <v>10</v>
      </c>
      <c r="F1233">
        <v>3449904</v>
      </c>
      <c r="G1233" s="1">
        <v>4</v>
      </c>
      <c r="H1233" s="2">
        <v>83115</v>
      </c>
      <c r="I1233" t="str">
        <f>VLOOKUP(Tabela2[[#This Row],[PAIS]],'[1]nome do paixs'!$A:$B,2,0)</f>
        <v>Azerbaijão</v>
      </c>
      <c r="J1233" t="s">
        <v>12</v>
      </c>
    </row>
    <row r="1234" spans="1:10">
      <c r="A1234">
        <v>2023</v>
      </c>
      <c r="B1234">
        <v>11</v>
      </c>
      <c r="C1234">
        <v>8807</v>
      </c>
      <c r="D1234">
        <v>249</v>
      </c>
      <c r="E1234" t="s">
        <v>10</v>
      </c>
      <c r="F1234">
        <v>3449904</v>
      </c>
      <c r="G1234" s="1">
        <v>6425</v>
      </c>
      <c r="H1234" s="2">
        <v>5567345</v>
      </c>
      <c r="I1234" t="str">
        <f>VLOOKUP(Tabela2[[#This Row],[PAIS]],'[1]nome do paixs'!$A:$B,2,0)</f>
        <v>Estados Unidos</v>
      </c>
      <c r="J1234" t="s">
        <v>12</v>
      </c>
    </row>
    <row r="1235" spans="1:10">
      <c r="A1235">
        <v>2023</v>
      </c>
      <c r="B1235">
        <v>3</v>
      </c>
      <c r="C1235">
        <v>8807</v>
      </c>
      <c r="D1235">
        <v>245</v>
      </c>
      <c r="E1235" t="s">
        <v>10</v>
      </c>
      <c r="F1235">
        <v>3449904</v>
      </c>
      <c r="G1235" s="1">
        <v>5684</v>
      </c>
      <c r="H1235" s="2">
        <v>2727477</v>
      </c>
      <c r="I1235" t="str">
        <f>VLOOKUP(Tabela2[[#This Row],[PAIS]],'[1]nome do paixs'!$A:$B,2,0)</f>
        <v>Espanha</v>
      </c>
      <c r="J1235" t="s">
        <v>12</v>
      </c>
    </row>
    <row r="1236" spans="1:10">
      <c r="A1236">
        <v>2023</v>
      </c>
      <c r="B1236">
        <v>10</v>
      </c>
      <c r="C1236">
        <v>8807</v>
      </c>
      <c r="D1236">
        <v>249</v>
      </c>
      <c r="E1236" t="s">
        <v>10</v>
      </c>
      <c r="F1236">
        <v>3449904</v>
      </c>
      <c r="G1236" s="1">
        <v>5451</v>
      </c>
      <c r="H1236" s="2">
        <v>5028228</v>
      </c>
      <c r="I1236" t="str">
        <f>VLOOKUP(Tabela2[[#This Row],[PAIS]],'[1]nome do paixs'!$A:$B,2,0)</f>
        <v>Estados Unidos</v>
      </c>
      <c r="J1236" t="s">
        <v>12</v>
      </c>
    </row>
    <row r="1237" spans="1:10">
      <c r="A1237">
        <v>2023</v>
      </c>
      <c r="B1237">
        <v>3</v>
      </c>
      <c r="C1237">
        <v>8807</v>
      </c>
      <c r="D1237">
        <v>153</v>
      </c>
      <c r="E1237" t="s">
        <v>10</v>
      </c>
      <c r="F1237">
        <v>3449904</v>
      </c>
      <c r="G1237" s="1">
        <v>6</v>
      </c>
      <c r="H1237" s="2">
        <v>18582</v>
      </c>
      <c r="I1237" t="str">
        <f>VLOOKUP(Tabela2[[#This Row],[PAIS]],'[1]nome do paixs'!$A:$B,2,0)</f>
        <v>Cazaquistão</v>
      </c>
      <c r="J1237" t="s">
        <v>12</v>
      </c>
    </row>
    <row r="1238" spans="1:10">
      <c r="A1238">
        <v>2023</v>
      </c>
      <c r="B1238">
        <v>10</v>
      </c>
      <c r="C1238">
        <v>8807</v>
      </c>
      <c r="D1238">
        <v>160</v>
      </c>
      <c r="E1238" t="s">
        <v>10</v>
      </c>
      <c r="F1238">
        <v>3449904</v>
      </c>
      <c r="G1238" s="1">
        <v>5</v>
      </c>
      <c r="H1238" s="2">
        <v>4151</v>
      </c>
      <c r="I1238" t="str">
        <f>VLOOKUP(Tabela2[[#This Row],[PAIS]],'[1]nome do paixs'!$A:$B,2,0)</f>
        <v>China</v>
      </c>
      <c r="J1238" t="s">
        <v>12</v>
      </c>
    </row>
    <row r="1239" spans="1:10">
      <c r="A1239">
        <v>2023</v>
      </c>
      <c r="B1239">
        <v>11</v>
      </c>
      <c r="C1239">
        <v>8807</v>
      </c>
      <c r="D1239">
        <v>63</v>
      </c>
      <c r="E1239" t="s">
        <v>10</v>
      </c>
      <c r="F1239">
        <v>3449904</v>
      </c>
      <c r="G1239" s="1">
        <v>6</v>
      </c>
      <c r="H1239" s="2">
        <v>15664</v>
      </c>
      <c r="I1239" t="str">
        <f>VLOOKUP(Tabela2[[#This Row],[PAIS]],'[1]nome do paixs'!$A:$B,2,0)</f>
        <v>Argentina</v>
      </c>
      <c r="J1239" t="s">
        <v>12</v>
      </c>
    </row>
    <row r="1240" spans="1:10">
      <c r="A1240">
        <v>2023</v>
      </c>
      <c r="B1240">
        <v>8</v>
      </c>
      <c r="C1240">
        <v>8807</v>
      </c>
      <c r="D1240">
        <v>160</v>
      </c>
      <c r="E1240" t="s">
        <v>10</v>
      </c>
      <c r="F1240">
        <v>3449904</v>
      </c>
      <c r="G1240" s="1">
        <v>7</v>
      </c>
      <c r="H1240" s="2">
        <v>3823</v>
      </c>
      <c r="I1240" t="str">
        <f>VLOOKUP(Tabela2[[#This Row],[PAIS]],'[1]nome do paixs'!$A:$B,2,0)</f>
        <v>China</v>
      </c>
      <c r="J1240" t="s">
        <v>12</v>
      </c>
    </row>
    <row r="1241" spans="1:10">
      <c r="A1241">
        <v>2023</v>
      </c>
      <c r="B1241">
        <v>5</v>
      </c>
      <c r="C1241">
        <v>8807</v>
      </c>
      <c r="D1241">
        <v>386</v>
      </c>
      <c r="E1241" t="s">
        <v>10</v>
      </c>
      <c r="F1241">
        <v>3449904</v>
      </c>
      <c r="G1241" s="1">
        <v>1821</v>
      </c>
      <c r="H1241" s="2">
        <v>642566</v>
      </c>
      <c r="I1241" t="str">
        <f>VLOOKUP(Tabela2[[#This Row],[PAIS]],'[1]nome do paixs'!$A:$B,2,0)</f>
        <v>Itália</v>
      </c>
      <c r="J1241" t="s">
        <v>12</v>
      </c>
    </row>
    <row r="1242" spans="1:10">
      <c r="A1242">
        <v>2023</v>
      </c>
      <c r="B1242">
        <v>12</v>
      </c>
      <c r="C1242">
        <v>8807</v>
      </c>
      <c r="D1242">
        <v>23</v>
      </c>
      <c r="E1242" t="s">
        <v>10</v>
      </c>
      <c r="F1242">
        <v>3449904</v>
      </c>
      <c r="G1242" s="1">
        <v>839</v>
      </c>
      <c r="H1242" s="2">
        <v>1287564</v>
      </c>
      <c r="I1242" t="str">
        <f>VLOOKUP(Tabela2[[#This Row],[PAIS]],'[1]nome do paixs'!$A:$B,2,0)</f>
        <v>Alemanha</v>
      </c>
      <c r="J1242" t="s">
        <v>12</v>
      </c>
    </row>
    <row r="1243" spans="1:10">
      <c r="A1243">
        <v>2023</v>
      </c>
      <c r="B1243">
        <v>1</v>
      </c>
      <c r="C1243">
        <v>8807</v>
      </c>
      <c r="D1243">
        <v>628</v>
      </c>
      <c r="E1243" t="s">
        <v>10</v>
      </c>
      <c r="F1243">
        <v>3449904</v>
      </c>
      <c r="G1243" s="1">
        <v>1054</v>
      </c>
      <c r="H1243" s="2">
        <v>380290</v>
      </c>
      <c r="I1243" t="str">
        <f>VLOOKUP(Tabela2[[#This Row],[PAIS]],'[1]nome do paixs'!$A:$B,2,0)</f>
        <v>Reino Unido</v>
      </c>
      <c r="J1243" t="s">
        <v>12</v>
      </c>
    </row>
    <row r="1244" spans="1:10">
      <c r="A1244">
        <v>2023</v>
      </c>
      <c r="B1244">
        <v>7</v>
      </c>
      <c r="C1244">
        <v>8807</v>
      </c>
      <c r="D1244">
        <v>767</v>
      </c>
      <c r="E1244" t="s">
        <v>10</v>
      </c>
      <c r="F1244">
        <v>3449904</v>
      </c>
      <c r="G1244" s="1">
        <v>18</v>
      </c>
      <c r="H1244" s="2">
        <v>74460</v>
      </c>
      <c r="I1244" t="str">
        <f>VLOOKUP(Tabela2[[#This Row],[PAIS]],'[1]nome do paixs'!$A:$B,2,0)</f>
        <v>Suíça</v>
      </c>
      <c r="J1244" t="s">
        <v>12</v>
      </c>
    </row>
    <row r="1245" spans="1:10">
      <c r="A1245">
        <v>2023</v>
      </c>
      <c r="B1245">
        <v>7</v>
      </c>
      <c r="C1245">
        <v>8807</v>
      </c>
      <c r="D1245">
        <v>149</v>
      </c>
      <c r="E1245" t="s">
        <v>10</v>
      </c>
      <c r="F1245">
        <v>3449904</v>
      </c>
      <c r="G1245" s="1">
        <v>2</v>
      </c>
      <c r="H1245" s="2">
        <v>988</v>
      </c>
      <c r="I1245" t="str">
        <f>VLOOKUP(Tabela2[[#This Row],[PAIS]],'[1]nome do paixs'!$A:$B,2,0)</f>
        <v>Canadá</v>
      </c>
      <c r="J1245" t="s">
        <v>12</v>
      </c>
    </row>
    <row r="1246" spans="1:10">
      <c r="A1246">
        <v>2023</v>
      </c>
      <c r="B1246">
        <v>6</v>
      </c>
      <c r="C1246">
        <v>8807</v>
      </c>
      <c r="D1246">
        <v>603</v>
      </c>
      <c r="E1246" t="s">
        <v>10</v>
      </c>
      <c r="F1246">
        <v>3449904</v>
      </c>
      <c r="G1246" s="1">
        <v>0</v>
      </c>
      <c r="H1246" s="2">
        <v>317</v>
      </c>
      <c r="I1246" t="str">
        <f>VLOOKUP(Tabela2[[#This Row],[PAIS]],'[1]nome do paixs'!$A:$B,2,0)</f>
        <v>Polônia</v>
      </c>
      <c r="J1246" t="s">
        <v>12</v>
      </c>
    </row>
    <row r="1247" spans="1:10">
      <c r="A1247">
        <v>2023</v>
      </c>
      <c r="B1247">
        <v>7</v>
      </c>
      <c r="C1247">
        <v>8807</v>
      </c>
      <c r="D1247">
        <v>442</v>
      </c>
      <c r="E1247" t="s">
        <v>10</v>
      </c>
      <c r="F1247">
        <v>3449904</v>
      </c>
      <c r="G1247" s="1">
        <v>0</v>
      </c>
      <c r="H1247" s="2">
        <v>499</v>
      </c>
      <c r="I1247" t="str">
        <f>VLOOKUP(Tabela2[[#This Row],[PAIS]],'[1]nome do paixs'!$A:$B,2,0)</f>
        <v>Lituânia</v>
      </c>
      <c r="J1247" t="s">
        <v>12</v>
      </c>
    </row>
    <row r="1248" spans="1:10">
      <c r="A1248">
        <v>2023</v>
      </c>
      <c r="B1248">
        <v>2</v>
      </c>
      <c r="C1248">
        <v>8807</v>
      </c>
      <c r="D1248">
        <v>149</v>
      </c>
      <c r="E1248" t="s">
        <v>10</v>
      </c>
      <c r="F1248">
        <v>3449904</v>
      </c>
      <c r="G1248" s="1">
        <v>0</v>
      </c>
      <c r="H1248" s="2">
        <v>312</v>
      </c>
      <c r="I1248" t="str">
        <f>VLOOKUP(Tabela2[[#This Row],[PAIS]],'[1]nome do paixs'!$A:$B,2,0)</f>
        <v>Canadá</v>
      </c>
      <c r="J1248" t="s">
        <v>12</v>
      </c>
    </row>
    <row r="1249" spans="1:10">
      <c r="A1249">
        <v>2023</v>
      </c>
      <c r="B1249">
        <v>12</v>
      </c>
      <c r="C1249">
        <v>8807</v>
      </c>
      <c r="D1249">
        <v>97</v>
      </c>
      <c r="E1249" t="s">
        <v>10</v>
      </c>
      <c r="F1249">
        <v>3449904</v>
      </c>
      <c r="G1249" s="1">
        <v>10</v>
      </c>
      <c r="H1249" s="2">
        <v>2200</v>
      </c>
      <c r="I1249" t="str">
        <f>VLOOKUP(Tabela2[[#This Row],[PAIS]],'[1]nome do paixs'!$A:$B,2,0)</f>
        <v>Bolívia</v>
      </c>
      <c r="J1249" t="s">
        <v>12</v>
      </c>
    </row>
    <row r="1250" spans="1:10">
      <c r="A1250">
        <v>2023</v>
      </c>
      <c r="B1250">
        <v>1</v>
      </c>
      <c r="C1250">
        <v>8807</v>
      </c>
      <c r="D1250">
        <v>756</v>
      </c>
      <c r="E1250" t="s">
        <v>10</v>
      </c>
      <c r="F1250">
        <v>3449904</v>
      </c>
      <c r="G1250" s="1">
        <v>19</v>
      </c>
      <c r="H1250" s="2">
        <v>41003</v>
      </c>
      <c r="I1250" t="str">
        <f>VLOOKUP(Tabela2[[#This Row],[PAIS]],'[1]nome do paixs'!$A:$B,2,0)</f>
        <v>África do Sul</v>
      </c>
      <c r="J1250" t="s">
        <v>12</v>
      </c>
    </row>
    <row r="1251" spans="1:10">
      <c r="A1251">
        <v>2023</v>
      </c>
      <c r="B1251">
        <v>4</v>
      </c>
      <c r="C1251">
        <v>8807</v>
      </c>
      <c r="D1251">
        <v>249</v>
      </c>
      <c r="E1251" t="s">
        <v>10</v>
      </c>
      <c r="F1251">
        <v>3424402</v>
      </c>
      <c r="G1251" s="1">
        <v>242</v>
      </c>
      <c r="H1251" s="2">
        <v>82170</v>
      </c>
      <c r="I1251" t="str">
        <f>VLOOKUP(Tabela2[[#This Row],[PAIS]],'[1]nome do paixs'!$A:$B,2,0)</f>
        <v>Estados Unidos</v>
      </c>
      <c r="J1251" t="s">
        <v>13</v>
      </c>
    </row>
    <row r="1252" spans="1:10">
      <c r="A1252">
        <v>2023</v>
      </c>
      <c r="B1252">
        <v>1</v>
      </c>
      <c r="C1252">
        <v>8807</v>
      </c>
      <c r="D1252">
        <v>275</v>
      </c>
      <c r="E1252" t="s">
        <v>10</v>
      </c>
      <c r="F1252">
        <v>3424402</v>
      </c>
      <c r="G1252" s="1">
        <v>7809</v>
      </c>
      <c r="H1252" s="2">
        <v>4891088</v>
      </c>
      <c r="I1252" t="str">
        <f>VLOOKUP(Tabela2[[#This Row],[PAIS]],'[1]nome do paixs'!$A:$B,2,0)</f>
        <v>França</v>
      </c>
      <c r="J1252" t="s">
        <v>13</v>
      </c>
    </row>
    <row r="1253" spans="1:10">
      <c r="A1253">
        <v>2023</v>
      </c>
      <c r="B1253">
        <v>10</v>
      </c>
      <c r="C1253">
        <v>8807</v>
      </c>
      <c r="D1253">
        <v>275</v>
      </c>
      <c r="E1253" t="s">
        <v>10</v>
      </c>
      <c r="F1253">
        <v>3424402</v>
      </c>
      <c r="G1253" s="1">
        <v>2826</v>
      </c>
      <c r="H1253" s="2">
        <v>2625166</v>
      </c>
      <c r="I1253" t="str">
        <f>VLOOKUP(Tabela2[[#This Row],[PAIS]],'[1]nome do paixs'!$A:$B,2,0)</f>
        <v>França</v>
      </c>
      <c r="J1253" t="s">
        <v>13</v>
      </c>
    </row>
    <row r="1254" spans="1:10">
      <c r="A1254">
        <v>2023</v>
      </c>
      <c r="B1254">
        <v>7</v>
      </c>
      <c r="C1254">
        <v>8807</v>
      </c>
      <c r="D1254">
        <v>249</v>
      </c>
      <c r="E1254" t="s">
        <v>10</v>
      </c>
      <c r="F1254">
        <v>3424402</v>
      </c>
      <c r="G1254" s="1">
        <v>89</v>
      </c>
      <c r="H1254" s="2">
        <v>30729</v>
      </c>
      <c r="I1254" t="str">
        <f>VLOOKUP(Tabela2[[#This Row],[PAIS]],'[1]nome do paixs'!$A:$B,2,0)</f>
        <v>Estados Unidos</v>
      </c>
      <c r="J1254" t="s">
        <v>13</v>
      </c>
    </row>
    <row r="1255" spans="1:10">
      <c r="A1255">
        <v>2023</v>
      </c>
      <c r="B1255">
        <v>9</v>
      </c>
      <c r="C1255">
        <v>8807</v>
      </c>
      <c r="D1255">
        <v>275</v>
      </c>
      <c r="E1255" t="s">
        <v>10</v>
      </c>
      <c r="F1255">
        <v>3424402</v>
      </c>
      <c r="G1255" s="1">
        <v>2818</v>
      </c>
      <c r="H1255" s="2">
        <v>2983908</v>
      </c>
      <c r="I1255" t="str">
        <f>VLOOKUP(Tabela2[[#This Row],[PAIS]],'[1]nome do paixs'!$A:$B,2,0)</f>
        <v>França</v>
      </c>
      <c r="J1255" t="s">
        <v>13</v>
      </c>
    </row>
    <row r="1256" spans="1:10">
      <c r="A1256">
        <v>2023</v>
      </c>
      <c r="B1256">
        <v>11</v>
      </c>
      <c r="C1256">
        <v>8807</v>
      </c>
      <c r="D1256">
        <v>249</v>
      </c>
      <c r="E1256" t="s">
        <v>10</v>
      </c>
      <c r="F1256">
        <v>3424402</v>
      </c>
      <c r="G1256" s="1">
        <v>190</v>
      </c>
      <c r="H1256" s="2">
        <v>79999</v>
      </c>
      <c r="I1256" t="str">
        <f>VLOOKUP(Tabela2[[#This Row],[PAIS]],'[1]nome do paixs'!$A:$B,2,0)</f>
        <v>Estados Unidos</v>
      </c>
      <c r="J1256" t="s">
        <v>13</v>
      </c>
    </row>
    <row r="1257" spans="1:10">
      <c r="A1257">
        <v>2023</v>
      </c>
      <c r="B1257">
        <v>4</v>
      </c>
      <c r="C1257">
        <v>8807</v>
      </c>
      <c r="D1257">
        <v>275</v>
      </c>
      <c r="E1257" t="s">
        <v>10</v>
      </c>
      <c r="F1257">
        <v>3424402</v>
      </c>
      <c r="G1257" s="1">
        <v>4328</v>
      </c>
      <c r="H1257" s="2">
        <v>3616893</v>
      </c>
      <c r="I1257" t="str">
        <f>VLOOKUP(Tabela2[[#This Row],[PAIS]],'[1]nome do paixs'!$A:$B,2,0)</f>
        <v>França</v>
      </c>
      <c r="J1257" t="s">
        <v>13</v>
      </c>
    </row>
    <row r="1258" spans="1:10">
      <c r="A1258">
        <v>2023</v>
      </c>
      <c r="B1258">
        <v>8</v>
      </c>
      <c r="C1258">
        <v>8807</v>
      </c>
      <c r="D1258">
        <v>249</v>
      </c>
      <c r="E1258" t="s">
        <v>10</v>
      </c>
      <c r="F1258">
        <v>3424402</v>
      </c>
      <c r="G1258" s="1">
        <v>310</v>
      </c>
      <c r="H1258" s="2">
        <v>134400</v>
      </c>
      <c r="I1258" t="str">
        <f>VLOOKUP(Tabela2[[#This Row],[PAIS]],'[1]nome do paixs'!$A:$B,2,0)</f>
        <v>Estados Unidos</v>
      </c>
      <c r="J1258" t="s">
        <v>13</v>
      </c>
    </row>
    <row r="1259" spans="1:10">
      <c r="A1259">
        <v>2023</v>
      </c>
      <c r="B1259">
        <v>6</v>
      </c>
      <c r="C1259">
        <v>8807</v>
      </c>
      <c r="D1259">
        <v>275</v>
      </c>
      <c r="E1259" t="s">
        <v>10</v>
      </c>
      <c r="F1259">
        <v>3424402</v>
      </c>
      <c r="G1259" s="1">
        <v>4374</v>
      </c>
      <c r="H1259" s="2">
        <v>3728340</v>
      </c>
      <c r="I1259" t="str">
        <f>VLOOKUP(Tabela2[[#This Row],[PAIS]],'[1]nome do paixs'!$A:$B,2,0)</f>
        <v>França</v>
      </c>
      <c r="J1259" t="s">
        <v>13</v>
      </c>
    </row>
    <row r="1260" spans="1:10">
      <c r="A1260">
        <v>2023</v>
      </c>
      <c r="B1260">
        <v>10</v>
      </c>
      <c r="C1260">
        <v>8807</v>
      </c>
      <c r="D1260">
        <v>249</v>
      </c>
      <c r="E1260" t="s">
        <v>10</v>
      </c>
      <c r="F1260">
        <v>3424402</v>
      </c>
      <c r="G1260" s="1">
        <v>334</v>
      </c>
      <c r="H1260" s="2">
        <v>111310</v>
      </c>
      <c r="I1260" t="str">
        <f>VLOOKUP(Tabela2[[#This Row],[PAIS]],'[1]nome do paixs'!$A:$B,2,0)</f>
        <v>Estados Unidos</v>
      </c>
      <c r="J1260" t="s">
        <v>13</v>
      </c>
    </row>
    <row r="1261" spans="1:10">
      <c r="A1261">
        <v>2023</v>
      </c>
      <c r="B1261">
        <v>2</v>
      </c>
      <c r="C1261">
        <v>8807</v>
      </c>
      <c r="D1261">
        <v>275</v>
      </c>
      <c r="E1261" t="s">
        <v>10</v>
      </c>
      <c r="F1261">
        <v>3424402</v>
      </c>
      <c r="G1261" s="1">
        <v>5910</v>
      </c>
      <c r="H1261" s="2">
        <v>3845936</v>
      </c>
      <c r="I1261" t="str">
        <f>VLOOKUP(Tabela2[[#This Row],[PAIS]],'[1]nome do paixs'!$A:$B,2,0)</f>
        <v>França</v>
      </c>
      <c r="J1261" t="s">
        <v>13</v>
      </c>
    </row>
    <row r="1262" spans="1:10">
      <c r="A1262">
        <v>2023</v>
      </c>
      <c r="B1262">
        <v>12</v>
      </c>
      <c r="C1262">
        <v>8807</v>
      </c>
      <c r="D1262">
        <v>275</v>
      </c>
      <c r="E1262" t="s">
        <v>10</v>
      </c>
      <c r="F1262">
        <v>3424402</v>
      </c>
      <c r="G1262" s="1">
        <v>6131</v>
      </c>
      <c r="H1262" s="2">
        <v>4888687</v>
      </c>
      <c r="I1262" t="str">
        <f>VLOOKUP(Tabela2[[#This Row],[PAIS]],'[1]nome do paixs'!$A:$B,2,0)</f>
        <v>França</v>
      </c>
      <c r="J1262" t="s">
        <v>13</v>
      </c>
    </row>
    <row r="1263" spans="1:10">
      <c r="A1263">
        <v>2023</v>
      </c>
      <c r="B1263">
        <v>3</v>
      </c>
      <c r="C1263">
        <v>8807</v>
      </c>
      <c r="D1263">
        <v>275</v>
      </c>
      <c r="E1263" t="s">
        <v>10</v>
      </c>
      <c r="F1263">
        <v>3424402</v>
      </c>
      <c r="G1263" s="1">
        <v>7202</v>
      </c>
      <c r="H1263" s="2">
        <v>4833998</v>
      </c>
      <c r="I1263" t="str">
        <f>VLOOKUP(Tabela2[[#This Row],[PAIS]],'[1]nome do paixs'!$A:$B,2,0)</f>
        <v>França</v>
      </c>
      <c r="J1263" t="s">
        <v>13</v>
      </c>
    </row>
    <row r="1264" spans="1:10">
      <c r="A1264">
        <v>2023</v>
      </c>
      <c r="B1264">
        <v>2</v>
      </c>
      <c r="C1264">
        <v>8807</v>
      </c>
      <c r="D1264">
        <v>249</v>
      </c>
      <c r="E1264" t="s">
        <v>10</v>
      </c>
      <c r="F1264">
        <v>3424402</v>
      </c>
      <c r="G1264" s="1">
        <v>160</v>
      </c>
      <c r="H1264" s="2">
        <v>63586</v>
      </c>
      <c r="I1264" t="str">
        <f>VLOOKUP(Tabela2[[#This Row],[PAIS]],'[1]nome do paixs'!$A:$B,2,0)</f>
        <v>Estados Unidos</v>
      </c>
      <c r="J1264" t="s">
        <v>13</v>
      </c>
    </row>
    <row r="1265" spans="1:10">
      <c r="A1265">
        <v>2023</v>
      </c>
      <c r="B1265">
        <v>9</v>
      </c>
      <c r="C1265">
        <v>8807</v>
      </c>
      <c r="D1265">
        <v>249</v>
      </c>
      <c r="E1265" t="s">
        <v>10</v>
      </c>
      <c r="F1265">
        <v>3424402</v>
      </c>
      <c r="G1265" s="1">
        <v>246</v>
      </c>
      <c r="H1265" s="2">
        <v>103433</v>
      </c>
      <c r="I1265" t="str">
        <f>VLOOKUP(Tabela2[[#This Row],[PAIS]],'[1]nome do paixs'!$A:$B,2,0)</f>
        <v>Estados Unidos</v>
      </c>
      <c r="J1265" t="s">
        <v>13</v>
      </c>
    </row>
    <row r="1266" spans="1:10">
      <c r="A1266">
        <v>2023</v>
      </c>
      <c r="B1266">
        <v>3</v>
      </c>
      <c r="C1266">
        <v>8807</v>
      </c>
      <c r="D1266">
        <v>249</v>
      </c>
      <c r="E1266" t="s">
        <v>10</v>
      </c>
      <c r="F1266">
        <v>3424402</v>
      </c>
      <c r="G1266" s="1">
        <v>194</v>
      </c>
      <c r="H1266" s="2">
        <v>85261</v>
      </c>
      <c r="I1266" t="str">
        <f>VLOOKUP(Tabela2[[#This Row],[PAIS]],'[1]nome do paixs'!$A:$B,2,0)</f>
        <v>Estados Unidos</v>
      </c>
      <c r="J1266" t="s">
        <v>13</v>
      </c>
    </row>
    <row r="1267" spans="1:10">
      <c r="A1267">
        <v>2023</v>
      </c>
      <c r="B1267">
        <v>8</v>
      </c>
      <c r="C1267">
        <v>8807</v>
      </c>
      <c r="D1267">
        <v>275</v>
      </c>
      <c r="E1267" t="s">
        <v>10</v>
      </c>
      <c r="F1267">
        <v>3424402</v>
      </c>
      <c r="G1267" s="1">
        <v>4088</v>
      </c>
      <c r="H1267" s="2">
        <v>2620140</v>
      </c>
      <c r="I1267" t="str">
        <f>VLOOKUP(Tabela2[[#This Row],[PAIS]],'[1]nome do paixs'!$A:$B,2,0)</f>
        <v>França</v>
      </c>
      <c r="J1267" t="s">
        <v>13</v>
      </c>
    </row>
    <row r="1268" spans="1:10">
      <c r="A1268">
        <v>2023</v>
      </c>
      <c r="B1268">
        <v>7</v>
      </c>
      <c r="C1268">
        <v>8807</v>
      </c>
      <c r="D1268">
        <v>275</v>
      </c>
      <c r="E1268" t="s">
        <v>10</v>
      </c>
      <c r="F1268">
        <v>3424402</v>
      </c>
      <c r="G1268" s="1">
        <v>3134</v>
      </c>
      <c r="H1268" s="2">
        <v>2536200</v>
      </c>
      <c r="I1268" t="str">
        <f>VLOOKUP(Tabela2[[#This Row],[PAIS]],'[1]nome do paixs'!$A:$B,2,0)</f>
        <v>França</v>
      </c>
      <c r="J1268" t="s">
        <v>13</v>
      </c>
    </row>
    <row r="1269" spans="1:10">
      <c r="A1269">
        <v>2023</v>
      </c>
      <c r="B1269">
        <v>5</v>
      </c>
      <c r="C1269">
        <v>8807</v>
      </c>
      <c r="D1269">
        <v>249</v>
      </c>
      <c r="E1269" t="s">
        <v>10</v>
      </c>
      <c r="F1269">
        <v>3424402</v>
      </c>
      <c r="G1269" s="1">
        <v>109</v>
      </c>
      <c r="H1269" s="2">
        <v>91852</v>
      </c>
      <c r="I1269" t="str">
        <f>VLOOKUP(Tabela2[[#This Row],[PAIS]],'[1]nome do paixs'!$A:$B,2,0)</f>
        <v>Estados Unidos</v>
      </c>
      <c r="J1269" t="s">
        <v>13</v>
      </c>
    </row>
    <row r="1270" spans="1:10">
      <c r="A1270">
        <v>2023</v>
      </c>
      <c r="B1270">
        <v>6</v>
      </c>
      <c r="C1270">
        <v>8807</v>
      </c>
      <c r="D1270">
        <v>249</v>
      </c>
      <c r="E1270" t="s">
        <v>10</v>
      </c>
      <c r="F1270">
        <v>3424402</v>
      </c>
      <c r="G1270" s="1">
        <v>343</v>
      </c>
      <c r="H1270" s="2">
        <v>91663</v>
      </c>
      <c r="I1270" t="str">
        <f>VLOOKUP(Tabela2[[#This Row],[PAIS]],'[1]nome do paixs'!$A:$B,2,0)</f>
        <v>Estados Unidos</v>
      </c>
      <c r="J1270" t="s">
        <v>13</v>
      </c>
    </row>
    <row r="1271" spans="1:10">
      <c r="A1271">
        <v>2023</v>
      </c>
      <c r="B1271">
        <v>5</v>
      </c>
      <c r="C1271">
        <v>8807</v>
      </c>
      <c r="D1271">
        <v>275</v>
      </c>
      <c r="E1271" t="s">
        <v>10</v>
      </c>
      <c r="F1271">
        <v>3424402</v>
      </c>
      <c r="G1271" s="1">
        <v>6707</v>
      </c>
      <c r="H1271" s="2">
        <v>4497200</v>
      </c>
      <c r="I1271" t="str">
        <f>VLOOKUP(Tabela2[[#This Row],[PAIS]],'[1]nome do paixs'!$A:$B,2,0)</f>
        <v>França</v>
      </c>
      <c r="J1271" t="s">
        <v>13</v>
      </c>
    </row>
    <row r="1272" spans="1:10">
      <c r="A1272">
        <v>2023</v>
      </c>
      <c r="B1272">
        <v>1</v>
      </c>
      <c r="C1272">
        <v>8807</v>
      </c>
      <c r="D1272">
        <v>249</v>
      </c>
      <c r="E1272" t="s">
        <v>10</v>
      </c>
      <c r="F1272">
        <v>3424402</v>
      </c>
      <c r="G1272" s="1">
        <v>160</v>
      </c>
      <c r="H1272" s="2">
        <v>64254</v>
      </c>
      <c r="I1272" t="str">
        <f>VLOOKUP(Tabela2[[#This Row],[PAIS]],'[1]nome do paixs'!$A:$B,2,0)</f>
        <v>Estados Unidos</v>
      </c>
      <c r="J1272" t="s">
        <v>13</v>
      </c>
    </row>
    <row r="1273" spans="1:10">
      <c r="A1273">
        <v>2023</v>
      </c>
      <c r="B1273">
        <v>11</v>
      </c>
      <c r="C1273">
        <v>8807</v>
      </c>
      <c r="D1273">
        <v>275</v>
      </c>
      <c r="E1273" t="s">
        <v>10</v>
      </c>
      <c r="F1273">
        <v>3424402</v>
      </c>
      <c r="G1273" s="1">
        <v>2766</v>
      </c>
      <c r="H1273" s="2">
        <v>2627315</v>
      </c>
      <c r="I1273" t="str">
        <f>VLOOKUP(Tabela2[[#This Row],[PAIS]],'[1]nome do paixs'!$A:$B,2,0)</f>
        <v>França</v>
      </c>
      <c r="J1273" t="s">
        <v>13</v>
      </c>
    </row>
    <row r="1274" spans="1:10">
      <c r="A1274">
        <v>2023</v>
      </c>
      <c r="B1274">
        <v>12</v>
      </c>
      <c r="C1274">
        <v>8807</v>
      </c>
      <c r="D1274">
        <v>741</v>
      </c>
      <c r="E1274" t="s">
        <v>10</v>
      </c>
      <c r="F1274">
        <v>3424402</v>
      </c>
      <c r="G1274" s="1">
        <v>0</v>
      </c>
      <c r="H1274" s="2">
        <v>54</v>
      </c>
      <c r="I1274" t="str">
        <f>VLOOKUP(Tabela2[[#This Row],[PAIS]],'[1]nome do paixs'!$A:$B,2,0)</f>
        <v>Singapura</v>
      </c>
      <c r="J1274" t="s">
        <v>13</v>
      </c>
    </row>
    <row r="1275" spans="1:10">
      <c r="A1275">
        <v>2023</v>
      </c>
      <c r="B1275">
        <v>12</v>
      </c>
      <c r="C1275">
        <v>8807</v>
      </c>
      <c r="D1275">
        <v>249</v>
      </c>
      <c r="E1275" t="s">
        <v>10</v>
      </c>
      <c r="F1275">
        <v>3424402</v>
      </c>
      <c r="G1275" s="1">
        <v>296</v>
      </c>
      <c r="H1275" s="2">
        <v>121936</v>
      </c>
      <c r="I1275" t="str">
        <f>VLOOKUP(Tabela2[[#This Row],[PAIS]],'[1]nome do paixs'!$A:$B,2,0)</f>
        <v>Estados Unidos</v>
      </c>
      <c r="J1275" t="s">
        <v>13</v>
      </c>
    </row>
    <row r="1276" spans="1:10">
      <c r="A1276">
        <v>2022</v>
      </c>
      <c r="B1276">
        <v>4</v>
      </c>
      <c r="C1276">
        <v>8803</v>
      </c>
      <c r="D1276">
        <v>275</v>
      </c>
      <c r="E1276" t="s">
        <v>10</v>
      </c>
      <c r="F1276">
        <v>3454102</v>
      </c>
      <c r="G1276" s="1">
        <v>75</v>
      </c>
      <c r="H1276" s="2">
        <v>60691</v>
      </c>
      <c r="I1276" t="str">
        <f>VLOOKUP(Tabela2[[#This Row],[PAIS]],'[1]nome do paixs'!$A:$B,2,0)</f>
        <v>França</v>
      </c>
      <c r="J1276" t="s">
        <v>11</v>
      </c>
    </row>
    <row r="1277" spans="1:10">
      <c r="A1277">
        <v>2022</v>
      </c>
      <c r="B1277">
        <v>3</v>
      </c>
      <c r="C1277">
        <v>8803</v>
      </c>
      <c r="D1277">
        <v>245</v>
      </c>
      <c r="E1277" t="s">
        <v>10</v>
      </c>
      <c r="F1277">
        <v>3454102</v>
      </c>
      <c r="G1277" s="1">
        <v>2</v>
      </c>
      <c r="H1277" s="2">
        <v>3028</v>
      </c>
      <c r="I1277" t="str">
        <f>VLOOKUP(Tabela2[[#This Row],[PAIS]],'[1]nome do paixs'!$A:$B,2,0)</f>
        <v>Espanha</v>
      </c>
      <c r="J1277" t="s">
        <v>11</v>
      </c>
    </row>
    <row r="1278" spans="1:10">
      <c r="A1278">
        <v>2022</v>
      </c>
      <c r="B1278">
        <v>3</v>
      </c>
      <c r="C1278">
        <v>8803</v>
      </c>
      <c r="D1278">
        <v>249</v>
      </c>
      <c r="E1278" t="s">
        <v>10</v>
      </c>
      <c r="F1278">
        <v>3454102</v>
      </c>
      <c r="G1278" s="1">
        <v>981</v>
      </c>
      <c r="H1278" s="2">
        <v>545402</v>
      </c>
      <c r="I1278" t="str">
        <f>VLOOKUP(Tabela2[[#This Row],[PAIS]],'[1]nome do paixs'!$A:$B,2,0)</f>
        <v>Estados Unidos</v>
      </c>
      <c r="J1278" t="s">
        <v>11</v>
      </c>
    </row>
    <row r="1279" spans="1:10">
      <c r="A1279">
        <v>2022</v>
      </c>
      <c r="B1279">
        <v>5</v>
      </c>
      <c r="C1279">
        <v>8807</v>
      </c>
      <c r="D1279">
        <v>275</v>
      </c>
      <c r="E1279" t="s">
        <v>10</v>
      </c>
      <c r="F1279">
        <v>3454102</v>
      </c>
      <c r="G1279" s="1">
        <v>137</v>
      </c>
      <c r="H1279" s="2">
        <v>176959</v>
      </c>
      <c r="I1279" t="str">
        <f>VLOOKUP(Tabela2[[#This Row],[PAIS]],'[1]nome do paixs'!$A:$B,2,0)</f>
        <v>França</v>
      </c>
      <c r="J1279" t="s">
        <v>11</v>
      </c>
    </row>
    <row r="1280" spans="1:10">
      <c r="A1280">
        <v>2022</v>
      </c>
      <c r="B1280">
        <v>9</v>
      </c>
      <c r="C1280">
        <v>8807</v>
      </c>
      <c r="D1280">
        <v>603</v>
      </c>
      <c r="E1280" t="s">
        <v>10</v>
      </c>
      <c r="F1280">
        <v>3454102</v>
      </c>
      <c r="G1280" s="1">
        <v>8</v>
      </c>
      <c r="H1280" s="2">
        <v>6987</v>
      </c>
      <c r="I1280" t="str">
        <f>VLOOKUP(Tabela2[[#This Row],[PAIS]],'[1]nome do paixs'!$A:$B,2,0)</f>
        <v>Polônia</v>
      </c>
      <c r="J1280" t="s">
        <v>11</v>
      </c>
    </row>
    <row r="1281" spans="1:10">
      <c r="A1281">
        <v>2022</v>
      </c>
      <c r="B1281">
        <v>5</v>
      </c>
      <c r="C1281">
        <v>8807</v>
      </c>
      <c r="D1281">
        <v>247</v>
      </c>
      <c r="E1281" t="s">
        <v>10</v>
      </c>
      <c r="F1281">
        <v>3454102</v>
      </c>
      <c r="G1281" s="1">
        <v>0</v>
      </c>
      <c r="H1281" s="2">
        <v>338</v>
      </c>
      <c r="I1281" t="str">
        <f>VLOOKUP(Tabela2[[#This Row],[PAIS]],'[1]nome do paixs'!$A:$B,2,0)</f>
        <v>Eslováquia</v>
      </c>
      <c r="J1281" t="s">
        <v>11</v>
      </c>
    </row>
    <row r="1282" spans="1:10">
      <c r="A1282">
        <v>2022</v>
      </c>
      <c r="B1282">
        <v>5</v>
      </c>
      <c r="C1282">
        <v>8807</v>
      </c>
      <c r="D1282">
        <v>160</v>
      </c>
      <c r="E1282" t="s">
        <v>10</v>
      </c>
      <c r="F1282">
        <v>3454102</v>
      </c>
      <c r="G1282" s="1">
        <v>19</v>
      </c>
      <c r="H1282" s="2">
        <v>24532</v>
      </c>
      <c r="I1282" t="str">
        <f>VLOOKUP(Tabela2[[#This Row],[PAIS]],'[1]nome do paixs'!$A:$B,2,0)</f>
        <v>China</v>
      </c>
      <c r="J1282" t="s">
        <v>11</v>
      </c>
    </row>
    <row r="1283" spans="1:10">
      <c r="A1283">
        <v>2022</v>
      </c>
      <c r="B1283">
        <v>7</v>
      </c>
      <c r="C1283">
        <v>8807</v>
      </c>
      <c r="D1283">
        <v>160</v>
      </c>
      <c r="E1283" t="s">
        <v>10</v>
      </c>
      <c r="F1283">
        <v>3454102</v>
      </c>
      <c r="G1283" s="1">
        <v>10</v>
      </c>
      <c r="H1283" s="2">
        <v>21158</v>
      </c>
      <c r="I1283" t="str">
        <f>VLOOKUP(Tabela2[[#This Row],[PAIS]],'[1]nome do paixs'!$A:$B,2,0)</f>
        <v>China</v>
      </c>
      <c r="J1283" t="s">
        <v>11</v>
      </c>
    </row>
    <row r="1284" spans="1:10">
      <c r="A1284">
        <v>2022</v>
      </c>
      <c r="B1284">
        <v>4</v>
      </c>
      <c r="C1284">
        <v>8807</v>
      </c>
      <c r="D1284">
        <v>607</v>
      </c>
      <c r="E1284" t="s">
        <v>10</v>
      </c>
      <c r="F1284">
        <v>3454102</v>
      </c>
      <c r="G1284" s="1">
        <v>0</v>
      </c>
      <c r="H1284" s="2">
        <v>127</v>
      </c>
      <c r="I1284" t="str">
        <f>VLOOKUP(Tabela2[[#This Row],[PAIS]],'[1]nome do paixs'!$A:$B,2,0)</f>
        <v>Portugal</v>
      </c>
      <c r="J1284" t="s">
        <v>11</v>
      </c>
    </row>
    <row r="1285" spans="1:10">
      <c r="A1285">
        <v>2022</v>
      </c>
      <c r="B1285">
        <v>3</v>
      </c>
      <c r="C1285">
        <v>8803</v>
      </c>
      <c r="D1285">
        <v>275</v>
      </c>
      <c r="E1285" t="s">
        <v>10</v>
      </c>
      <c r="F1285">
        <v>3454102</v>
      </c>
      <c r="G1285" s="1">
        <v>444</v>
      </c>
      <c r="H1285" s="2">
        <v>365836</v>
      </c>
      <c r="I1285" t="str">
        <f>VLOOKUP(Tabela2[[#This Row],[PAIS]],'[1]nome do paixs'!$A:$B,2,0)</f>
        <v>França</v>
      </c>
      <c r="J1285" t="s">
        <v>11</v>
      </c>
    </row>
    <row r="1286" spans="1:10">
      <c r="A1286">
        <v>2022</v>
      </c>
      <c r="B1286">
        <v>6</v>
      </c>
      <c r="C1286">
        <v>8807</v>
      </c>
      <c r="D1286">
        <v>741</v>
      </c>
      <c r="E1286" t="s">
        <v>10</v>
      </c>
      <c r="F1286">
        <v>3454102</v>
      </c>
      <c r="G1286" s="1">
        <v>6</v>
      </c>
      <c r="H1286" s="2">
        <v>3471</v>
      </c>
      <c r="I1286" t="str">
        <f>VLOOKUP(Tabela2[[#This Row],[PAIS]],'[1]nome do paixs'!$A:$B,2,0)</f>
        <v>Singapura</v>
      </c>
      <c r="J1286" t="s">
        <v>11</v>
      </c>
    </row>
    <row r="1287" spans="1:10">
      <c r="A1287">
        <v>2022</v>
      </c>
      <c r="B1287">
        <v>8</v>
      </c>
      <c r="C1287">
        <v>8807</v>
      </c>
      <c r="D1287">
        <v>249</v>
      </c>
      <c r="E1287" t="s">
        <v>10</v>
      </c>
      <c r="F1287">
        <v>3454102</v>
      </c>
      <c r="G1287" s="1">
        <v>633</v>
      </c>
      <c r="H1287" s="2">
        <v>552587</v>
      </c>
      <c r="I1287" t="str">
        <f>VLOOKUP(Tabela2[[#This Row],[PAIS]],'[1]nome do paixs'!$A:$B,2,0)</f>
        <v>Estados Unidos</v>
      </c>
      <c r="J1287" t="s">
        <v>11</v>
      </c>
    </row>
    <row r="1288" spans="1:10">
      <c r="A1288">
        <v>2022</v>
      </c>
      <c r="B1288">
        <v>2</v>
      </c>
      <c r="C1288">
        <v>8803</v>
      </c>
      <c r="D1288">
        <v>676</v>
      </c>
      <c r="E1288" t="s">
        <v>10</v>
      </c>
      <c r="F1288">
        <v>3454102</v>
      </c>
      <c r="G1288" s="1">
        <v>1</v>
      </c>
      <c r="H1288" s="2">
        <v>8286</v>
      </c>
      <c r="I1288" t="str">
        <f>VLOOKUP(Tabela2[[#This Row],[PAIS]],'[1]nome do paixs'!$A:$B,2,0)</f>
        <v>Rússia</v>
      </c>
      <c r="J1288" t="s">
        <v>11</v>
      </c>
    </row>
    <row r="1289" spans="1:10">
      <c r="A1289">
        <v>2022</v>
      </c>
      <c r="B1289">
        <v>10</v>
      </c>
      <c r="C1289">
        <v>8807</v>
      </c>
      <c r="D1289">
        <v>493</v>
      </c>
      <c r="E1289" t="s">
        <v>10</v>
      </c>
      <c r="F1289">
        <v>3454102</v>
      </c>
      <c r="G1289" s="1">
        <v>25</v>
      </c>
      <c r="H1289" s="2">
        <v>26243</v>
      </c>
      <c r="I1289" t="str">
        <f>VLOOKUP(Tabela2[[#This Row],[PAIS]],'[1]nome do paixs'!$A:$B,2,0)</f>
        <v>México</v>
      </c>
      <c r="J1289" t="s">
        <v>11</v>
      </c>
    </row>
    <row r="1290" spans="1:10">
      <c r="A1290">
        <v>2022</v>
      </c>
      <c r="B1290">
        <v>2</v>
      </c>
      <c r="C1290">
        <v>8803</v>
      </c>
      <c r="D1290">
        <v>275</v>
      </c>
      <c r="E1290" t="s">
        <v>10</v>
      </c>
      <c r="F1290">
        <v>3454102</v>
      </c>
      <c r="G1290" s="1">
        <v>77</v>
      </c>
      <c r="H1290" s="2">
        <v>73858</v>
      </c>
      <c r="I1290" t="str">
        <f>VLOOKUP(Tabela2[[#This Row],[PAIS]],'[1]nome do paixs'!$A:$B,2,0)</f>
        <v>França</v>
      </c>
      <c r="J1290" t="s">
        <v>11</v>
      </c>
    </row>
    <row r="1291" spans="1:10">
      <c r="A1291">
        <v>2022</v>
      </c>
      <c r="B1291">
        <v>5</v>
      </c>
      <c r="C1291">
        <v>8807</v>
      </c>
      <c r="D1291">
        <v>628</v>
      </c>
      <c r="E1291" t="s">
        <v>10</v>
      </c>
      <c r="F1291">
        <v>3454102</v>
      </c>
      <c r="G1291" s="1">
        <v>0</v>
      </c>
      <c r="H1291" s="2">
        <v>2038</v>
      </c>
      <c r="I1291" t="str">
        <f>VLOOKUP(Tabela2[[#This Row],[PAIS]],'[1]nome do paixs'!$A:$B,2,0)</f>
        <v>Reino Unido</v>
      </c>
      <c r="J1291" t="s">
        <v>11</v>
      </c>
    </row>
    <row r="1292" spans="1:10">
      <c r="A1292">
        <v>2022</v>
      </c>
      <c r="B1292">
        <v>8</v>
      </c>
      <c r="C1292">
        <v>8807</v>
      </c>
      <c r="D1292">
        <v>607</v>
      </c>
      <c r="E1292" t="s">
        <v>10</v>
      </c>
      <c r="F1292">
        <v>3454102</v>
      </c>
      <c r="G1292" s="1">
        <v>3</v>
      </c>
      <c r="H1292" s="2">
        <v>4066</v>
      </c>
      <c r="I1292" t="str">
        <f>VLOOKUP(Tabela2[[#This Row],[PAIS]],'[1]nome do paixs'!$A:$B,2,0)</f>
        <v>Portugal</v>
      </c>
      <c r="J1292" t="s">
        <v>11</v>
      </c>
    </row>
    <row r="1293" spans="1:10">
      <c r="A1293">
        <v>2022</v>
      </c>
      <c r="B1293">
        <v>4</v>
      </c>
      <c r="C1293">
        <v>8807</v>
      </c>
      <c r="D1293">
        <v>764</v>
      </c>
      <c r="E1293" t="s">
        <v>10</v>
      </c>
      <c r="F1293">
        <v>3454102</v>
      </c>
      <c r="G1293" s="1">
        <v>30</v>
      </c>
      <c r="H1293" s="2">
        <v>10298</v>
      </c>
      <c r="I1293" t="str">
        <f>VLOOKUP(Tabela2[[#This Row],[PAIS]],'[1]nome do paixs'!$A:$B,2,0)</f>
        <v>Suécia</v>
      </c>
      <c r="J1293" t="s">
        <v>11</v>
      </c>
    </row>
    <row r="1294" spans="1:10">
      <c r="A1294">
        <v>2022</v>
      </c>
      <c r="B1294">
        <v>9</v>
      </c>
      <c r="C1294">
        <v>8807</v>
      </c>
      <c r="D1294">
        <v>607</v>
      </c>
      <c r="E1294" t="s">
        <v>10</v>
      </c>
      <c r="F1294">
        <v>3454102</v>
      </c>
      <c r="G1294" s="1">
        <v>0</v>
      </c>
      <c r="H1294" s="2">
        <v>1053</v>
      </c>
      <c r="I1294" t="str">
        <f>VLOOKUP(Tabela2[[#This Row],[PAIS]],'[1]nome do paixs'!$A:$B,2,0)</f>
        <v>Portugal</v>
      </c>
      <c r="J1294" t="s">
        <v>11</v>
      </c>
    </row>
    <row r="1295" spans="1:10">
      <c r="A1295">
        <v>2022</v>
      </c>
      <c r="B1295">
        <v>8</v>
      </c>
      <c r="C1295">
        <v>8807</v>
      </c>
      <c r="D1295">
        <v>160</v>
      </c>
      <c r="E1295" t="s">
        <v>10</v>
      </c>
      <c r="F1295">
        <v>3454102</v>
      </c>
      <c r="G1295" s="1">
        <v>3</v>
      </c>
      <c r="H1295" s="2">
        <v>5345</v>
      </c>
      <c r="I1295" t="str">
        <f>VLOOKUP(Tabela2[[#This Row],[PAIS]],'[1]nome do paixs'!$A:$B,2,0)</f>
        <v>China</v>
      </c>
      <c r="J1295" t="s">
        <v>11</v>
      </c>
    </row>
    <row r="1296" spans="1:10">
      <c r="A1296">
        <v>2022</v>
      </c>
      <c r="B1296">
        <v>11</v>
      </c>
      <c r="C1296">
        <v>8807</v>
      </c>
      <c r="D1296">
        <v>603</v>
      </c>
      <c r="E1296" t="s">
        <v>10</v>
      </c>
      <c r="F1296">
        <v>3454102</v>
      </c>
      <c r="G1296" s="1">
        <v>0</v>
      </c>
      <c r="H1296" s="2">
        <v>264</v>
      </c>
      <c r="I1296" t="str">
        <f>VLOOKUP(Tabela2[[#This Row],[PAIS]],'[1]nome do paixs'!$A:$B,2,0)</f>
        <v>Polônia</v>
      </c>
      <c r="J1296" t="s">
        <v>11</v>
      </c>
    </row>
    <row r="1297" spans="1:10">
      <c r="A1297">
        <v>2022</v>
      </c>
      <c r="B1297">
        <v>8</v>
      </c>
      <c r="C1297">
        <v>8807</v>
      </c>
      <c r="D1297">
        <v>603</v>
      </c>
      <c r="E1297" t="s">
        <v>10</v>
      </c>
      <c r="F1297">
        <v>3454102</v>
      </c>
      <c r="G1297" s="1">
        <v>1</v>
      </c>
      <c r="H1297" s="2">
        <v>390</v>
      </c>
      <c r="I1297" t="str">
        <f>VLOOKUP(Tabela2[[#This Row],[PAIS]],'[1]nome do paixs'!$A:$B,2,0)</f>
        <v>Polônia</v>
      </c>
      <c r="J1297" t="s">
        <v>11</v>
      </c>
    </row>
    <row r="1298" spans="1:10">
      <c r="A1298">
        <v>2022</v>
      </c>
      <c r="B1298">
        <v>10</v>
      </c>
      <c r="C1298">
        <v>8807</v>
      </c>
      <c r="D1298">
        <v>249</v>
      </c>
      <c r="E1298" t="s">
        <v>10</v>
      </c>
      <c r="F1298">
        <v>3454102</v>
      </c>
      <c r="G1298" s="1">
        <v>824</v>
      </c>
      <c r="H1298" s="2">
        <v>279382</v>
      </c>
      <c r="I1298" t="str">
        <f>VLOOKUP(Tabela2[[#This Row],[PAIS]],'[1]nome do paixs'!$A:$B,2,0)</f>
        <v>Estados Unidos</v>
      </c>
      <c r="J1298" t="s">
        <v>11</v>
      </c>
    </row>
    <row r="1299" spans="1:10">
      <c r="A1299">
        <v>2022</v>
      </c>
      <c r="B1299">
        <v>8</v>
      </c>
      <c r="C1299">
        <v>8807</v>
      </c>
      <c r="D1299">
        <v>87</v>
      </c>
      <c r="E1299" t="s">
        <v>10</v>
      </c>
      <c r="F1299">
        <v>3454102</v>
      </c>
      <c r="G1299" s="1">
        <v>16</v>
      </c>
      <c r="H1299" s="2">
        <v>13820</v>
      </c>
      <c r="I1299" t="str">
        <f>VLOOKUP(Tabela2[[#This Row],[PAIS]],'[1]nome do paixs'!$A:$B,2,0)</f>
        <v>Bélgica</v>
      </c>
      <c r="J1299" t="s">
        <v>11</v>
      </c>
    </row>
    <row r="1300" spans="1:10">
      <c r="A1300">
        <v>2022</v>
      </c>
      <c r="B1300">
        <v>3</v>
      </c>
      <c r="C1300">
        <v>8803</v>
      </c>
      <c r="D1300">
        <v>756</v>
      </c>
      <c r="E1300" t="s">
        <v>10</v>
      </c>
      <c r="F1300">
        <v>3454102</v>
      </c>
      <c r="G1300" s="1">
        <v>1</v>
      </c>
      <c r="H1300" s="2">
        <v>8715</v>
      </c>
      <c r="I1300" t="str">
        <f>VLOOKUP(Tabela2[[#This Row],[PAIS]],'[1]nome do paixs'!$A:$B,2,0)</f>
        <v>África do Sul</v>
      </c>
      <c r="J1300" t="s">
        <v>11</v>
      </c>
    </row>
    <row r="1301" spans="1:10">
      <c r="A1301">
        <v>2022</v>
      </c>
      <c r="B1301">
        <v>9</v>
      </c>
      <c r="C1301">
        <v>8807</v>
      </c>
      <c r="D1301">
        <v>249</v>
      </c>
      <c r="E1301" t="s">
        <v>10</v>
      </c>
      <c r="F1301">
        <v>3454102</v>
      </c>
      <c r="G1301" s="1">
        <v>529</v>
      </c>
      <c r="H1301" s="2">
        <v>330993</v>
      </c>
      <c r="I1301" t="str">
        <f>VLOOKUP(Tabela2[[#This Row],[PAIS]],'[1]nome do paixs'!$A:$B,2,0)</f>
        <v>Estados Unidos</v>
      </c>
      <c r="J1301" t="s">
        <v>11</v>
      </c>
    </row>
    <row r="1302" spans="1:10">
      <c r="A1302">
        <v>2022</v>
      </c>
      <c r="B1302">
        <v>7</v>
      </c>
      <c r="C1302">
        <v>8807</v>
      </c>
      <c r="D1302">
        <v>603</v>
      </c>
      <c r="E1302" t="s">
        <v>10</v>
      </c>
      <c r="F1302">
        <v>3454102</v>
      </c>
      <c r="G1302" s="1">
        <v>2</v>
      </c>
      <c r="H1302" s="2">
        <v>1698</v>
      </c>
      <c r="I1302" t="str">
        <f>VLOOKUP(Tabela2[[#This Row],[PAIS]],'[1]nome do paixs'!$A:$B,2,0)</f>
        <v>Polônia</v>
      </c>
      <c r="J1302" t="s">
        <v>11</v>
      </c>
    </row>
    <row r="1303" spans="1:10">
      <c r="A1303">
        <v>2022</v>
      </c>
      <c r="B1303">
        <v>12</v>
      </c>
      <c r="C1303">
        <v>8807</v>
      </c>
      <c r="D1303">
        <v>72</v>
      </c>
      <c r="E1303" t="s">
        <v>10</v>
      </c>
      <c r="F1303">
        <v>3454102</v>
      </c>
      <c r="G1303" s="1">
        <v>4</v>
      </c>
      <c r="H1303" s="2">
        <v>4889</v>
      </c>
      <c r="I1303" t="str">
        <f>VLOOKUP(Tabela2[[#This Row],[PAIS]],'[1]nome do paixs'!$A:$B,2,0)</f>
        <v>Áustria</v>
      </c>
      <c r="J1303" t="s">
        <v>11</v>
      </c>
    </row>
    <row r="1304" spans="1:10">
      <c r="A1304">
        <v>2022</v>
      </c>
      <c r="B1304">
        <v>4</v>
      </c>
      <c r="C1304">
        <v>8803</v>
      </c>
      <c r="D1304">
        <v>87</v>
      </c>
      <c r="E1304" t="s">
        <v>10</v>
      </c>
      <c r="F1304">
        <v>3454102</v>
      </c>
      <c r="G1304" s="1">
        <v>30</v>
      </c>
      <c r="H1304" s="2">
        <v>23838</v>
      </c>
      <c r="I1304" t="str">
        <f>VLOOKUP(Tabela2[[#This Row],[PAIS]],'[1]nome do paixs'!$A:$B,2,0)</f>
        <v>Bélgica</v>
      </c>
      <c r="J1304" t="s">
        <v>11</v>
      </c>
    </row>
    <row r="1305" spans="1:10">
      <c r="A1305">
        <v>2022</v>
      </c>
      <c r="B1305">
        <v>11</v>
      </c>
      <c r="C1305">
        <v>8807</v>
      </c>
      <c r="D1305">
        <v>442</v>
      </c>
      <c r="E1305" t="s">
        <v>10</v>
      </c>
      <c r="F1305">
        <v>3454102</v>
      </c>
      <c r="G1305" s="1">
        <v>0</v>
      </c>
      <c r="H1305" s="2">
        <v>10436</v>
      </c>
      <c r="I1305" t="str">
        <f>VLOOKUP(Tabela2[[#This Row],[PAIS]],'[1]nome do paixs'!$A:$B,2,0)</f>
        <v>Lituânia</v>
      </c>
      <c r="J1305" t="s">
        <v>11</v>
      </c>
    </row>
    <row r="1306" spans="1:10">
      <c r="A1306">
        <v>2022</v>
      </c>
      <c r="B1306">
        <v>6</v>
      </c>
      <c r="C1306">
        <v>8807</v>
      </c>
      <c r="D1306">
        <v>603</v>
      </c>
      <c r="E1306" t="s">
        <v>10</v>
      </c>
      <c r="F1306">
        <v>3454102</v>
      </c>
      <c r="G1306" s="1">
        <v>4</v>
      </c>
      <c r="H1306" s="2">
        <v>12608</v>
      </c>
      <c r="I1306" t="str">
        <f>VLOOKUP(Tabela2[[#This Row],[PAIS]],'[1]nome do paixs'!$A:$B,2,0)</f>
        <v>Polônia</v>
      </c>
      <c r="J1306" t="s">
        <v>11</v>
      </c>
    </row>
    <row r="1307" spans="1:10">
      <c r="A1307">
        <v>2022</v>
      </c>
      <c r="B1307">
        <v>12</v>
      </c>
      <c r="C1307">
        <v>8807</v>
      </c>
      <c r="D1307">
        <v>249</v>
      </c>
      <c r="E1307" t="s">
        <v>10</v>
      </c>
      <c r="F1307">
        <v>3454102</v>
      </c>
      <c r="G1307" s="1">
        <v>789</v>
      </c>
      <c r="H1307" s="2">
        <v>749058</v>
      </c>
      <c r="I1307" t="str">
        <f>VLOOKUP(Tabela2[[#This Row],[PAIS]],'[1]nome do paixs'!$A:$B,2,0)</f>
        <v>Estados Unidos</v>
      </c>
      <c r="J1307" t="s">
        <v>11</v>
      </c>
    </row>
    <row r="1308" spans="1:10">
      <c r="A1308">
        <v>2022</v>
      </c>
      <c r="B1308">
        <v>9</v>
      </c>
      <c r="C1308">
        <v>8807</v>
      </c>
      <c r="D1308">
        <v>275</v>
      </c>
      <c r="E1308" t="s">
        <v>10</v>
      </c>
      <c r="F1308">
        <v>3454102</v>
      </c>
      <c r="G1308" s="1">
        <v>134</v>
      </c>
      <c r="H1308" s="2">
        <v>84452</v>
      </c>
      <c r="I1308" t="str">
        <f>VLOOKUP(Tabela2[[#This Row],[PAIS]],'[1]nome do paixs'!$A:$B,2,0)</f>
        <v>França</v>
      </c>
      <c r="J1308" t="s">
        <v>11</v>
      </c>
    </row>
    <row r="1309" spans="1:10">
      <c r="A1309">
        <v>2022</v>
      </c>
      <c r="B1309">
        <v>12</v>
      </c>
      <c r="C1309">
        <v>8807</v>
      </c>
      <c r="D1309">
        <v>275</v>
      </c>
      <c r="E1309" t="s">
        <v>10</v>
      </c>
      <c r="F1309">
        <v>3454102</v>
      </c>
      <c r="G1309" s="1">
        <v>177</v>
      </c>
      <c r="H1309" s="2">
        <v>183262</v>
      </c>
      <c r="I1309" t="str">
        <f>VLOOKUP(Tabela2[[#This Row],[PAIS]],'[1]nome do paixs'!$A:$B,2,0)</f>
        <v>França</v>
      </c>
      <c r="J1309" t="s">
        <v>11</v>
      </c>
    </row>
    <row r="1310" spans="1:10">
      <c r="A1310">
        <v>2022</v>
      </c>
      <c r="B1310">
        <v>5</v>
      </c>
      <c r="C1310">
        <v>8807</v>
      </c>
      <c r="D1310">
        <v>607</v>
      </c>
      <c r="E1310" t="s">
        <v>10</v>
      </c>
      <c r="F1310">
        <v>3454102</v>
      </c>
      <c r="G1310" s="1">
        <v>1</v>
      </c>
      <c r="H1310" s="2">
        <v>2177</v>
      </c>
      <c r="I1310" t="str">
        <f>VLOOKUP(Tabela2[[#This Row],[PAIS]],'[1]nome do paixs'!$A:$B,2,0)</f>
        <v>Portugal</v>
      </c>
      <c r="J1310" t="s">
        <v>11</v>
      </c>
    </row>
    <row r="1311" spans="1:10">
      <c r="A1311">
        <v>2022</v>
      </c>
      <c r="B1311">
        <v>2</v>
      </c>
      <c r="C1311">
        <v>8803</v>
      </c>
      <c r="D1311">
        <v>87</v>
      </c>
      <c r="E1311" t="s">
        <v>10</v>
      </c>
      <c r="F1311">
        <v>3454102</v>
      </c>
      <c r="G1311" s="1">
        <v>179</v>
      </c>
      <c r="H1311" s="2">
        <v>205589</v>
      </c>
      <c r="I1311" t="str">
        <f>VLOOKUP(Tabela2[[#This Row],[PAIS]],'[1]nome do paixs'!$A:$B,2,0)</f>
        <v>Bélgica</v>
      </c>
      <c r="J1311" t="s">
        <v>11</v>
      </c>
    </row>
    <row r="1312" spans="1:10">
      <c r="A1312">
        <v>2022</v>
      </c>
      <c r="B1312">
        <v>4</v>
      </c>
      <c r="C1312">
        <v>8807</v>
      </c>
      <c r="D1312">
        <v>493</v>
      </c>
      <c r="E1312" t="s">
        <v>10</v>
      </c>
      <c r="F1312">
        <v>3454102</v>
      </c>
      <c r="G1312" s="1">
        <v>1</v>
      </c>
      <c r="H1312" s="2">
        <v>6962</v>
      </c>
      <c r="I1312" t="str">
        <f>VLOOKUP(Tabela2[[#This Row],[PAIS]],'[1]nome do paixs'!$A:$B,2,0)</f>
        <v>México</v>
      </c>
      <c r="J1312" t="s">
        <v>11</v>
      </c>
    </row>
    <row r="1313" spans="1:10">
      <c r="A1313">
        <v>2022</v>
      </c>
      <c r="B1313">
        <v>12</v>
      </c>
      <c r="C1313">
        <v>8807</v>
      </c>
      <c r="D1313">
        <v>603</v>
      </c>
      <c r="E1313" t="s">
        <v>10</v>
      </c>
      <c r="F1313">
        <v>3454102</v>
      </c>
      <c r="G1313" s="1">
        <v>3</v>
      </c>
      <c r="H1313" s="2">
        <v>1679</v>
      </c>
      <c r="I1313" t="str">
        <f>VLOOKUP(Tabela2[[#This Row],[PAIS]],'[1]nome do paixs'!$A:$B,2,0)</f>
        <v>Polônia</v>
      </c>
      <c r="J1313" t="s">
        <v>11</v>
      </c>
    </row>
    <row r="1314" spans="1:10">
      <c r="A1314">
        <v>2022</v>
      </c>
      <c r="B1314">
        <v>4</v>
      </c>
      <c r="C1314">
        <v>8807</v>
      </c>
      <c r="D1314">
        <v>741</v>
      </c>
      <c r="E1314" t="s">
        <v>10</v>
      </c>
      <c r="F1314">
        <v>3454102</v>
      </c>
      <c r="G1314" s="1">
        <v>6</v>
      </c>
      <c r="H1314" s="2">
        <v>2130</v>
      </c>
      <c r="I1314" t="str">
        <f>VLOOKUP(Tabela2[[#This Row],[PAIS]],'[1]nome do paixs'!$A:$B,2,0)</f>
        <v>Singapura</v>
      </c>
      <c r="J1314" t="s">
        <v>11</v>
      </c>
    </row>
    <row r="1315" spans="1:10">
      <c r="A1315">
        <v>2022</v>
      </c>
      <c r="B1315">
        <v>8</v>
      </c>
      <c r="C1315">
        <v>8807</v>
      </c>
      <c r="D1315">
        <v>756</v>
      </c>
      <c r="E1315" t="s">
        <v>10</v>
      </c>
      <c r="F1315">
        <v>3454102</v>
      </c>
      <c r="G1315" s="1">
        <v>5</v>
      </c>
      <c r="H1315" s="2">
        <v>3018</v>
      </c>
      <c r="I1315" t="str">
        <f>VLOOKUP(Tabela2[[#This Row],[PAIS]],'[1]nome do paixs'!$A:$B,2,0)</f>
        <v>África do Sul</v>
      </c>
      <c r="J1315" t="s">
        <v>11</v>
      </c>
    </row>
    <row r="1316" spans="1:10">
      <c r="A1316">
        <v>2022</v>
      </c>
      <c r="B1316">
        <v>2</v>
      </c>
      <c r="C1316">
        <v>8803</v>
      </c>
      <c r="D1316">
        <v>756</v>
      </c>
      <c r="E1316" t="s">
        <v>10</v>
      </c>
      <c r="F1316">
        <v>3454102</v>
      </c>
      <c r="G1316" s="1">
        <v>13</v>
      </c>
      <c r="H1316" s="2">
        <v>14147</v>
      </c>
      <c r="I1316" t="str">
        <f>VLOOKUP(Tabela2[[#This Row],[PAIS]],'[1]nome do paixs'!$A:$B,2,0)</f>
        <v>África do Sul</v>
      </c>
      <c r="J1316" t="s">
        <v>11</v>
      </c>
    </row>
    <row r="1317" spans="1:10">
      <c r="A1317">
        <v>2022</v>
      </c>
      <c r="B1317">
        <v>5</v>
      </c>
      <c r="C1317">
        <v>8807</v>
      </c>
      <c r="D1317">
        <v>741</v>
      </c>
      <c r="E1317" t="s">
        <v>10</v>
      </c>
      <c r="F1317">
        <v>3454102</v>
      </c>
      <c r="G1317" s="1">
        <v>2</v>
      </c>
      <c r="H1317" s="2">
        <v>1697</v>
      </c>
      <c r="I1317" t="str">
        <f>VLOOKUP(Tabela2[[#This Row],[PAIS]],'[1]nome do paixs'!$A:$B,2,0)</f>
        <v>Singapura</v>
      </c>
      <c r="J1317" t="s">
        <v>11</v>
      </c>
    </row>
    <row r="1318" spans="1:10">
      <c r="A1318">
        <v>2022</v>
      </c>
      <c r="B1318">
        <v>8</v>
      </c>
      <c r="C1318">
        <v>8807</v>
      </c>
      <c r="D1318">
        <v>628</v>
      </c>
      <c r="E1318" t="s">
        <v>10</v>
      </c>
      <c r="F1318">
        <v>3454102</v>
      </c>
      <c r="G1318" s="1">
        <v>0</v>
      </c>
      <c r="H1318" s="2">
        <v>199</v>
      </c>
      <c r="I1318" t="str">
        <f>VLOOKUP(Tabela2[[#This Row],[PAIS]],'[1]nome do paixs'!$A:$B,2,0)</f>
        <v>Reino Unido</v>
      </c>
      <c r="J1318" t="s">
        <v>11</v>
      </c>
    </row>
    <row r="1319" spans="1:10">
      <c r="A1319">
        <v>2022</v>
      </c>
      <c r="B1319">
        <v>7</v>
      </c>
      <c r="C1319">
        <v>8807</v>
      </c>
      <c r="D1319">
        <v>741</v>
      </c>
      <c r="E1319" t="s">
        <v>10</v>
      </c>
      <c r="F1319">
        <v>3454102</v>
      </c>
      <c r="G1319" s="1">
        <v>7</v>
      </c>
      <c r="H1319" s="2">
        <v>104520</v>
      </c>
      <c r="I1319" t="str">
        <f>VLOOKUP(Tabela2[[#This Row],[PAIS]],'[1]nome do paixs'!$A:$B,2,0)</f>
        <v>Singapura</v>
      </c>
      <c r="J1319" t="s">
        <v>11</v>
      </c>
    </row>
    <row r="1320" spans="1:10">
      <c r="A1320">
        <v>2022</v>
      </c>
      <c r="B1320">
        <v>9</v>
      </c>
      <c r="C1320">
        <v>8807</v>
      </c>
      <c r="D1320">
        <v>764</v>
      </c>
      <c r="E1320" t="s">
        <v>10</v>
      </c>
      <c r="F1320">
        <v>3454102</v>
      </c>
      <c r="G1320" s="1">
        <v>132</v>
      </c>
      <c r="H1320" s="2">
        <v>32990</v>
      </c>
      <c r="I1320" t="str">
        <f>VLOOKUP(Tabela2[[#This Row],[PAIS]],'[1]nome do paixs'!$A:$B,2,0)</f>
        <v>Suécia</v>
      </c>
      <c r="J1320" t="s">
        <v>11</v>
      </c>
    </row>
    <row r="1321" spans="1:10">
      <c r="A1321">
        <v>2022</v>
      </c>
      <c r="B1321">
        <v>11</v>
      </c>
      <c r="C1321">
        <v>8807</v>
      </c>
      <c r="D1321">
        <v>493</v>
      </c>
      <c r="E1321" t="s">
        <v>10</v>
      </c>
      <c r="F1321">
        <v>3454102</v>
      </c>
      <c r="G1321" s="1">
        <v>0</v>
      </c>
      <c r="H1321" s="2">
        <v>1157</v>
      </c>
      <c r="I1321" t="str">
        <f>VLOOKUP(Tabela2[[#This Row],[PAIS]],'[1]nome do paixs'!$A:$B,2,0)</f>
        <v>México</v>
      </c>
      <c r="J1321" t="s">
        <v>11</v>
      </c>
    </row>
    <row r="1322" spans="1:10">
      <c r="A1322">
        <v>2022</v>
      </c>
      <c r="B1322">
        <v>12</v>
      </c>
      <c r="C1322">
        <v>8807</v>
      </c>
      <c r="D1322">
        <v>474</v>
      </c>
      <c r="E1322" t="s">
        <v>10</v>
      </c>
      <c r="F1322">
        <v>3454102</v>
      </c>
      <c r="G1322" s="1">
        <v>1</v>
      </c>
      <c r="H1322" s="2">
        <v>2239</v>
      </c>
      <c r="I1322" t="str">
        <f>VLOOKUP(Tabela2[[#This Row],[PAIS]],'[1]nome do paixs'!$A:$B,2,0)</f>
        <v>Marrocos</v>
      </c>
      <c r="J1322" t="s">
        <v>11</v>
      </c>
    </row>
    <row r="1323" spans="1:10">
      <c r="A1323">
        <v>2022</v>
      </c>
      <c r="B1323">
        <v>5</v>
      </c>
      <c r="C1323">
        <v>8807</v>
      </c>
      <c r="D1323">
        <v>442</v>
      </c>
      <c r="E1323" t="s">
        <v>10</v>
      </c>
      <c r="F1323">
        <v>3454102</v>
      </c>
      <c r="G1323" s="1">
        <v>0</v>
      </c>
      <c r="H1323" s="2">
        <v>2055</v>
      </c>
      <c r="I1323" t="str">
        <f>VLOOKUP(Tabela2[[#This Row],[PAIS]],'[1]nome do paixs'!$A:$B,2,0)</f>
        <v>Lituânia</v>
      </c>
      <c r="J1323" t="s">
        <v>11</v>
      </c>
    </row>
    <row r="1324" spans="1:10">
      <c r="A1324">
        <v>2022</v>
      </c>
      <c r="B1324">
        <v>4</v>
      </c>
      <c r="C1324">
        <v>8807</v>
      </c>
      <c r="D1324">
        <v>23</v>
      </c>
      <c r="E1324" t="s">
        <v>10</v>
      </c>
      <c r="F1324">
        <v>3454102</v>
      </c>
      <c r="G1324" s="1">
        <v>233</v>
      </c>
      <c r="H1324" s="2">
        <v>67417</v>
      </c>
      <c r="I1324" t="str">
        <f>VLOOKUP(Tabela2[[#This Row],[PAIS]],'[1]nome do paixs'!$A:$B,2,0)</f>
        <v>Alemanha</v>
      </c>
      <c r="J1324" t="s">
        <v>11</v>
      </c>
    </row>
    <row r="1325" spans="1:10">
      <c r="A1325">
        <v>2022</v>
      </c>
      <c r="B1325">
        <v>3</v>
      </c>
      <c r="C1325">
        <v>8803</v>
      </c>
      <c r="D1325">
        <v>741</v>
      </c>
      <c r="E1325" t="s">
        <v>10</v>
      </c>
      <c r="F1325">
        <v>3454102</v>
      </c>
      <c r="G1325" s="1">
        <v>14</v>
      </c>
      <c r="H1325" s="2">
        <v>8971</v>
      </c>
      <c r="I1325" t="str">
        <f>VLOOKUP(Tabela2[[#This Row],[PAIS]],'[1]nome do paixs'!$A:$B,2,0)</f>
        <v>Singapura</v>
      </c>
      <c r="J1325" t="s">
        <v>11</v>
      </c>
    </row>
    <row r="1326" spans="1:10">
      <c r="A1326">
        <v>2022</v>
      </c>
      <c r="B1326">
        <v>12</v>
      </c>
      <c r="C1326">
        <v>8807</v>
      </c>
      <c r="D1326">
        <v>741</v>
      </c>
      <c r="E1326" t="s">
        <v>10</v>
      </c>
      <c r="F1326">
        <v>3454102</v>
      </c>
      <c r="G1326" s="1">
        <v>32</v>
      </c>
      <c r="H1326" s="2">
        <v>9651</v>
      </c>
      <c r="I1326" t="str">
        <f>VLOOKUP(Tabela2[[#This Row],[PAIS]],'[1]nome do paixs'!$A:$B,2,0)</f>
        <v>Singapura</v>
      </c>
      <c r="J1326" t="s">
        <v>11</v>
      </c>
    </row>
    <row r="1327" spans="1:10">
      <c r="A1327">
        <v>2022</v>
      </c>
      <c r="B1327">
        <v>2</v>
      </c>
      <c r="C1327">
        <v>8803</v>
      </c>
      <c r="D1327">
        <v>493</v>
      </c>
      <c r="E1327" t="s">
        <v>10</v>
      </c>
      <c r="F1327">
        <v>3454102</v>
      </c>
      <c r="G1327" s="1">
        <v>1</v>
      </c>
      <c r="H1327" s="2">
        <v>419</v>
      </c>
      <c r="I1327" t="str">
        <f>VLOOKUP(Tabela2[[#This Row],[PAIS]],'[1]nome do paixs'!$A:$B,2,0)</f>
        <v>México</v>
      </c>
      <c r="J1327" t="s">
        <v>11</v>
      </c>
    </row>
    <row r="1328" spans="1:10">
      <c r="A1328">
        <v>2022</v>
      </c>
      <c r="B1328">
        <v>5</v>
      </c>
      <c r="C1328">
        <v>8807</v>
      </c>
      <c r="D1328">
        <v>249</v>
      </c>
      <c r="E1328" t="s">
        <v>10</v>
      </c>
      <c r="F1328">
        <v>3454102</v>
      </c>
      <c r="G1328" s="1">
        <v>377</v>
      </c>
      <c r="H1328" s="2">
        <v>253184</v>
      </c>
      <c r="I1328" t="str">
        <f>VLOOKUP(Tabela2[[#This Row],[PAIS]],'[1]nome do paixs'!$A:$B,2,0)</f>
        <v>Estados Unidos</v>
      </c>
      <c r="J1328" t="s">
        <v>11</v>
      </c>
    </row>
    <row r="1329" spans="1:10">
      <c r="A1329">
        <v>2022</v>
      </c>
      <c r="B1329">
        <v>4</v>
      </c>
      <c r="C1329">
        <v>8803</v>
      </c>
      <c r="D1329">
        <v>741</v>
      </c>
      <c r="E1329" t="s">
        <v>10</v>
      </c>
      <c r="F1329">
        <v>3454102</v>
      </c>
      <c r="G1329" s="1">
        <v>2</v>
      </c>
      <c r="H1329" s="2">
        <v>1557</v>
      </c>
      <c r="I1329" t="str">
        <f>VLOOKUP(Tabela2[[#This Row],[PAIS]],'[1]nome do paixs'!$A:$B,2,0)</f>
        <v>Singapura</v>
      </c>
      <c r="J1329" t="s">
        <v>11</v>
      </c>
    </row>
    <row r="1330" spans="1:10">
      <c r="A1330">
        <v>2022</v>
      </c>
      <c r="B1330">
        <v>8</v>
      </c>
      <c r="C1330">
        <v>8807</v>
      </c>
      <c r="D1330">
        <v>493</v>
      </c>
      <c r="E1330" t="s">
        <v>10</v>
      </c>
      <c r="F1330">
        <v>3454102</v>
      </c>
      <c r="G1330" s="1">
        <v>1</v>
      </c>
      <c r="H1330" s="2">
        <v>526</v>
      </c>
      <c r="I1330" t="str">
        <f>VLOOKUP(Tabela2[[#This Row],[PAIS]],'[1]nome do paixs'!$A:$B,2,0)</f>
        <v>México</v>
      </c>
      <c r="J1330" t="s">
        <v>11</v>
      </c>
    </row>
    <row r="1331" spans="1:10">
      <c r="A1331">
        <v>2022</v>
      </c>
      <c r="B1331">
        <v>4</v>
      </c>
      <c r="C1331">
        <v>8803</v>
      </c>
      <c r="D1331">
        <v>249</v>
      </c>
      <c r="E1331" t="s">
        <v>10</v>
      </c>
      <c r="F1331">
        <v>3454102</v>
      </c>
      <c r="G1331" s="1">
        <v>116</v>
      </c>
      <c r="H1331" s="2">
        <v>24890</v>
      </c>
      <c r="I1331" t="str">
        <f>VLOOKUP(Tabela2[[#This Row],[PAIS]],'[1]nome do paixs'!$A:$B,2,0)</f>
        <v>Estados Unidos</v>
      </c>
      <c r="J1331" t="s">
        <v>11</v>
      </c>
    </row>
    <row r="1332" spans="1:10">
      <c r="A1332">
        <v>2022</v>
      </c>
      <c r="B1332">
        <v>12</v>
      </c>
      <c r="C1332">
        <v>8807</v>
      </c>
      <c r="D1332">
        <v>493</v>
      </c>
      <c r="E1332" t="s">
        <v>10</v>
      </c>
      <c r="F1332">
        <v>3454102</v>
      </c>
      <c r="G1332" s="1">
        <v>4</v>
      </c>
      <c r="H1332" s="2">
        <v>2975</v>
      </c>
      <c r="I1332" t="str">
        <f>VLOOKUP(Tabela2[[#This Row],[PAIS]],'[1]nome do paixs'!$A:$B,2,0)</f>
        <v>México</v>
      </c>
      <c r="J1332" t="s">
        <v>11</v>
      </c>
    </row>
    <row r="1333" spans="1:10">
      <c r="A1333">
        <v>2022</v>
      </c>
      <c r="B1333">
        <v>11</v>
      </c>
      <c r="C1333">
        <v>8807</v>
      </c>
      <c r="D1333">
        <v>607</v>
      </c>
      <c r="E1333" t="s">
        <v>10</v>
      </c>
      <c r="F1333">
        <v>3454102</v>
      </c>
      <c r="G1333" s="1">
        <v>0</v>
      </c>
      <c r="H1333" s="2">
        <v>253</v>
      </c>
      <c r="I1333" t="str">
        <f>VLOOKUP(Tabela2[[#This Row],[PAIS]],'[1]nome do paixs'!$A:$B,2,0)</f>
        <v>Portugal</v>
      </c>
      <c r="J1333" t="s">
        <v>11</v>
      </c>
    </row>
    <row r="1334" spans="1:10">
      <c r="A1334">
        <v>2022</v>
      </c>
      <c r="B1334">
        <v>6</v>
      </c>
      <c r="C1334">
        <v>8807</v>
      </c>
      <c r="D1334">
        <v>87</v>
      </c>
      <c r="E1334" t="s">
        <v>10</v>
      </c>
      <c r="F1334">
        <v>3454102</v>
      </c>
      <c r="G1334" s="1">
        <v>2</v>
      </c>
      <c r="H1334" s="2">
        <v>7471</v>
      </c>
      <c r="I1334" t="str">
        <f>VLOOKUP(Tabela2[[#This Row],[PAIS]],'[1]nome do paixs'!$A:$B,2,0)</f>
        <v>Bélgica</v>
      </c>
      <c r="J1334" t="s">
        <v>11</v>
      </c>
    </row>
    <row r="1335" spans="1:10">
      <c r="A1335">
        <v>2022</v>
      </c>
      <c r="B1335">
        <v>10</v>
      </c>
      <c r="C1335">
        <v>8807</v>
      </c>
      <c r="D1335">
        <v>247</v>
      </c>
      <c r="E1335" t="s">
        <v>10</v>
      </c>
      <c r="F1335">
        <v>3454102</v>
      </c>
      <c r="G1335" s="1">
        <v>11</v>
      </c>
      <c r="H1335" s="2">
        <v>18931</v>
      </c>
      <c r="I1335" t="str">
        <f>VLOOKUP(Tabela2[[#This Row],[PAIS]],'[1]nome do paixs'!$A:$B,2,0)</f>
        <v>Eslováquia</v>
      </c>
      <c r="J1335" t="s">
        <v>11</v>
      </c>
    </row>
    <row r="1336" spans="1:10">
      <c r="A1336">
        <v>2022</v>
      </c>
      <c r="B1336">
        <v>9</v>
      </c>
      <c r="C1336">
        <v>8807</v>
      </c>
      <c r="D1336">
        <v>442</v>
      </c>
      <c r="E1336" t="s">
        <v>10</v>
      </c>
      <c r="F1336">
        <v>3454102</v>
      </c>
      <c r="G1336" s="1">
        <v>2</v>
      </c>
      <c r="H1336" s="2">
        <v>2586</v>
      </c>
      <c r="I1336" t="str">
        <f>VLOOKUP(Tabela2[[#This Row],[PAIS]],'[1]nome do paixs'!$A:$B,2,0)</f>
        <v>Lituânia</v>
      </c>
      <c r="J1336" t="s">
        <v>11</v>
      </c>
    </row>
    <row r="1337" spans="1:10">
      <c r="A1337">
        <v>2022</v>
      </c>
      <c r="B1337">
        <v>3</v>
      </c>
      <c r="C1337">
        <v>8803</v>
      </c>
      <c r="D1337">
        <v>160</v>
      </c>
      <c r="E1337" t="s">
        <v>10</v>
      </c>
      <c r="F1337">
        <v>3454102</v>
      </c>
      <c r="G1337" s="1">
        <v>9</v>
      </c>
      <c r="H1337" s="2">
        <v>9178</v>
      </c>
      <c r="I1337" t="str">
        <f>VLOOKUP(Tabela2[[#This Row],[PAIS]],'[1]nome do paixs'!$A:$B,2,0)</f>
        <v>China</v>
      </c>
      <c r="J1337" t="s">
        <v>11</v>
      </c>
    </row>
    <row r="1338" spans="1:10">
      <c r="A1338">
        <v>2022</v>
      </c>
      <c r="B1338">
        <v>7</v>
      </c>
      <c r="C1338">
        <v>8807</v>
      </c>
      <c r="D1338">
        <v>764</v>
      </c>
      <c r="E1338" t="s">
        <v>10</v>
      </c>
      <c r="F1338">
        <v>3454102</v>
      </c>
      <c r="G1338" s="1">
        <v>11</v>
      </c>
      <c r="H1338" s="2">
        <v>4006</v>
      </c>
      <c r="I1338" t="str">
        <f>VLOOKUP(Tabela2[[#This Row],[PAIS]],'[1]nome do paixs'!$A:$B,2,0)</f>
        <v>Suécia</v>
      </c>
      <c r="J1338" t="s">
        <v>11</v>
      </c>
    </row>
    <row r="1339" spans="1:10">
      <c r="A1339">
        <v>2022</v>
      </c>
      <c r="B1339">
        <v>3</v>
      </c>
      <c r="C1339">
        <v>8803</v>
      </c>
      <c r="D1339">
        <v>603</v>
      </c>
      <c r="E1339" t="s">
        <v>10</v>
      </c>
      <c r="F1339">
        <v>3454102</v>
      </c>
      <c r="G1339" s="1">
        <v>0</v>
      </c>
      <c r="H1339" s="2">
        <v>1720</v>
      </c>
      <c r="I1339" t="str">
        <f>VLOOKUP(Tabela2[[#This Row],[PAIS]],'[1]nome do paixs'!$A:$B,2,0)</f>
        <v>Polônia</v>
      </c>
      <c r="J1339" t="s">
        <v>11</v>
      </c>
    </row>
    <row r="1340" spans="1:10">
      <c r="A1340">
        <v>2022</v>
      </c>
      <c r="B1340">
        <v>3</v>
      </c>
      <c r="C1340">
        <v>8803</v>
      </c>
      <c r="D1340">
        <v>153</v>
      </c>
      <c r="E1340" t="s">
        <v>10</v>
      </c>
      <c r="F1340">
        <v>3454102</v>
      </c>
      <c r="G1340" s="1">
        <v>1</v>
      </c>
      <c r="H1340" s="2">
        <v>1426</v>
      </c>
      <c r="I1340" t="str">
        <f>VLOOKUP(Tabela2[[#This Row],[PAIS]],'[1]nome do paixs'!$A:$B,2,0)</f>
        <v>Cazaquistão</v>
      </c>
      <c r="J1340" t="s">
        <v>11</v>
      </c>
    </row>
    <row r="1341" spans="1:10">
      <c r="A1341">
        <v>2022</v>
      </c>
      <c r="B1341">
        <v>7</v>
      </c>
      <c r="C1341">
        <v>8807</v>
      </c>
      <c r="D1341">
        <v>756</v>
      </c>
      <c r="E1341" t="s">
        <v>10</v>
      </c>
      <c r="F1341">
        <v>3454102</v>
      </c>
      <c r="G1341" s="1">
        <v>1</v>
      </c>
      <c r="H1341" s="2">
        <v>2549</v>
      </c>
      <c r="I1341" t="str">
        <f>VLOOKUP(Tabela2[[#This Row],[PAIS]],'[1]nome do paixs'!$A:$B,2,0)</f>
        <v>África do Sul</v>
      </c>
      <c r="J1341" t="s">
        <v>11</v>
      </c>
    </row>
    <row r="1342" spans="1:10">
      <c r="A1342">
        <v>2022</v>
      </c>
      <c r="B1342">
        <v>6</v>
      </c>
      <c r="C1342">
        <v>8807</v>
      </c>
      <c r="D1342">
        <v>399</v>
      </c>
      <c r="E1342" t="s">
        <v>10</v>
      </c>
      <c r="F1342">
        <v>3454102</v>
      </c>
      <c r="G1342" s="1">
        <v>1</v>
      </c>
      <c r="H1342" s="2">
        <v>866</v>
      </c>
      <c r="I1342" t="str">
        <f>VLOOKUP(Tabela2[[#This Row],[PAIS]],'[1]nome do paixs'!$A:$B,2,0)</f>
        <v>Japão</v>
      </c>
      <c r="J1342" t="s">
        <v>11</v>
      </c>
    </row>
    <row r="1343" spans="1:10">
      <c r="A1343">
        <v>2022</v>
      </c>
      <c r="B1343">
        <v>11</v>
      </c>
      <c r="C1343">
        <v>8807</v>
      </c>
      <c r="D1343">
        <v>275</v>
      </c>
      <c r="E1343" t="s">
        <v>10</v>
      </c>
      <c r="F1343">
        <v>3454102</v>
      </c>
      <c r="G1343" s="1">
        <v>125</v>
      </c>
      <c r="H1343" s="2">
        <v>172627</v>
      </c>
      <c r="I1343" t="str">
        <f>VLOOKUP(Tabela2[[#This Row],[PAIS]],'[1]nome do paixs'!$A:$B,2,0)</f>
        <v>França</v>
      </c>
      <c r="J1343" t="s">
        <v>11</v>
      </c>
    </row>
    <row r="1344" spans="1:10">
      <c r="A1344">
        <v>2022</v>
      </c>
      <c r="B1344">
        <v>6</v>
      </c>
      <c r="C1344">
        <v>8807</v>
      </c>
      <c r="D1344">
        <v>493</v>
      </c>
      <c r="E1344" t="s">
        <v>10</v>
      </c>
      <c r="F1344">
        <v>3454102</v>
      </c>
      <c r="G1344" s="1">
        <v>8</v>
      </c>
      <c r="H1344" s="2">
        <v>7519</v>
      </c>
      <c r="I1344" t="str">
        <f>VLOOKUP(Tabela2[[#This Row],[PAIS]],'[1]nome do paixs'!$A:$B,2,0)</f>
        <v>México</v>
      </c>
      <c r="J1344" t="s">
        <v>11</v>
      </c>
    </row>
    <row r="1345" spans="1:10">
      <c r="A1345">
        <v>2022</v>
      </c>
      <c r="B1345">
        <v>5</v>
      </c>
      <c r="C1345">
        <v>8807</v>
      </c>
      <c r="D1345">
        <v>764</v>
      </c>
      <c r="E1345" t="s">
        <v>10</v>
      </c>
      <c r="F1345">
        <v>3454102</v>
      </c>
      <c r="G1345" s="1">
        <v>93</v>
      </c>
      <c r="H1345" s="2">
        <v>22878</v>
      </c>
      <c r="I1345" t="str">
        <f>VLOOKUP(Tabela2[[#This Row],[PAIS]],'[1]nome do paixs'!$A:$B,2,0)</f>
        <v>Suécia</v>
      </c>
      <c r="J1345" t="s">
        <v>11</v>
      </c>
    </row>
    <row r="1346" spans="1:10">
      <c r="A1346">
        <v>2022</v>
      </c>
      <c r="B1346">
        <v>7</v>
      </c>
      <c r="C1346">
        <v>8807</v>
      </c>
      <c r="D1346">
        <v>275</v>
      </c>
      <c r="E1346" t="s">
        <v>10</v>
      </c>
      <c r="F1346">
        <v>3454102</v>
      </c>
      <c r="G1346" s="1">
        <v>185</v>
      </c>
      <c r="H1346" s="2">
        <v>128160</v>
      </c>
      <c r="I1346" t="str">
        <f>VLOOKUP(Tabela2[[#This Row],[PAIS]],'[1]nome do paixs'!$A:$B,2,0)</f>
        <v>França</v>
      </c>
      <c r="J1346" t="s">
        <v>11</v>
      </c>
    </row>
    <row r="1347" spans="1:10">
      <c r="A1347">
        <v>2022</v>
      </c>
      <c r="B1347">
        <v>12</v>
      </c>
      <c r="C1347">
        <v>8807</v>
      </c>
      <c r="D1347">
        <v>149</v>
      </c>
      <c r="E1347" t="s">
        <v>10</v>
      </c>
      <c r="F1347">
        <v>3454102</v>
      </c>
      <c r="G1347" s="1">
        <v>0</v>
      </c>
      <c r="H1347" s="2">
        <v>1464</v>
      </c>
      <c r="I1347" t="str">
        <f>VLOOKUP(Tabela2[[#This Row],[PAIS]],'[1]nome do paixs'!$A:$B,2,0)</f>
        <v>Canadá</v>
      </c>
      <c r="J1347" t="s">
        <v>11</v>
      </c>
    </row>
    <row r="1348" spans="1:10">
      <c r="A1348">
        <v>2022</v>
      </c>
      <c r="B1348">
        <v>5</v>
      </c>
      <c r="C1348">
        <v>8807</v>
      </c>
      <c r="D1348">
        <v>245</v>
      </c>
      <c r="E1348" t="s">
        <v>10</v>
      </c>
      <c r="F1348">
        <v>3454102</v>
      </c>
      <c r="G1348" s="1">
        <v>1</v>
      </c>
      <c r="H1348" s="2">
        <v>336</v>
      </c>
      <c r="I1348" t="str">
        <f>VLOOKUP(Tabela2[[#This Row],[PAIS]],'[1]nome do paixs'!$A:$B,2,0)</f>
        <v>Espanha</v>
      </c>
      <c r="J1348" t="s">
        <v>11</v>
      </c>
    </row>
    <row r="1349" spans="1:10">
      <c r="A1349">
        <v>2022</v>
      </c>
      <c r="B1349">
        <v>12</v>
      </c>
      <c r="C1349">
        <v>8807</v>
      </c>
      <c r="D1349">
        <v>247</v>
      </c>
      <c r="E1349" t="s">
        <v>10</v>
      </c>
      <c r="F1349">
        <v>3454102</v>
      </c>
      <c r="G1349" s="1">
        <v>2</v>
      </c>
      <c r="H1349" s="2">
        <v>1128</v>
      </c>
      <c r="I1349" t="str">
        <f>VLOOKUP(Tabela2[[#This Row],[PAIS]],'[1]nome do paixs'!$A:$B,2,0)</f>
        <v>Eslováquia</v>
      </c>
      <c r="J1349" t="s">
        <v>11</v>
      </c>
    </row>
    <row r="1350" spans="1:10">
      <c r="A1350">
        <v>2022</v>
      </c>
      <c r="B1350">
        <v>6</v>
      </c>
      <c r="C1350">
        <v>8807</v>
      </c>
      <c r="D1350">
        <v>160</v>
      </c>
      <c r="E1350" t="s">
        <v>10</v>
      </c>
      <c r="F1350">
        <v>3454102</v>
      </c>
      <c r="G1350" s="1">
        <v>4</v>
      </c>
      <c r="H1350" s="2">
        <v>9508</v>
      </c>
      <c r="I1350" t="str">
        <f>VLOOKUP(Tabela2[[#This Row],[PAIS]],'[1]nome do paixs'!$A:$B,2,0)</f>
        <v>China</v>
      </c>
      <c r="J1350" t="s">
        <v>11</v>
      </c>
    </row>
    <row r="1351" spans="1:10">
      <c r="A1351">
        <v>2022</v>
      </c>
      <c r="B1351">
        <v>10</v>
      </c>
      <c r="C1351">
        <v>8807</v>
      </c>
      <c r="D1351">
        <v>87</v>
      </c>
      <c r="E1351" t="s">
        <v>10</v>
      </c>
      <c r="F1351">
        <v>3454102</v>
      </c>
      <c r="G1351" s="1">
        <v>0</v>
      </c>
      <c r="H1351" s="2">
        <v>7205</v>
      </c>
      <c r="I1351" t="str">
        <f>VLOOKUP(Tabela2[[#This Row],[PAIS]],'[1]nome do paixs'!$A:$B,2,0)</f>
        <v>Bélgica</v>
      </c>
      <c r="J1351" t="s">
        <v>11</v>
      </c>
    </row>
    <row r="1352" spans="1:10">
      <c r="A1352">
        <v>2022</v>
      </c>
      <c r="B1352">
        <v>10</v>
      </c>
      <c r="C1352">
        <v>8807</v>
      </c>
      <c r="D1352">
        <v>756</v>
      </c>
      <c r="E1352" t="s">
        <v>10</v>
      </c>
      <c r="F1352">
        <v>3454102</v>
      </c>
      <c r="G1352" s="1">
        <v>1</v>
      </c>
      <c r="H1352" s="2">
        <v>5976</v>
      </c>
      <c r="I1352" t="str">
        <f>VLOOKUP(Tabela2[[#This Row],[PAIS]],'[1]nome do paixs'!$A:$B,2,0)</f>
        <v>África do Sul</v>
      </c>
      <c r="J1352" t="s">
        <v>11</v>
      </c>
    </row>
    <row r="1353" spans="1:10">
      <c r="A1353">
        <v>2022</v>
      </c>
      <c r="B1353">
        <v>9</v>
      </c>
      <c r="C1353">
        <v>8807</v>
      </c>
      <c r="D1353">
        <v>160</v>
      </c>
      <c r="E1353" t="s">
        <v>10</v>
      </c>
      <c r="F1353">
        <v>3454102</v>
      </c>
      <c r="G1353" s="1">
        <v>9</v>
      </c>
      <c r="H1353" s="2">
        <v>14812</v>
      </c>
      <c r="I1353" t="str">
        <f>VLOOKUP(Tabela2[[#This Row],[PAIS]],'[1]nome do paixs'!$A:$B,2,0)</f>
        <v>China</v>
      </c>
      <c r="J1353" t="s">
        <v>11</v>
      </c>
    </row>
    <row r="1354" spans="1:10">
      <c r="A1354">
        <v>2022</v>
      </c>
      <c r="B1354">
        <v>9</v>
      </c>
      <c r="C1354">
        <v>8807</v>
      </c>
      <c r="D1354">
        <v>247</v>
      </c>
      <c r="E1354" t="s">
        <v>10</v>
      </c>
      <c r="F1354">
        <v>3454102</v>
      </c>
      <c r="G1354" s="1">
        <v>1</v>
      </c>
      <c r="H1354" s="2">
        <v>3073</v>
      </c>
      <c r="I1354" t="str">
        <f>VLOOKUP(Tabela2[[#This Row],[PAIS]],'[1]nome do paixs'!$A:$B,2,0)</f>
        <v>Eslováquia</v>
      </c>
      <c r="J1354" t="s">
        <v>11</v>
      </c>
    </row>
    <row r="1355" spans="1:10">
      <c r="A1355">
        <v>2022</v>
      </c>
      <c r="B1355">
        <v>12</v>
      </c>
      <c r="C1355">
        <v>8807</v>
      </c>
      <c r="D1355">
        <v>160</v>
      </c>
      <c r="E1355" t="s">
        <v>10</v>
      </c>
      <c r="F1355">
        <v>3454102</v>
      </c>
      <c r="G1355" s="1">
        <v>4</v>
      </c>
      <c r="H1355" s="2">
        <v>10089</v>
      </c>
      <c r="I1355" t="str">
        <f>VLOOKUP(Tabela2[[#This Row],[PAIS]],'[1]nome do paixs'!$A:$B,2,0)</f>
        <v>China</v>
      </c>
      <c r="J1355" t="s">
        <v>11</v>
      </c>
    </row>
    <row r="1356" spans="1:10">
      <c r="A1356">
        <v>2022</v>
      </c>
      <c r="B1356">
        <v>7</v>
      </c>
      <c r="C1356">
        <v>8807</v>
      </c>
      <c r="D1356">
        <v>493</v>
      </c>
      <c r="E1356" t="s">
        <v>10</v>
      </c>
      <c r="F1356">
        <v>3454102</v>
      </c>
      <c r="G1356" s="1">
        <v>0</v>
      </c>
      <c r="H1356" s="2">
        <v>6268</v>
      </c>
      <c r="I1356" t="str">
        <f>VLOOKUP(Tabela2[[#This Row],[PAIS]],'[1]nome do paixs'!$A:$B,2,0)</f>
        <v>México</v>
      </c>
      <c r="J1356" t="s">
        <v>11</v>
      </c>
    </row>
    <row r="1357" spans="1:10">
      <c r="A1357">
        <v>2022</v>
      </c>
      <c r="B1357">
        <v>10</v>
      </c>
      <c r="C1357">
        <v>8807</v>
      </c>
      <c r="D1357">
        <v>245</v>
      </c>
      <c r="E1357" t="s">
        <v>10</v>
      </c>
      <c r="F1357">
        <v>3454102</v>
      </c>
      <c r="G1357" s="1">
        <v>0</v>
      </c>
      <c r="H1357" s="2">
        <v>1120</v>
      </c>
      <c r="I1357" t="str">
        <f>VLOOKUP(Tabela2[[#This Row],[PAIS]],'[1]nome do paixs'!$A:$B,2,0)</f>
        <v>Espanha</v>
      </c>
      <c r="J1357" t="s">
        <v>11</v>
      </c>
    </row>
    <row r="1358" spans="1:10">
      <c r="A1358">
        <v>2022</v>
      </c>
      <c r="B1358">
        <v>6</v>
      </c>
      <c r="C1358">
        <v>8807</v>
      </c>
      <c r="D1358">
        <v>628</v>
      </c>
      <c r="E1358" t="s">
        <v>10</v>
      </c>
      <c r="F1358">
        <v>3454102</v>
      </c>
      <c r="G1358" s="1">
        <v>0</v>
      </c>
      <c r="H1358" s="2">
        <v>1910</v>
      </c>
      <c r="I1358" t="str">
        <f>VLOOKUP(Tabela2[[#This Row],[PAIS]],'[1]nome do paixs'!$A:$B,2,0)</f>
        <v>Reino Unido</v>
      </c>
      <c r="J1358" t="s">
        <v>11</v>
      </c>
    </row>
    <row r="1359" spans="1:10">
      <c r="A1359">
        <v>2022</v>
      </c>
      <c r="B1359">
        <v>11</v>
      </c>
      <c r="C1359">
        <v>8807</v>
      </c>
      <c r="D1359">
        <v>741</v>
      </c>
      <c r="E1359" t="s">
        <v>10</v>
      </c>
      <c r="F1359">
        <v>3454102</v>
      </c>
      <c r="G1359" s="1">
        <v>2</v>
      </c>
      <c r="H1359" s="2">
        <v>1389</v>
      </c>
      <c r="I1359" t="str">
        <f>VLOOKUP(Tabela2[[#This Row],[PAIS]],'[1]nome do paixs'!$A:$B,2,0)</f>
        <v>Singapura</v>
      </c>
      <c r="J1359" t="s">
        <v>11</v>
      </c>
    </row>
    <row r="1360" spans="1:10">
      <c r="A1360">
        <v>2022</v>
      </c>
      <c r="B1360">
        <v>7</v>
      </c>
      <c r="C1360">
        <v>8807</v>
      </c>
      <c r="D1360">
        <v>607</v>
      </c>
      <c r="E1360" t="s">
        <v>10</v>
      </c>
      <c r="F1360">
        <v>3454102</v>
      </c>
      <c r="G1360" s="1">
        <v>2</v>
      </c>
      <c r="H1360" s="2">
        <v>850</v>
      </c>
      <c r="I1360" t="str">
        <f>VLOOKUP(Tabela2[[#This Row],[PAIS]],'[1]nome do paixs'!$A:$B,2,0)</f>
        <v>Portugal</v>
      </c>
      <c r="J1360" t="s">
        <v>11</v>
      </c>
    </row>
    <row r="1361" spans="1:10">
      <c r="A1361">
        <v>2022</v>
      </c>
      <c r="B1361">
        <v>2</v>
      </c>
      <c r="C1361">
        <v>8803</v>
      </c>
      <c r="D1361">
        <v>607</v>
      </c>
      <c r="E1361" t="s">
        <v>10</v>
      </c>
      <c r="F1361">
        <v>3454102</v>
      </c>
      <c r="G1361" s="1">
        <v>0</v>
      </c>
      <c r="H1361" s="2">
        <v>152</v>
      </c>
      <c r="I1361" t="str">
        <f>VLOOKUP(Tabela2[[#This Row],[PAIS]],'[1]nome do paixs'!$A:$B,2,0)</f>
        <v>Portugal</v>
      </c>
      <c r="J1361" t="s">
        <v>11</v>
      </c>
    </row>
    <row r="1362" spans="1:10">
      <c r="A1362">
        <v>2022</v>
      </c>
      <c r="B1362">
        <v>6</v>
      </c>
      <c r="C1362">
        <v>8807</v>
      </c>
      <c r="D1362">
        <v>247</v>
      </c>
      <c r="E1362" t="s">
        <v>10</v>
      </c>
      <c r="F1362">
        <v>3454102</v>
      </c>
      <c r="G1362" s="1">
        <v>1</v>
      </c>
      <c r="H1362" s="2">
        <v>4016</v>
      </c>
      <c r="I1362" t="str">
        <f>VLOOKUP(Tabela2[[#This Row],[PAIS]],'[1]nome do paixs'!$A:$B,2,0)</f>
        <v>Eslováquia</v>
      </c>
      <c r="J1362" t="s">
        <v>11</v>
      </c>
    </row>
    <row r="1363" spans="1:10">
      <c r="A1363">
        <v>2022</v>
      </c>
      <c r="B1363">
        <v>2</v>
      </c>
      <c r="C1363">
        <v>8803</v>
      </c>
      <c r="D1363">
        <v>160</v>
      </c>
      <c r="E1363" t="s">
        <v>10</v>
      </c>
      <c r="F1363">
        <v>3454102</v>
      </c>
      <c r="G1363" s="1">
        <v>3</v>
      </c>
      <c r="H1363" s="2">
        <v>10297</v>
      </c>
      <c r="I1363" t="str">
        <f>VLOOKUP(Tabela2[[#This Row],[PAIS]],'[1]nome do paixs'!$A:$B,2,0)</f>
        <v>China</v>
      </c>
      <c r="J1363" t="s">
        <v>11</v>
      </c>
    </row>
    <row r="1364" spans="1:10">
      <c r="A1364">
        <v>2022</v>
      </c>
      <c r="B1364">
        <v>6</v>
      </c>
      <c r="C1364">
        <v>8807</v>
      </c>
      <c r="D1364">
        <v>72</v>
      </c>
      <c r="E1364" t="s">
        <v>10</v>
      </c>
      <c r="F1364">
        <v>3454102</v>
      </c>
      <c r="G1364" s="1">
        <v>79</v>
      </c>
      <c r="H1364" s="2">
        <v>108123</v>
      </c>
      <c r="I1364" t="str">
        <f>VLOOKUP(Tabela2[[#This Row],[PAIS]],'[1]nome do paixs'!$A:$B,2,0)</f>
        <v>Áustria</v>
      </c>
      <c r="J1364" t="s">
        <v>11</v>
      </c>
    </row>
    <row r="1365" spans="1:10">
      <c r="A1365">
        <v>2022</v>
      </c>
      <c r="B1365">
        <v>10</v>
      </c>
      <c r="C1365">
        <v>8807</v>
      </c>
      <c r="D1365">
        <v>603</v>
      </c>
      <c r="E1365" t="s">
        <v>10</v>
      </c>
      <c r="F1365">
        <v>3454102</v>
      </c>
      <c r="G1365" s="1">
        <v>13</v>
      </c>
      <c r="H1365" s="2">
        <v>17619</v>
      </c>
      <c r="I1365" t="str">
        <f>VLOOKUP(Tabela2[[#This Row],[PAIS]],'[1]nome do paixs'!$A:$B,2,0)</f>
        <v>Polônia</v>
      </c>
      <c r="J1365" t="s">
        <v>11</v>
      </c>
    </row>
    <row r="1366" spans="1:10">
      <c r="A1366">
        <v>2022</v>
      </c>
      <c r="B1366">
        <v>1</v>
      </c>
      <c r="C1366">
        <v>8803</v>
      </c>
      <c r="D1366">
        <v>741</v>
      </c>
      <c r="E1366" t="s">
        <v>10</v>
      </c>
      <c r="F1366">
        <v>3454102</v>
      </c>
      <c r="G1366" s="1">
        <v>6</v>
      </c>
      <c r="H1366" s="2">
        <v>2816</v>
      </c>
      <c r="I1366" t="str">
        <f>VLOOKUP(Tabela2[[#This Row],[PAIS]],'[1]nome do paixs'!$A:$B,2,0)</f>
        <v>Singapura</v>
      </c>
      <c r="J1366" t="s">
        <v>11</v>
      </c>
    </row>
    <row r="1367" spans="1:10">
      <c r="A1367">
        <v>2022</v>
      </c>
      <c r="B1367">
        <v>10</v>
      </c>
      <c r="C1367">
        <v>8807</v>
      </c>
      <c r="D1367">
        <v>160</v>
      </c>
      <c r="E1367" t="s">
        <v>10</v>
      </c>
      <c r="F1367">
        <v>3454102</v>
      </c>
      <c r="G1367" s="1">
        <v>5</v>
      </c>
      <c r="H1367" s="2">
        <v>7175</v>
      </c>
      <c r="I1367" t="str">
        <f>VLOOKUP(Tabela2[[#This Row],[PAIS]],'[1]nome do paixs'!$A:$B,2,0)</f>
        <v>China</v>
      </c>
      <c r="J1367" t="s">
        <v>11</v>
      </c>
    </row>
    <row r="1368" spans="1:10">
      <c r="A1368">
        <v>2022</v>
      </c>
      <c r="B1368">
        <v>2</v>
      </c>
      <c r="C1368">
        <v>8803</v>
      </c>
      <c r="D1368">
        <v>741</v>
      </c>
      <c r="E1368" t="s">
        <v>10</v>
      </c>
      <c r="F1368">
        <v>3454102</v>
      </c>
      <c r="G1368" s="1">
        <v>4</v>
      </c>
      <c r="H1368" s="2">
        <v>2970</v>
      </c>
      <c r="I1368" t="str">
        <f>VLOOKUP(Tabela2[[#This Row],[PAIS]],'[1]nome do paixs'!$A:$B,2,0)</f>
        <v>Singapura</v>
      </c>
      <c r="J1368" t="s">
        <v>11</v>
      </c>
    </row>
    <row r="1369" spans="1:10">
      <c r="A1369">
        <v>2022</v>
      </c>
      <c r="B1369">
        <v>3</v>
      </c>
      <c r="C1369">
        <v>8803</v>
      </c>
      <c r="D1369">
        <v>676</v>
      </c>
      <c r="E1369" t="s">
        <v>10</v>
      </c>
      <c r="F1369">
        <v>3454102</v>
      </c>
      <c r="G1369" s="1">
        <v>1</v>
      </c>
      <c r="H1369" s="2">
        <v>6673</v>
      </c>
      <c r="I1369" t="str">
        <f>VLOOKUP(Tabela2[[#This Row],[PAIS]],'[1]nome do paixs'!$A:$B,2,0)</f>
        <v>Rússia</v>
      </c>
      <c r="J1369" t="s">
        <v>11</v>
      </c>
    </row>
    <row r="1370" spans="1:10">
      <c r="A1370">
        <v>2022</v>
      </c>
      <c r="B1370">
        <v>2</v>
      </c>
      <c r="C1370">
        <v>8803</v>
      </c>
      <c r="D1370">
        <v>149</v>
      </c>
      <c r="E1370" t="s">
        <v>10</v>
      </c>
      <c r="F1370">
        <v>3454102</v>
      </c>
      <c r="G1370" s="1">
        <v>1</v>
      </c>
      <c r="H1370" s="2">
        <v>635</v>
      </c>
      <c r="I1370" t="str">
        <f>VLOOKUP(Tabela2[[#This Row],[PAIS]],'[1]nome do paixs'!$A:$B,2,0)</f>
        <v>Canadá</v>
      </c>
      <c r="J1370" t="s">
        <v>11</v>
      </c>
    </row>
    <row r="1371" spans="1:10">
      <c r="A1371">
        <v>2022</v>
      </c>
      <c r="B1371">
        <v>3</v>
      </c>
      <c r="C1371">
        <v>8803</v>
      </c>
      <c r="D1371">
        <v>607</v>
      </c>
      <c r="E1371" t="s">
        <v>10</v>
      </c>
      <c r="F1371">
        <v>3454102</v>
      </c>
      <c r="G1371" s="1">
        <v>0</v>
      </c>
      <c r="H1371" s="2">
        <v>238</v>
      </c>
      <c r="I1371" t="str">
        <f>VLOOKUP(Tabela2[[#This Row],[PAIS]],'[1]nome do paixs'!$A:$B,2,0)</f>
        <v>Portugal</v>
      </c>
      <c r="J1371" t="s">
        <v>11</v>
      </c>
    </row>
    <row r="1372" spans="1:10">
      <c r="A1372">
        <v>2022</v>
      </c>
      <c r="B1372">
        <v>4</v>
      </c>
      <c r="C1372">
        <v>8803</v>
      </c>
      <c r="D1372">
        <v>764</v>
      </c>
      <c r="E1372" t="s">
        <v>10</v>
      </c>
      <c r="F1372">
        <v>3454102</v>
      </c>
      <c r="G1372" s="1">
        <v>15</v>
      </c>
      <c r="H1372" s="2">
        <v>3112</v>
      </c>
      <c r="I1372" t="str">
        <f>VLOOKUP(Tabela2[[#This Row],[PAIS]],'[1]nome do paixs'!$A:$B,2,0)</f>
        <v>Suécia</v>
      </c>
      <c r="J1372" t="s">
        <v>11</v>
      </c>
    </row>
    <row r="1373" spans="1:10">
      <c r="A1373">
        <v>2022</v>
      </c>
      <c r="B1373">
        <v>8</v>
      </c>
      <c r="C1373">
        <v>8807</v>
      </c>
      <c r="D1373">
        <v>275</v>
      </c>
      <c r="E1373" t="s">
        <v>10</v>
      </c>
      <c r="F1373">
        <v>3454102</v>
      </c>
      <c r="G1373" s="1">
        <v>108</v>
      </c>
      <c r="H1373" s="2">
        <v>92146</v>
      </c>
      <c r="I1373" t="str">
        <f>VLOOKUP(Tabela2[[#This Row],[PAIS]],'[1]nome do paixs'!$A:$B,2,0)</f>
        <v>França</v>
      </c>
      <c r="J1373" t="s">
        <v>11</v>
      </c>
    </row>
    <row r="1374" spans="1:10">
      <c r="A1374">
        <v>2022</v>
      </c>
      <c r="B1374">
        <v>4</v>
      </c>
      <c r="C1374">
        <v>8807</v>
      </c>
      <c r="D1374">
        <v>249</v>
      </c>
      <c r="E1374" t="s">
        <v>10</v>
      </c>
      <c r="F1374">
        <v>3454102</v>
      </c>
      <c r="G1374" s="1">
        <v>328</v>
      </c>
      <c r="H1374" s="2">
        <v>178635</v>
      </c>
      <c r="I1374" t="str">
        <f>VLOOKUP(Tabela2[[#This Row],[PAIS]],'[1]nome do paixs'!$A:$B,2,0)</f>
        <v>Estados Unidos</v>
      </c>
      <c r="J1374" t="s">
        <v>11</v>
      </c>
    </row>
    <row r="1375" spans="1:10">
      <c r="A1375">
        <v>2022</v>
      </c>
      <c r="B1375">
        <v>10</v>
      </c>
      <c r="C1375">
        <v>8807</v>
      </c>
      <c r="D1375">
        <v>275</v>
      </c>
      <c r="E1375" t="s">
        <v>10</v>
      </c>
      <c r="F1375">
        <v>3454102</v>
      </c>
      <c r="G1375" s="1">
        <v>319</v>
      </c>
      <c r="H1375" s="2">
        <v>1045457</v>
      </c>
      <c r="I1375" t="str">
        <f>VLOOKUP(Tabela2[[#This Row],[PAIS]],'[1]nome do paixs'!$A:$B,2,0)</f>
        <v>França</v>
      </c>
      <c r="J1375" t="s">
        <v>11</v>
      </c>
    </row>
    <row r="1376" spans="1:10">
      <c r="A1376">
        <v>2022</v>
      </c>
      <c r="B1376">
        <v>3</v>
      </c>
      <c r="C1376">
        <v>8803</v>
      </c>
      <c r="D1376">
        <v>442</v>
      </c>
      <c r="E1376" t="s">
        <v>10</v>
      </c>
      <c r="F1376">
        <v>3454102</v>
      </c>
      <c r="G1376" s="1">
        <v>0</v>
      </c>
      <c r="H1376" s="2">
        <v>1031</v>
      </c>
      <c r="I1376" t="str">
        <f>VLOOKUP(Tabela2[[#This Row],[PAIS]],'[1]nome do paixs'!$A:$B,2,0)</f>
        <v>Lituânia</v>
      </c>
      <c r="J1376" t="s">
        <v>11</v>
      </c>
    </row>
    <row r="1377" spans="1:10">
      <c r="A1377">
        <v>2022</v>
      </c>
      <c r="B1377">
        <v>9</v>
      </c>
      <c r="C1377">
        <v>8807</v>
      </c>
      <c r="D1377">
        <v>741</v>
      </c>
      <c r="E1377" t="s">
        <v>10</v>
      </c>
      <c r="F1377">
        <v>3454102</v>
      </c>
      <c r="G1377" s="1">
        <v>5</v>
      </c>
      <c r="H1377" s="2">
        <v>10355</v>
      </c>
      <c r="I1377" t="str">
        <f>VLOOKUP(Tabela2[[#This Row],[PAIS]],'[1]nome do paixs'!$A:$B,2,0)</f>
        <v>Singapura</v>
      </c>
      <c r="J1377" t="s">
        <v>11</v>
      </c>
    </row>
    <row r="1378" spans="1:10">
      <c r="A1378">
        <v>2022</v>
      </c>
      <c r="B1378">
        <v>2</v>
      </c>
      <c r="C1378">
        <v>8803</v>
      </c>
      <c r="D1378">
        <v>442</v>
      </c>
      <c r="E1378" t="s">
        <v>10</v>
      </c>
      <c r="F1378">
        <v>3454102</v>
      </c>
      <c r="G1378" s="1">
        <v>0</v>
      </c>
      <c r="H1378" s="2">
        <v>2179</v>
      </c>
      <c r="I1378" t="str">
        <f>VLOOKUP(Tabela2[[#This Row],[PAIS]],'[1]nome do paixs'!$A:$B,2,0)</f>
        <v>Lituânia</v>
      </c>
      <c r="J1378" t="s">
        <v>11</v>
      </c>
    </row>
    <row r="1379" spans="1:10">
      <c r="A1379">
        <v>2022</v>
      </c>
      <c r="B1379">
        <v>6</v>
      </c>
      <c r="C1379">
        <v>8807</v>
      </c>
      <c r="D1379">
        <v>249</v>
      </c>
      <c r="E1379" t="s">
        <v>10</v>
      </c>
      <c r="F1379">
        <v>3454102</v>
      </c>
      <c r="G1379" s="1">
        <v>1111</v>
      </c>
      <c r="H1379" s="2">
        <v>596817</v>
      </c>
      <c r="I1379" t="str">
        <f>VLOOKUP(Tabela2[[#This Row],[PAIS]],'[1]nome do paixs'!$A:$B,2,0)</f>
        <v>Estados Unidos</v>
      </c>
      <c r="J1379" t="s">
        <v>11</v>
      </c>
    </row>
    <row r="1380" spans="1:10">
      <c r="A1380">
        <v>2022</v>
      </c>
      <c r="B1380">
        <v>7</v>
      </c>
      <c r="C1380">
        <v>8807</v>
      </c>
      <c r="D1380">
        <v>442</v>
      </c>
      <c r="E1380" t="s">
        <v>10</v>
      </c>
      <c r="F1380">
        <v>3454102</v>
      </c>
      <c r="G1380" s="1">
        <v>3</v>
      </c>
      <c r="H1380" s="2">
        <v>5139</v>
      </c>
      <c r="I1380" t="str">
        <f>VLOOKUP(Tabela2[[#This Row],[PAIS]],'[1]nome do paixs'!$A:$B,2,0)</f>
        <v>Lituânia</v>
      </c>
      <c r="J1380" t="s">
        <v>11</v>
      </c>
    </row>
    <row r="1381" spans="1:10">
      <c r="A1381">
        <v>2022</v>
      </c>
      <c r="B1381">
        <v>1</v>
      </c>
      <c r="C1381">
        <v>8803</v>
      </c>
      <c r="D1381">
        <v>249</v>
      </c>
      <c r="E1381" t="s">
        <v>10</v>
      </c>
      <c r="F1381">
        <v>3454102</v>
      </c>
      <c r="G1381" s="1">
        <v>18978</v>
      </c>
      <c r="H1381" s="2">
        <v>47105</v>
      </c>
      <c r="I1381" t="str">
        <f>VLOOKUP(Tabela2[[#This Row],[PAIS]],'[1]nome do paixs'!$A:$B,2,0)</f>
        <v>Estados Unidos</v>
      </c>
      <c r="J1381" t="s">
        <v>11</v>
      </c>
    </row>
    <row r="1382" spans="1:10">
      <c r="A1382">
        <v>2022</v>
      </c>
      <c r="B1382">
        <v>12</v>
      </c>
      <c r="C1382">
        <v>8807</v>
      </c>
      <c r="D1382">
        <v>23</v>
      </c>
      <c r="E1382" t="s">
        <v>10</v>
      </c>
      <c r="F1382">
        <v>3454102</v>
      </c>
      <c r="G1382" s="1">
        <v>10</v>
      </c>
      <c r="H1382" s="2">
        <v>25077</v>
      </c>
      <c r="I1382" t="str">
        <f>VLOOKUP(Tabela2[[#This Row],[PAIS]],'[1]nome do paixs'!$A:$B,2,0)</f>
        <v>Alemanha</v>
      </c>
      <c r="J1382" t="s">
        <v>11</v>
      </c>
    </row>
    <row r="1383" spans="1:10">
      <c r="A1383">
        <v>2022</v>
      </c>
      <c r="B1383">
        <v>11</v>
      </c>
      <c r="C1383">
        <v>8807</v>
      </c>
      <c r="D1383">
        <v>160</v>
      </c>
      <c r="E1383" t="s">
        <v>10</v>
      </c>
      <c r="F1383">
        <v>3454102</v>
      </c>
      <c r="G1383" s="1">
        <v>6</v>
      </c>
      <c r="H1383" s="2">
        <v>6762</v>
      </c>
      <c r="I1383" t="str">
        <f>VLOOKUP(Tabela2[[#This Row],[PAIS]],'[1]nome do paixs'!$A:$B,2,0)</f>
        <v>China</v>
      </c>
      <c r="J1383" t="s">
        <v>11</v>
      </c>
    </row>
    <row r="1384" spans="1:10">
      <c r="A1384">
        <v>2022</v>
      </c>
      <c r="B1384">
        <v>4</v>
      </c>
      <c r="C1384">
        <v>8807</v>
      </c>
      <c r="D1384">
        <v>756</v>
      </c>
      <c r="E1384" t="s">
        <v>10</v>
      </c>
      <c r="F1384">
        <v>3454102</v>
      </c>
      <c r="G1384" s="1">
        <v>6</v>
      </c>
      <c r="H1384" s="2">
        <v>6825</v>
      </c>
      <c r="I1384" t="str">
        <f>VLOOKUP(Tabela2[[#This Row],[PAIS]],'[1]nome do paixs'!$A:$B,2,0)</f>
        <v>África do Sul</v>
      </c>
      <c r="J1384" t="s">
        <v>11</v>
      </c>
    </row>
    <row r="1385" spans="1:10">
      <c r="A1385">
        <v>2022</v>
      </c>
      <c r="B1385">
        <v>3</v>
      </c>
      <c r="C1385">
        <v>8803</v>
      </c>
      <c r="D1385">
        <v>493</v>
      </c>
      <c r="E1385" t="s">
        <v>10</v>
      </c>
      <c r="F1385">
        <v>3454102</v>
      </c>
      <c r="G1385" s="1">
        <v>7</v>
      </c>
      <c r="H1385" s="2">
        <v>12080</v>
      </c>
      <c r="I1385" t="str">
        <f>VLOOKUP(Tabela2[[#This Row],[PAIS]],'[1]nome do paixs'!$A:$B,2,0)</f>
        <v>México</v>
      </c>
      <c r="J1385" t="s">
        <v>11</v>
      </c>
    </row>
    <row r="1386" spans="1:10">
      <c r="A1386">
        <v>2022</v>
      </c>
      <c r="B1386">
        <v>7</v>
      </c>
      <c r="C1386">
        <v>8807</v>
      </c>
      <c r="D1386">
        <v>247</v>
      </c>
      <c r="E1386" t="s">
        <v>10</v>
      </c>
      <c r="F1386">
        <v>3454102</v>
      </c>
      <c r="G1386" s="1">
        <v>1</v>
      </c>
      <c r="H1386" s="2">
        <v>419</v>
      </c>
      <c r="I1386" t="str">
        <f>VLOOKUP(Tabela2[[#This Row],[PAIS]],'[1]nome do paixs'!$A:$B,2,0)</f>
        <v>Eslováquia</v>
      </c>
      <c r="J1386" t="s">
        <v>11</v>
      </c>
    </row>
    <row r="1387" spans="1:10">
      <c r="A1387">
        <v>2022</v>
      </c>
      <c r="B1387">
        <v>11</v>
      </c>
      <c r="C1387">
        <v>8807</v>
      </c>
      <c r="D1387">
        <v>756</v>
      </c>
      <c r="E1387" t="s">
        <v>10</v>
      </c>
      <c r="F1387">
        <v>3454102</v>
      </c>
      <c r="G1387" s="1">
        <v>0</v>
      </c>
      <c r="H1387" s="2">
        <v>218</v>
      </c>
      <c r="I1387" t="str">
        <f>VLOOKUP(Tabela2[[#This Row],[PAIS]],'[1]nome do paixs'!$A:$B,2,0)</f>
        <v>África do Sul</v>
      </c>
      <c r="J1387" t="s">
        <v>11</v>
      </c>
    </row>
    <row r="1388" spans="1:10">
      <c r="A1388">
        <v>2022</v>
      </c>
      <c r="B1388">
        <v>8</v>
      </c>
      <c r="C1388">
        <v>8807</v>
      </c>
      <c r="D1388">
        <v>741</v>
      </c>
      <c r="E1388" t="s">
        <v>10</v>
      </c>
      <c r="F1388">
        <v>3454102</v>
      </c>
      <c r="G1388" s="1">
        <v>2</v>
      </c>
      <c r="H1388" s="2">
        <v>18740</v>
      </c>
      <c r="I1388" t="str">
        <f>VLOOKUP(Tabela2[[#This Row],[PAIS]],'[1]nome do paixs'!$A:$B,2,0)</f>
        <v>Singapura</v>
      </c>
      <c r="J1388" t="s">
        <v>11</v>
      </c>
    </row>
    <row r="1389" spans="1:10">
      <c r="A1389">
        <v>2022</v>
      </c>
      <c r="B1389">
        <v>12</v>
      </c>
      <c r="C1389">
        <v>8807</v>
      </c>
      <c r="D1389">
        <v>756</v>
      </c>
      <c r="E1389" t="s">
        <v>10</v>
      </c>
      <c r="F1389">
        <v>3454102</v>
      </c>
      <c r="G1389" s="1">
        <v>2</v>
      </c>
      <c r="H1389" s="2">
        <v>5226</v>
      </c>
      <c r="I1389" t="str">
        <f>VLOOKUP(Tabela2[[#This Row],[PAIS]],'[1]nome do paixs'!$A:$B,2,0)</f>
        <v>África do Sul</v>
      </c>
      <c r="J1389" t="s">
        <v>11</v>
      </c>
    </row>
    <row r="1390" spans="1:10">
      <c r="A1390">
        <v>2022</v>
      </c>
      <c r="B1390">
        <v>9</v>
      </c>
      <c r="C1390">
        <v>8807</v>
      </c>
      <c r="D1390">
        <v>628</v>
      </c>
      <c r="E1390" t="s">
        <v>10</v>
      </c>
      <c r="F1390">
        <v>3454102</v>
      </c>
      <c r="G1390" s="1">
        <v>0</v>
      </c>
      <c r="H1390" s="2">
        <v>527</v>
      </c>
      <c r="I1390" t="str">
        <f>VLOOKUP(Tabela2[[#This Row],[PAIS]],'[1]nome do paixs'!$A:$B,2,0)</f>
        <v>Reino Unido</v>
      </c>
      <c r="J1390" t="s">
        <v>11</v>
      </c>
    </row>
    <row r="1391" spans="1:10">
      <c r="A1391">
        <v>2022</v>
      </c>
      <c r="B1391">
        <v>4</v>
      </c>
      <c r="C1391">
        <v>8807</v>
      </c>
      <c r="D1391">
        <v>196</v>
      </c>
      <c r="E1391" t="s">
        <v>10</v>
      </c>
      <c r="F1391">
        <v>3454102</v>
      </c>
      <c r="G1391" s="1">
        <v>4</v>
      </c>
      <c r="H1391" s="2">
        <v>3793</v>
      </c>
      <c r="I1391" t="str">
        <f>VLOOKUP(Tabela2[[#This Row],[PAIS]],'[1]nome do paixs'!$A:$B,2,0)</f>
        <v>Costa Rica</v>
      </c>
      <c r="J1391" t="s">
        <v>11</v>
      </c>
    </row>
    <row r="1392" spans="1:10">
      <c r="A1392">
        <v>2022</v>
      </c>
      <c r="B1392">
        <v>7</v>
      </c>
      <c r="C1392">
        <v>8807</v>
      </c>
      <c r="D1392">
        <v>249</v>
      </c>
      <c r="E1392" t="s">
        <v>10</v>
      </c>
      <c r="F1392">
        <v>3454102</v>
      </c>
      <c r="G1392" s="1">
        <v>833</v>
      </c>
      <c r="H1392" s="2">
        <v>621026</v>
      </c>
      <c r="I1392" t="str">
        <f>VLOOKUP(Tabela2[[#This Row],[PAIS]],'[1]nome do paixs'!$A:$B,2,0)</f>
        <v>Estados Unidos</v>
      </c>
      <c r="J1392" t="s">
        <v>11</v>
      </c>
    </row>
    <row r="1393" spans="1:10">
      <c r="A1393">
        <v>2022</v>
      </c>
      <c r="B1393">
        <v>7</v>
      </c>
      <c r="C1393">
        <v>8807</v>
      </c>
      <c r="D1393">
        <v>464</v>
      </c>
      <c r="E1393" t="s">
        <v>10</v>
      </c>
      <c r="F1393">
        <v>3454102</v>
      </c>
      <c r="G1393" s="1">
        <v>19</v>
      </c>
      <c r="H1393" s="2">
        <v>26936</v>
      </c>
      <c r="I1393" t="str">
        <f>VLOOKUP(Tabela2[[#This Row],[PAIS]],'[1]nome do paixs'!$A:$B,2,0)</f>
        <v>Mali</v>
      </c>
      <c r="J1393" t="s">
        <v>11</v>
      </c>
    </row>
    <row r="1394" spans="1:10">
      <c r="A1394">
        <v>2022</v>
      </c>
      <c r="B1394">
        <v>2</v>
      </c>
      <c r="C1394">
        <v>8803</v>
      </c>
      <c r="D1394">
        <v>247</v>
      </c>
      <c r="E1394" t="s">
        <v>10</v>
      </c>
      <c r="F1394">
        <v>3454102</v>
      </c>
      <c r="G1394" s="1">
        <v>0</v>
      </c>
      <c r="H1394" s="2">
        <v>121</v>
      </c>
      <c r="I1394" t="str">
        <f>VLOOKUP(Tabela2[[#This Row],[PAIS]],'[1]nome do paixs'!$A:$B,2,0)</f>
        <v>Eslováquia</v>
      </c>
      <c r="J1394" t="s">
        <v>11</v>
      </c>
    </row>
    <row r="1395" spans="1:10">
      <c r="A1395">
        <v>2022</v>
      </c>
      <c r="B1395">
        <v>1</v>
      </c>
      <c r="C1395">
        <v>8803</v>
      </c>
      <c r="D1395">
        <v>247</v>
      </c>
      <c r="E1395" t="s">
        <v>10</v>
      </c>
      <c r="F1395">
        <v>3454102</v>
      </c>
      <c r="G1395" s="1">
        <v>0</v>
      </c>
      <c r="H1395" s="2">
        <v>179</v>
      </c>
      <c r="I1395" t="str">
        <f>VLOOKUP(Tabela2[[#This Row],[PAIS]],'[1]nome do paixs'!$A:$B,2,0)</f>
        <v>Eslováquia</v>
      </c>
      <c r="J1395" t="s">
        <v>11</v>
      </c>
    </row>
    <row r="1396" spans="1:10">
      <c r="A1396">
        <v>2022</v>
      </c>
      <c r="B1396">
        <v>6</v>
      </c>
      <c r="C1396">
        <v>8807</v>
      </c>
      <c r="D1396">
        <v>275</v>
      </c>
      <c r="E1396" t="s">
        <v>10</v>
      </c>
      <c r="F1396">
        <v>3454102</v>
      </c>
      <c r="G1396" s="1">
        <v>146</v>
      </c>
      <c r="H1396" s="2">
        <v>138322</v>
      </c>
      <c r="I1396" t="str">
        <f>VLOOKUP(Tabela2[[#This Row],[PAIS]],'[1]nome do paixs'!$A:$B,2,0)</f>
        <v>França</v>
      </c>
      <c r="J1396" t="s">
        <v>11</v>
      </c>
    </row>
    <row r="1397" spans="1:10">
      <c r="A1397">
        <v>2022</v>
      </c>
      <c r="B1397">
        <v>8</v>
      </c>
      <c r="C1397">
        <v>8807</v>
      </c>
      <c r="D1397">
        <v>69</v>
      </c>
      <c r="E1397" t="s">
        <v>10</v>
      </c>
      <c r="F1397">
        <v>3454102</v>
      </c>
      <c r="G1397" s="1">
        <v>0</v>
      </c>
      <c r="H1397" s="2">
        <v>1722</v>
      </c>
      <c r="I1397" t="str">
        <f>VLOOKUP(Tabela2[[#This Row],[PAIS]],'[1]nome do paixs'!$A:$B,2,0)</f>
        <v>Austrália</v>
      </c>
      <c r="J1397" t="s">
        <v>11</v>
      </c>
    </row>
    <row r="1398" spans="1:10">
      <c r="A1398">
        <v>2022</v>
      </c>
      <c r="B1398">
        <v>10</v>
      </c>
      <c r="C1398">
        <v>8807</v>
      </c>
      <c r="D1398">
        <v>741</v>
      </c>
      <c r="E1398" t="s">
        <v>10</v>
      </c>
      <c r="F1398">
        <v>3454102</v>
      </c>
      <c r="G1398" s="1">
        <v>6</v>
      </c>
      <c r="H1398" s="2">
        <v>4039</v>
      </c>
      <c r="I1398" t="str">
        <f>VLOOKUP(Tabela2[[#This Row],[PAIS]],'[1]nome do paixs'!$A:$B,2,0)</f>
        <v>Singapura</v>
      </c>
      <c r="J1398" t="s">
        <v>11</v>
      </c>
    </row>
    <row r="1399" spans="1:10">
      <c r="A1399">
        <v>2022</v>
      </c>
      <c r="B1399">
        <v>2</v>
      </c>
      <c r="C1399">
        <v>8803</v>
      </c>
      <c r="D1399">
        <v>399</v>
      </c>
      <c r="E1399" t="s">
        <v>10</v>
      </c>
      <c r="F1399">
        <v>3454102</v>
      </c>
      <c r="G1399" s="1">
        <v>5</v>
      </c>
      <c r="H1399" s="2">
        <v>14215</v>
      </c>
      <c r="I1399" t="str">
        <f>VLOOKUP(Tabela2[[#This Row],[PAIS]],'[1]nome do paixs'!$A:$B,2,0)</f>
        <v>Japão</v>
      </c>
      <c r="J1399" t="s">
        <v>11</v>
      </c>
    </row>
    <row r="1400" spans="1:10">
      <c r="A1400">
        <v>2022</v>
      </c>
      <c r="B1400">
        <v>5</v>
      </c>
      <c r="C1400">
        <v>8807</v>
      </c>
      <c r="D1400">
        <v>603</v>
      </c>
      <c r="E1400" t="s">
        <v>10</v>
      </c>
      <c r="F1400">
        <v>3454102</v>
      </c>
      <c r="G1400" s="1">
        <v>2</v>
      </c>
      <c r="H1400" s="2">
        <v>3955</v>
      </c>
      <c r="I1400" t="str">
        <f>VLOOKUP(Tabela2[[#This Row],[PAIS]],'[1]nome do paixs'!$A:$B,2,0)</f>
        <v>Polônia</v>
      </c>
      <c r="J1400" t="s">
        <v>11</v>
      </c>
    </row>
    <row r="1401" spans="1:10">
      <c r="A1401">
        <v>2022</v>
      </c>
      <c r="B1401">
        <v>3</v>
      </c>
      <c r="C1401">
        <v>8803</v>
      </c>
      <c r="D1401">
        <v>247</v>
      </c>
      <c r="E1401" t="s">
        <v>10</v>
      </c>
      <c r="F1401">
        <v>3454102</v>
      </c>
      <c r="G1401" s="1">
        <v>0</v>
      </c>
      <c r="H1401" s="2">
        <v>404</v>
      </c>
      <c r="I1401" t="str">
        <f>VLOOKUP(Tabela2[[#This Row],[PAIS]],'[1]nome do paixs'!$A:$B,2,0)</f>
        <v>Eslováquia</v>
      </c>
      <c r="J1401" t="s">
        <v>11</v>
      </c>
    </row>
    <row r="1402" spans="1:10">
      <c r="A1402">
        <v>2022</v>
      </c>
      <c r="B1402">
        <v>5</v>
      </c>
      <c r="C1402">
        <v>8807</v>
      </c>
      <c r="D1402">
        <v>756</v>
      </c>
      <c r="E1402" t="s">
        <v>10</v>
      </c>
      <c r="F1402">
        <v>3454102</v>
      </c>
      <c r="G1402" s="1">
        <v>0</v>
      </c>
      <c r="H1402" s="2">
        <v>268</v>
      </c>
      <c r="I1402" t="str">
        <f>VLOOKUP(Tabela2[[#This Row],[PAIS]],'[1]nome do paixs'!$A:$B,2,0)</f>
        <v>África do Sul</v>
      </c>
      <c r="J1402" t="s">
        <v>11</v>
      </c>
    </row>
    <row r="1403" spans="1:10">
      <c r="A1403">
        <v>2022</v>
      </c>
      <c r="B1403">
        <v>5</v>
      </c>
      <c r="C1403">
        <v>8807</v>
      </c>
      <c r="D1403">
        <v>87</v>
      </c>
      <c r="E1403" t="s">
        <v>10</v>
      </c>
      <c r="F1403">
        <v>3454102</v>
      </c>
      <c r="G1403" s="1">
        <v>25</v>
      </c>
      <c r="H1403" s="2">
        <v>29038</v>
      </c>
      <c r="I1403" t="str">
        <f>VLOOKUP(Tabela2[[#This Row],[PAIS]],'[1]nome do paixs'!$A:$B,2,0)</f>
        <v>Bélgica</v>
      </c>
      <c r="J1403" t="s">
        <v>11</v>
      </c>
    </row>
    <row r="1404" spans="1:10">
      <c r="A1404">
        <v>2022</v>
      </c>
      <c r="B1404">
        <v>3</v>
      </c>
      <c r="C1404">
        <v>8803</v>
      </c>
      <c r="D1404">
        <v>87</v>
      </c>
      <c r="E1404" t="s">
        <v>10</v>
      </c>
      <c r="F1404">
        <v>3454102</v>
      </c>
      <c r="G1404" s="1">
        <v>0</v>
      </c>
      <c r="H1404" s="2">
        <v>1474</v>
      </c>
      <c r="I1404" t="str">
        <f>VLOOKUP(Tabela2[[#This Row],[PAIS]],'[1]nome do paixs'!$A:$B,2,0)</f>
        <v>Bélgica</v>
      </c>
      <c r="J1404" t="s">
        <v>11</v>
      </c>
    </row>
    <row r="1405" spans="1:10">
      <c r="A1405">
        <v>2022</v>
      </c>
      <c r="B1405">
        <v>6</v>
      </c>
      <c r="C1405">
        <v>8807</v>
      </c>
      <c r="D1405">
        <v>607</v>
      </c>
      <c r="E1405" t="s">
        <v>10</v>
      </c>
      <c r="F1405">
        <v>3454102</v>
      </c>
      <c r="G1405" s="1">
        <v>27</v>
      </c>
      <c r="H1405" s="2">
        <v>17183</v>
      </c>
      <c r="I1405" t="str">
        <f>VLOOKUP(Tabela2[[#This Row],[PAIS]],'[1]nome do paixs'!$A:$B,2,0)</f>
        <v>Portugal</v>
      </c>
      <c r="J1405" t="s">
        <v>11</v>
      </c>
    </row>
    <row r="1406" spans="1:10">
      <c r="A1406">
        <v>2022</v>
      </c>
      <c r="B1406">
        <v>12</v>
      </c>
      <c r="C1406">
        <v>8807</v>
      </c>
      <c r="D1406">
        <v>628</v>
      </c>
      <c r="E1406" t="s">
        <v>10</v>
      </c>
      <c r="F1406">
        <v>3454102</v>
      </c>
      <c r="G1406" s="1">
        <v>1</v>
      </c>
      <c r="H1406" s="2">
        <v>1797</v>
      </c>
      <c r="I1406" t="str">
        <f>VLOOKUP(Tabela2[[#This Row],[PAIS]],'[1]nome do paixs'!$A:$B,2,0)</f>
        <v>Reino Unido</v>
      </c>
      <c r="J1406" t="s">
        <v>11</v>
      </c>
    </row>
    <row r="1407" spans="1:10">
      <c r="A1407">
        <v>2022</v>
      </c>
      <c r="B1407">
        <v>9</v>
      </c>
      <c r="C1407">
        <v>8807</v>
      </c>
      <c r="D1407">
        <v>756</v>
      </c>
      <c r="E1407" t="s">
        <v>10</v>
      </c>
      <c r="F1407">
        <v>3454102</v>
      </c>
      <c r="G1407" s="1">
        <v>1</v>
      </c>
      <c r="H1407" s="2">
        <v>5789</v>
      </c>
      <c r="I1407" t="str">
        <f>VLOOKUP(Tabela2[[#This Row],[PAIS]],'[1]nome do paixs'!$A:$B,2,0)</f>
        <v>África do Sul</v>
      </c>
      <c r="J1407" t="s">
        <v>11</v>
      </c>
    </row>
    <row r="1408" spans="1:10">
      <c r="A1408">
        <v>2022</v>
      </c>
      <c r="B1408">
        <v>2</v>
      </c>
      <c r="C1408">
        <v>8803</v>
      </c>
      <c r="D1408">
        <v>603</v>
      </c>
      <c r="E1408" t="s">
        <v>10</v>
      </c>
      <c r="F1408">
        <v>3454102</v>
      </c>
      <c r="G1408" s="1">
        <v>10</v>
      </c>
      <c r="H1408" s="2">
        <v>8190</v>
      </c>
      <c r="I1408" t="str">
        <f>VLOOKUP(Tabela2[[#This Row],[PAIS]],'[1]nome do paixs'!$A:$B,2,0)</f>
        <v>Polônia</v>
      </c>
      <c r="J1408" t="s">
        <v>11</v>
      </c>
    </row>
    <row r="1409" spans="1:10">
      <c r="A1409">
        <v>2022</v>
      </c>
      <c r="B1409">
        <v>9</v>
      </c>
      <c r="C1409">
        <v>8807</v>
      </c>
      <c r="D1409">
        <v>399</v>
      </c>
      <c r="E1409" t="s">
        <v>10</v>
      </c>
      <c r="F1409">
        <v>3454102</v>
      </c>
      <c r="G1409" s="1">
        <v>0</v>
      </c>
      <c r="H1409" s="2">
        <v>924</v>
      </c>
      <c r="I1409" t="str">
        <f>VLOOKUP(Tabela2[[#This Row],[PAIS]],'[1]nome do paixs'!$A:$B,2,0)</f>
        <v>Japão</v>
      </c>
      <c r="J1409" t="s">
        <v>11</v>
      </c>
    </row>
    <row r="1410" spans="1:10">
      <c r="A1410">
        <v>2022</v>
      </c>
      <c r="B1410">
        <v>5</v>
      </c>
      <c r="C1410">
        <v>8807</v>
      </c>
      <c r="D1410">
        <v>493</v>
      </c>
      <c r="E1410" t="s">
        <v>10</v>
      </c>
      <c r="F1410">
        <v>3454102</v>
      </c>
      <c r="G1410" s="1">
        <v>4</v>
      </c>
      <c r="H1410" s="2">
        <v>11250</v>
      </c>
      <c r="I1410" t="str">
        <f>VLOOKUP(Tabela2[[#This Row],[PAIS]],'[1]nome do paixs'!$A:$B,2,0)</f>
        <v>México</v>
      </c>
      <c r="J1410" t="s">
        <v>11</v>
      </c>
    </row>
    <row r="1411" spans="1:10">
      <c r="A1411">
        <v>2022</v>
      </c>
      <c r="B1411">
        <v>5</v>
      </c>
      <c r="C1411">
        <v>8807</v>
      </c>
      <c r="D1411">
        <v>196</v>
      </c>
      <c r="E1411" t="s">
        <v>10</v>
      </c>
      <c r="F1411">
        <v>3454102</v>
      </c>
      <c r="G1411" s="1">
        <v>0</v>
      </c>
      <c r="H1411" s="2">
        <v>759</v>
      </c>
      <c r="I1411" t="str">
        <f>VLOOKUP(Tabela2[[#This Row],[PAIS]],'[1]nome do paixs'!$A:$B,2,0)</f>
        <v>Costa Rica</v>
      </c>
      <c r="J1411" t="s">
        <v>11</v>
      </c>
    </row>
    <row r="1412" spans="1:10">
      <c r="A1412">
        <v>2022</v>
      </c>
      <c r="B1412">
        <v>2</v>
      </c>
      <c r="C1412">
        <v>8803</v>
      </c>
      <c r="D1412">
        <v>249</v>
      </c>
      <c r="E1412" t="s">
        <v>10</v>
      </c>
      <c r="F1412">
        <v>3454102</v>
      </c>
      <c r="G1412" s="1">
        <v>936</v>
      </c>
      <c r="H1412" s="2">
        <v>246169</v>
      </c>
      <c r="I1412" t="str">
        <f>VLOOKUP(Tabela2[[#This Row],[PAIS]],'[1]nome do paixs'!$A:$B,2,0)</f>
        <v>Estados Unidos</v>
      </c>
      <c r="J1412" t="s">
        <v>11</v>
      </c>
    </row>
    <row r="1413" spans="1:10">
      <c r="A1413">
        <v>2022</v>
      </c>
      <c r="B1413">
        <v>2</v>
      </c>
      <c r="C1413">
        <v>8803</v>
      </c>
      <c r="D1413">
        <v>245</v>
      </c>
      <c r="E1413" t="s">
        <v>10</v>
      </c>
      <c r="F1413">
        <v>3454102</v>
      </c>
      <c r="G1413" s="1">
        <v>0</v>
      </c>
      <c r="H1413" s="2">
        <v>2359</v>
      </c>
      <c r="I1413" t="str">
        <f>VLOOKUP(Tabela2[[#This Row],[PAIS]],'[1]nome do paixs'!$A:$B,2,0)</f>
        <v>Espanha</v>
      </c>
      <c r="J1413" t="s">
        <v>11</v>
      </c>
    </row>
    <row r="1414" spans="1:10">
      <c r="A1414">
        <v>2022</v>
      </c>
      <c r="B1414">
        <v>10</v>
      </c>
      <c r="C1414">
        <v>8807</v>
      </c>
      <c r="D1414">
        <v>607</v>
      </c>
      <c r="E1414" t="s">
        <v>10</v>
      </c>
      <c r="F1414">
        <v>3454102</v>
      </c>
      <c r="G1414" s="1">
        <v>7</v>
      </c>
      <c r="H1414" s="2">
        <v>14799</v>
      </c>
      <c r="I1414" t="str">
        <f>VLOOKUP(Tabela2[[#This Row],[PAIS]],'[1]nome do paixs'!$A:$B,2,0)</f>
        <v>Portugal</v>
      </c>
      <c r="J1414" t="s">
        <v>11</v>
      </c>
    </row>
    <row r="1415" spans="1:10">
      <c r="A1415">
        <v>2022</v>
      </c>
      <c r="B1415">
        <v>9</v>
      </c>
      <c r="C1415">
        <v>8807</v>
      </c>
      <c r="D1415">
        <v>493</v>
      </c>
      <c r="E1415" t="s">
        <v>10</v>
      </c>
      <c r="F1415">
        <v>3454102</v>
      </c>
      <c r="G1415" s="1">
        <v>8</v>
      </c>
      <c r="H1415" s="2">
        <v>4782</v>
      </c>
      <c r="I1415" t="str">
        <f>VLOOKUP(Tabela2[[#This Row],[PAIS]],'[1]nome do paixs'!$A:$B,2,0)</f>
        <v>México</v>
      </c>
      <c r="J1415" t="s">
        <v>11</v>
      </c>
    </row>
    <row r="1416" spans="1:10">
      <c r="A1416">
        <v>2022</v>
      </c>
      <c r="B1416">
        <v>7</v>
      </c>
      <c r="C1416">
        <v>8807</v>
      </c>
      <c r="D1416">
        <v>628</v>
      </c>
      <c r="E1416" t="s">
        <v>10</v>
      </c>
      <c r="F1416">
        <v>3454102</v>
      </c>
      <c r="G1416" s="1">
        <v>1</v>
      </c>
      <c r="H1416" s="2">
        <v>419</v>
      </c>
      <c r="I1416" t="str">
        <f>VLOOKUP(Tabela2[[#This Row],[PAIS]],'[1]nome do paixs'!$A:$B,2,0)</f>
        <v>Reino Unido</v>
      </c>
      <c r="J1416" t="s">
        <v>11</v>
      </c>
    </row>
    <row r="1417" spans="1:10">
      <c r="A1417">
        <v>2022</v>
      </c>
      <c r="B1417">
        <v>10</v>
      </c>
      <c r="C1417">
        <v>8807</v>
      </c>
      <c r="D1417">
        <v>628</v>
      </c>
      <c r="E1417" t="s">
        <v>10</v>
      </c>
      <c r="F1417">
        <v>3454102</v>
      </c>
      <c r="G1417" s="1">
        <v>0</v>
      </c>
      <c r="H1417" s="2">
        <v>603</v>
      </c>
      <c r="I1417" t="str">
        <f>VLOOKUP(Tabela2[[#This Row],[PAIS]],'[1]nome do paixs'!$A:$B,2,0)</f>
        <v>Reino Unido</v>
      </c>
      <c r="J1417" t="s">
        <v>11</v>
      </c>
    </row>
    <row r="1418" spans="1:10">
      <c r="A1418">
        <v>2022</v>
      </c>
      <c r="B1418">
        <v>5</v>
      </c>
      <c r="C1418">
        <v>8807</v>
      </c>
      <c r="D1418">
        <v>63</v>
      </c>
      <c r="E1418" t="s">
        <v>10</v>
      </c>
      <c r="F1418">
        <v>3454102</v>
      </c>
      <c r="G1418" s="1">
        <v>3</v>
      </c>
      <c r="H1418" s="2">
        <v>1793</v>
      </c>
      <c r="I1418" t="str">
        <f>VLOOKUP(Tabela2[[#This Row],[PAIS]],'[1]nome do paixs'!$A:$B,2,0)</f>
        <v>Argentina</v>
      </c>
      <c r="J1418" t="s">
        <v>11</v>
      </c>
    </row>
    <row r="1419" spans="1:10">
      <c r="A1419">
        <v>2022</v>
      </c>
      <c r="B1419">
        <v>11</v>
      </c>
      <c r="C1419">
        <v>8807</v>
      </c>
      <c r="D1419">
        <v>249</v>
      </c>
      <c r="E1419" t="s">
        <v>10</v>
      </c>
      <c r="F1419">
        <v>3454102</v>
      </c>
      <c r="G1419" s="1">
        <v>1052</v>
      </c>
      <c r="H1419" s="2">
        <v>400281</v>
      </c>
      <c r="I1419" t="str">
        <f>VLOOKUP(Tabela2[[#This Row],[PAIS]],'[1]nome do paixs'!$A:$B,2,0)</f>
        <v>Estados Unidos</v>
      </c>
      <c r="J1419" t="s">
        <v>11</v>
      </c>
    </row>
    <row r="1420" spans="1:10">
      <c r="A1420">
        <v>2022</v>
      </c>
      <c r="B1420">
        <v>11</v>
      </c>
      <c r="C1420">
        <v>8807</v>
      </c>
      <c r="D1420">
        <v>87</v>
      </c>
      <c r="E1420" t="s">
        <v>10</v>
      </c>
      <c r="F1420">
        <v>3454102</v>
      </c>
      <c r="G1420" s="1">
        <v>0</v>
      </c>
      <c r="H1420" s="2">
        <v>3372</v>
      </c>
      <c r="I1420" t="str">
        <f>VLOOKUP(Tabela2[[#This Row],[PAIS]],'[1]nome do paixs'!$A:$B,2,0)</f>
        <v>Bélgica</v>
      </c>
      <c r="J1420" t="s">
        <v>11</v>
      </c>
    </row>
    <row r="1421" spans="1:10">
      <c r="A1421">
        <v>2022</v>
      </c>
      <c r="B1421">
        <v>4</v>
      </c>
      <c r="C1421">
        <v>8807</v>
      </c>
      <c r="D1421">
        <v>603</v>
      </c>
      <c r="E1421" t="s">
        <v>10</v>
      </c>
      <c r="F1421">
        <v>3454102</v>
      </c>
      <c r="G1421" s="1">
        <v>7</v>
      </c>
      <c r="H1421" s="2">
        <v>11275</v>
      </c>
      <c r="I1421" t="str">
        <f>VLOOKUP(Tabela2[[#This Row],[PAIS]],'[1]nome do paixs'!$A:$B,2,0)</f>
        <v>Polônia</v>
      </c>
      <c r="J1421" t="s">
        <v>11</v>
      </c>
    </row>
    <row r="1422" spans="1:10">
      <c r="A1422">
        <v>2022</v>
      </c>
      <c r="B1422">
        <v>12</v>
      </c>
      <c r="C1422">
        <v>8807</v>
      </c>
      <c r="D1422">
        <v>607</v>
      </c>
      <c r="E1422" t="s">
        <v>10</v>
      </c>
      <c r="F1422">
        <v>3454102</v>
      </c>
      <c r="G1422" s="1">
        <v>1</v>
      </c>
      <c r="H1422" s="2">
        <v>1105</v>
      </c>
      <c r="I1422" t="str">
        <f>VLOOKUP(Tabela2[[#This Row],[PAIS]],'[1]nome do paixs'!$A:$B,2,0)</f>
        <v>Portugal</v>
      </c>
      <c r="J1422" t="s">
        <v>11</v>
      </c>
    </row>
    <row r="1423" spans="1:10">
      <c r="A1423">
        <v>2022</v>
      </c>
      <c r="B1423">
        <v>7</v>
      </c>
      <c r="C1423">
        <v>8807</v>
      </c>
      <c r="D1423">
        <v>399</v>
      </c>
      <c r="E1423" t="s">
        <v>10</v>
      </c>
      <c r="F1423">
        <v>3454102</v>
      </c>
      <c r="G1423" s="1">
        <v>8</v>
      </c>
      <c r="H1423" s="2">
        <v>11743</v>
      </c>
      <c r="I1423" t="str">
        <f>VLOOKUP(Tabela2[[#This Row],[PAIS]],'[1]nome do paixs'!$A:$B,2,0)</f>
        <v>Japão</v>
      </c>
      <c r="J1423" t="s">
        <v>11</v>
      </c>
    </row>
    <row r="1424" spans="1:10">
      <c r="A1424">
        <v>2022</v>
      </c>
      <c r="B1424">
        <v>4</v>
      </c>
      <c r="C1424">
        <v>8807</v>
      </c>
      <c r="D1424">
        <v>275</v>
      </c>
      <c r="E1424" t="s">
        <v>10</v>
      </c>
      <c r="F1424">
        <v>3454102</v>
      </c>
      <c r="G1424" s="1">
        <v>61</v>
      </c>
      <c r="H1424" s="2">
        <v>63018</v>
      </c>
      <c r="I1424" t="str">
        <f>VLOOKUP(Tabela2[[#This Row],[PAIS]],'[1]nome do paixs'!$A:$B,2,0)</f>
        <v>França</v>
      </c>
      <c r="J1424" t="s">
        <v>11</v>
      </c>
    </row>
    <row r="1425" spans="1:10">
      <c r="A1425">
        <v>2022</v>
      </c>
      <c r="B1425">
        <v>1</v>
      </c>
      <c r="C1425">
        <v>8803</v>
      </c>
      <c r="D1425">
        <v>275</v>
      </c>
      <c r="E1425" t="s">
        <v>10</v>
      </c>
      <c r="F1425">
        <v>3454102</v>
      </c>
      <c r="G1425" s="1">
        <v>0</v>
      </c>
      <c r="H1425" s="2">
        <v>242</v>
      </c>
      <c r="I1425" t="str">
        <f>VLOOKUP(Tabela2[[#This Row],[PAIS]],'[1]nome do paixs'!$A:$B,2,0)</f>
        <v>França</v>
      </c>
      <c r="J1425" t="s">
        <v>11</v>
      </c>
    </row>
    <row r="1426" spans="1:10">
      <c r="A1426">
        <v>2022</v>
      </c>
      <c r="B1426">
        <v>1</v>
      </c>
      <c r="C1426">
        <v>8803</v>
      </c>
      <c r="D1426">
        <v>764</v>
      </c>
      <c r="E1426" t="s">
        <v>10</v>
      </c>
      <c r="F1426">
        <v>3454102</v>
      </c>
      <c r="G1426" s="1">
        <v>88</v>
      </c>
      <c r="H1426" s="2">
        <v>18862</v>
      </c>
      <c r="I1426" t="str">
        <f>VLOOKUP(Tabela2[[#This Row],[PAIS]],'[1]nome do paixs'!$A:$B,2,0)</f>
        <v>Suécia</v>
      </c>
      <c r="J1426" t="s">
        <v>11</v>
      </c>
    </row>
    <row r="1427" spans="1:10">
      <c r="A1427">
        <v>2022</v>
      </c>
      <c r="B1427">
        <v>4</v>
      </c>
      <c r="C1427">
        <v>8807</v>
      </c>
      <c r="D1427">
        <v>628</v>
      </c>
      <c r="E1427" t="s">
        <v>10</v>
      </c>
      <c r="F1427">
        <v>3449904</v>
      </c>
      <c r="G1427" s="1">
        <v>1149</v>
      </c>
      <c r="H1427" s="2">
        <v>383423</v>
      </c>
      <c r="I1427" t="str">
        <f>VLOOKUP(Tabela2[[#This Row],[PAIS]],'[1]nome do paixs'!$A:$B,2,0)</f>
        <v>Reino Unido</v>
      </c>
      <c r="J1427" t="s">
        <v>12</v>
      </c>
    </row>
    <row r="1428" spans="1:10">
      <c r="A1428">
        <v>2022</v>
      </c>
      <c r="B1428">
        <v>4</v>
      </c>
      <c r="C1428">
        <v>8807</v>
      </c>
      <c r="D1428">
        <v>607</v>
      </c>
      <c r="E1428" t="s">
        <v>10</v>
      </c>
      <c r="F1428">
        <v>3449904</v>
      </c>
      <c r="G1428" s="1">
        <v>132</v>
      </c>
      <c r="H1428" s="2">
        <v>140922</v>
      </c>
      <c r="I1428" t="str">
        <f>VLOOKUP(Tabela2[[#This Row],[PAIS]],'[1]nome do paixs'!$A:$B,2,0)</f>
        <v>Portugal</v>
      </c>
      <c r="J1428" t="s">
        <v>12</v>
      </c>
    </row>
    <row r="1429" spans="1:10">
      <c r="A1429">
        <v>2022</v>
      </c>
      <c r="B1429">
        <v>8</v>
      </c>
      <c r="C1429">
        <v>8807</v>
      </c>
      <c r="D1429">
        <v>149</v>
      </c>
      <c r="E1429" t="s">
        <v>10</v>
      </c>
      <c r="F1429">
        <v>3449904</v>
      </c>
      <c r="G1429" s="1">
        <v>0</v>
      </c>
      <c r="H1429" s="2">
        <v>68</v>
      </c>
      <c r="I1429" t="str">
        <f>VLOOKUP(Tabela2[[#This Row],[PAIS]],'[1]nome do paixs'!$A:$B,2,0)</f>
        <v>Canadá</v>
      </c>
      <c r="J1429" t="s">
        <v>12</v>
      </c>
    </row>
    <row r="1430" spans="1:10">
      <c r="A1430">
        <v>2022</v>
      </c>
      <c r="B1430">
        <v>3</v>
      </c>
      <c r="C1430">
        <v>8803</v>
      </c>
      <c r="D1430">
        <v>628</v>
      </c>
      <c r="E1430" t="s">
        <v>10</v>
      </c>
      <c r="F1430">
        <v>3449904</v>
      </c>
      <c r="G1430" s="1">
        <v>1100</v>
      </c>
      <c r="H1430" s="2">
        <v>364822</v>
      </c>
      <c r="I1430" t="str">
        <f>VLOOKUP(Tabela2[[#This Row],[PAIS]],'[1]nome do paixs'!$A:$B,2,0)</f>
        <v>Reino Unido</v>
      </c>
      <c r="J1430" t="s">
        <v>12</v>
      </c>
    </row>
    <row r="1431" spans="1:10">
      <c r="A1431">
        <v>2022</v>
      </c>
      <c r="B1431">
        <v>10</v>
      </c>
      <c r="C1431">
        <v>8807</v>
      </c>
      <c r="D1431">
        <v>573</v>
      </c>
      <c r="E1431" t="s">
        <v>10</v>
      </c>
      <c r="F1431">
        <v>3449904</v>
      </c>
      <c r="G1431" s="1">
        <v>8</v>
      </c>
      <c r="H1431" s="2">
        <v>34010</v>
      </c>
      <c r="I1431" t="str">
        <f>VLOOKUP(Tabela2[[#This Row],[PAIS]],'[1]nome do paixs'!$A:$B,2,0)</f>
        <v>Países Baixos (Holanda)</v>
      </c>
      <c r="J1431" t="s">
        <v>12</v>
      </c>
    </row>
    <row r="1432" spans="1:10">
      <c r="A1432">
        <v>2022</v>
      </c>
      <c r="B1432">
        <v>1</v>
      </c>
      <c r="C1432">
        <v>8803</v>
      </c>
      <c r="D1432">
        <v>169</v>
      </c>
      <c r="E1432" t="s">
        <v>10</v>
      </c>
      <c r="F1432">
        <v>3449904</v>
      </c>
      <c r="G1432" s="1">
        <v>4</v>
      </c>
      <c r="H1432" s="2">
        <v>2724</v>
      </c>
      <c r="I1432" t="str">
        <f>VLOOKUP(Tabela2[[#This Row],[PAIS]],'[1]nome do paixs'!$A:$B,2,0)</f>
        <v>Colômbia</v>
      </c>
      <c r="J1432" t="s">
        <v>12</v>
      </c>
    </row>
    <row r="1433" spans="1:10">
      <c r="A1433">
        <v>2022</v>
      </c>
      <c r="B1433">
        <v>9</v>
      </c>
      <c r="C1433">
        <v>8807</v>
      </c>
      <c r="D1433">
        <v>239</v>
      </c>
      <c r="E1433" t="s">
        <v>10</v>
      </c>
      <c r="F1433">
        <v>3449904</v>
      </c>
      <c r="G1433" s="1">
        <v>0</v>
      </c>
      <c r="H1433" s="2">
        <v>3565</v>
      </c>
      <c r="I1433" t="str">
        <f>VLOOKUP(Tabela2[[#This Row],[PAIS]],'[1]nome do paixs'!$A:$B,2,0)</f>
        <v>Equador</v>
      </c>
      <c r="J1433" t="s">
        <v>12</v>
      </c>
    </row>
    <row r="1434" spans="1:10">
      <c r="A1434">
        <v>2022</v>
      </c>
      <c r="B1434">
        <v>3</v>
      </c>
      <c r="C1434">
        <v>8803</v>
      </c>
      <c r="D1434">
        <v>160</v>
      </c>
      <c r="E1434" t="s">
        <v>10</v>
      </c>
      <c r="F1434">
        <v>3449904</v>
      </c>
      <c r="G1434" s="1">
        <v>3</v>
      </c>
      <c r="H1434" s="2">
        <v>3798</v>
      </c>
      <c r="I1434" t="str">
        <f>VLOOKUP(Tabela2[[#This Row],[PAIS]],'[1]nome do paixs'!$A:$B,2,0)</f>
        <v>China</v>
      </c>
      <c r="J1434" t="s">
        <v>12</v>
      </c>
    </row>
    <row r="1435" spans="1:10">
      <c r="A1435">
        <v>2022</v>
      </c>
      <c r="B1435">
        <v>2</v>
      </c>
      <c r="C1435">
        <v>8803</v>
      </c>
      <c r="D1435">
        <v>628</v>
      </c>
      <c r="E1435" t="s">
        <v>10</v>
      </c>
      <c r="F1435">
        <v>3449904</v>
      </c>
      <c r="G1435" s="1">
        <v>1422</v>
      </c>
      <c r="H1435" s="2">
        <v>450896</v>
      </c>
      <c r="I1435" t="str">
        <f>VLOOKUP(Tabela2[[#This Row],[PAIS]],'[1]nome do paixs'!$A:$B,2,0)</f>
        <v>Reino Unido</v>
      </c>
      <c r="J1435" t="s">
        <v>12</v>
      </c>
    </row>
    <row r="1436" spans="1:10">
      <c r="A1436">
        <v>2022</v>
      </c>
      <c r="B1436">
        <v>11</v>
      </c>
      <c r="C1436">
        <v>8807</v>
      </c>
      <c r="D1436">
        <v>97</v>
      </c>
      <c r="E1436" t="s">
        <v>10</v>
      </c>
      <c r="F1436">
        <v>3449904</v>
      </c>
      <c r="G1436" s="1">
        <v>5</v>
      </c>
      <c r="H1436" s="2">
        <v>1910</v>
      </c>
      <c r="I1436" t="str">
        <f>VLOOKUP(Tabela2[[#This Row],[PAIS]],'[1]nome do paixs'!$A:$B,2,0)</f>
        <v>Bolívia</v>
      </c>
      <c r="J1436" t="s">
        <v>12</v>
      </c>
    </row>
    <row r="1437" spans="1:10">
      <c r="A1437">
        <v>2022</v>
      </c>
      <c r="B1437">
        <v>4</v>
      </c>
      <c r="C1437">
        <v>8807</v>
      </c>
      <c r="D1437">
        <v>493</v>
      </c>
      <c r="E1437" t="s">
        <v>10</v>
      </c>
      <c r="F1437">
        <v>3449904</v>
      </c>
      <c r="G1437" s="1">
        <v>0</v>
      </c>
      <c r="H1437" s="2">
        <v>2218</v>
      </c>
      <c r="I1437" t="str">
        <f>VLOOKUP(Tabela2[[#This Row],[PAIS]],'[1]nome do paixs'!$A:$B,2,0)</f>
        <v>México</v>
      </c>
      <c r="J1437" t="s">
        <v>12</v>
      </c>
    </row>
    <row r="1438" spans="1:10">
      <c r="A1438">
        <v>2022</v>
      </c>
      <c r="B1438">
        <v>4</v>
      </c>
      <c r="C1438">
        <v>8803</v>
      </c>
      <c r="D1438">
        <v>741</v>
      </c>
      <c r="E1438" t="s">
        <v>10</v>
      </c>
      <c r="F1438">
        <v>3449904</v>
      </c>
      <c r="G1438" s="1">
        <v>1</v>
      </c>
      <c r="H1438" s="2">
        <v>471</v>
      </c>
      <c r="I1438" t="str">
        <f>VLOOKUP(Tabela2[[#This Row],[PAIS]],'[1]nome do paixs'!$A:$B,2,0)</f>
        <v>Singapura</v>
      </c>
      <c r="J1438" t="s">
        <v>12</v>
      </c>
    </row>
    <row r="1439" spans="1:10">
      <c r="A1439">
        <v>2022</v>
      </c>
      <c r="B1439">
        <v>11</v>
      </c>
      <c r="C1439">
        <v>8807</v>
      </c>
      <c r="D1439">
        <v>160</v>
      </c>
      <c r="E1439" t="s">
        <v>10</v>
      </c>
      <c r="F1439">
        <v>3449904</v>
      </c>
      <c r="G1439" s="1">
        <v>36</v>
      </c>
      <c r="H1439" s="2">
        <v>14466</v>
      </c>
      <c r="I1439" t="str">
        <f>VLOOKUP(Tabela2[[#This Row],[PAIS]],'[1]nome do paixs'!$A:$B,2,0)</f>
        <v>China</v>
      </c>
      <c r="J1439" t="s">
        <v>12</v>
      </c>
    </row>
    <row r="1440" spans="1:10">
      <c r="A1440">
        <v>2022</v>
      </c>
      <c r="B1440">
        <v>6</v>
      </c>
      <c r="C1440">
        <v>8807</v>
      </c>
      <c r="D1440">
        <v>628</v>
      </c>
      <c r="E1440" t="s">
        <v>10</v>
      </c>
      <c r="F1440">
        <v>3449904</v>
      </c>
      <c r="G1440" s="1">
        <v>694</v>
      </c>
      <c r="H1440" s="2">
        <v>199091</v>
      </c>
      <c r="I1440" t="str">
        <f>VLOOKUP(Tabela2[[#This Row],[PAIS]],'[1]nome do paixs'!$A:$B,2,0)</f>
        <v>Reino Unido</v>
      </c>
      <c r="J1440" t="s">
        <v>12</v>
      </c>
    </row>
    <row r="1441" spans="1:10">
      <c r="A1441">
        <v>2022</v>
      </c>
      <c r="B1441">
        <v>6</v>
      </c>
      <c r="C1441">
        <v>8807</v>
      </c>
      <c r="D1441">
        <v>160</v>
      </c>
      <c r="E1441" t="s">
        <v>10</v>
      </c>
      <c r="F1441">
        <v>3449904</v>
      </c>
      <c r="G1441" s="1">
        <v>5</v>
      </c>
      <c r="H1441" s="2">
        <v>2024</v>
      </c>
      <c r="I1441" t="str">
        <f>VLOOKUP(Tabela2[[#This Row],[PAIS]],'[1]nome do paixs'!$A:$B,2,0)</f>
        <v>China</v>
      </c>
      <c r="J1441" t="s">
        <v>12</v>
      </c>
    </row>
    <row r="1442" spans="1:10">
      <c r="A1442">
        <v>2022</v>
      </c>
      <c r="B1442">
        <v>2</v>
      </c>
      <c r="C1442">
        <v>8803</v>
      </c>
      <c r="D1442">
        <v>607</v>
      </c>
      <c r="E1442" t="s">
        <v>10</v>
      </c>
      <c r="F1442">
        <v>3449904</v>
      </c>
      <c r="G1442" s="1">
        <v>3</v>
      </c>
      <c r="H1442" s="2">
        <v>6663</v>
      </c>
      <c r="I1442" t="str">
        <f>VLOOKUP(Tabela2[[#This Row],[PAIS]],'[1]nome do paixs'!$A:$B,2,0)</f>
        <v>Portugal</v>
      </c>
      <c r="J1442" t="s">
        <v>12</v>
      </c>
    </row>
    <row r="1443" spans="1:10">
      <c r="A1443">
        <v>2022</v>
      </c>
      <c r="B1443">
        <v>7</v>
      </c>
      <c r="C1443">
        <v>8807</v>
      </c>
      <c r="D1443">
        <v>158</v>
      </c>
      <c r="E1443" t="s">
        <v>10</v>
      </c>
      <c r="F1443">
        <v>3449904</v>
      </c>
      <c r="G1443" s="1">
        <v>3</v>
      </c>
      <c r="H1443" s="2">
        <v>59796</v>
      </c>
      <c r="I1443" t="str">
        <f>VLOOKUP(Tabela2[[#This Row],[PAIS]],'[1]nome do paixs'!$A:$B,2,0)</f>
        <v>Chile</v>
      </c>
      <c r="J1443" t="s">
        <v>12</v>
      </c>
    </row>
    <row r="1444" spans="1:10">
      <c r="A1444">
        <v>2022</v>
      </c>
      <c r="B1444">
        <v>3</v>
      </c>
      <c r="C1444">
        <v>8803</v>
      </c>
      <c r="D1444">
        <v>87</v>
      </c>
      <c r="E1444" t="s">
        <v>10</v>
      </c>
      <c r="F1444">
        <v>3449904</v>
      </c>
      <c r="G1444" s="1">
        <v>9999</v>
      </c>
      <c r="H1444" s="2">
        <v>4858376</v>
      </c>
      <c r="I1444" t="str">
        <f>VLOOKUP(Tabela2[[#This Row],[PAIS]],'[1]nome do paixs'!$A:$B,2,0)</f>
        <v>Bélgica</v>
      </c>
      <c r="J1444" t="s">
        <v>12</v>
      </c>
    </row>
    <row r="1445" spans="1:10">
      <c r="A1445">
        <v>2022</v>
      </c>
      <c r="B1445">
        <v>2</v>
      </c>
      <c r="C1445">
        <v>8803</v>
      </c>
      <c r="D1445">
        <v>31</v>
      </c>
      <c r="E1445" t="s">
        <v>10</v>
      </c>
      <c r="F1445">
        <v>3449904</v>
      </c>
      <c r="G1445" s="1">
        <v>2</v>
      </c>
      <c r="H1445" s="2">
        <v>47000</v>
      </c>
      <c r="I1445" t="str">
        <f>VLOOKUP(Tabela2[[#This Row],[PAIS]],'[1]nome do paixs'!$A:$B,2,0)</f>
        <v>Burkina Faso</v>
      </c>
      <c r="J1445" t="s">
        <v>12</v>
      </c>
    </row>
    <row r="1446" spans="1:10">
      <c r="A1446">
        <v>2022</v>
      </c>
      <c r="B1446">
        <v>2</v>
      </c>
      <c r="C1446">
        <v>8803</v>
      </c>
      <c r="D1446">
        <v>169</v>
      </c>
      <c r="E1446" t="s">
        <v>10</v>
      </c>
      <c r="F1446">
        <v>3449904</v>
      </c>
      <c r="G1446" s="1">
        <v>6</v>
      </c>
      <c r="H1446" s="2">
        <v>70298</v>
      </c>
      <c r="I1446" t="str">
        <f>VLOOKUP(Tabela2[[#This Row],[PAIS]],'[1]nome do paixs'!$A:$B,2,0)</f>
        <v>Colômbia</v>
      </c>
      <c r="J1446" t="s">
        <v>12</v>
      </c>
    </row>
    <row r="1447" spans="1:10">
      <c r="A1447">
        <v>2022</v>
      </c>
      <c r="B1447">
        <v>6</v>
      </c>
      <c r="C1447">
        <v>8807</v>
      </c>
      <c r="D1447">
        <v>623</v>
      </c>
      <c r="E1447" t="s">
        <v>10</v>
      </c>
      <c r="F1447">
        <v>3449904</v>
      </c>
      <c r="G1447" s="1">
        <v>0</v>
      </c>
      <c r="H1447" s="2">
        <v>6231</v>
      </c>
      <c r="I1447" t="str">
        <f>VLOOKUP(Tabela2[[#This Row],[PAIS]],'[1]nome do paixs'!$A:$B,2,0)</f>
        <v>Quênia</v>
      </c>
      <c r="J1447" t="s">
        <v>12</v>
      </c>
    </row>
    <row r="1448" spans="1:10">
      <c r="A1448">
        <v>2022</v>
      </c>
      <c r="B1448">
        <v>12</v>
      </c>
      <c r="C1448">
        <v>8807</v>
      </c>
      <c r="D1448">
        <v>603</v>
      </c>
      <c r="E1448" t="s">
        <v>10</v>
      </c>
      <c r="F1448">
        <v>3449904</v>
      </c>
      <c r="G1448" s="1">
        <v>0</v>
      </c>
      <c r="H1448" s="2">
        <v>6856</v>
      </c>
      <c r="I1448" t="str">
        <f>VLOOKUP(Tabela2[[#This Row],[PAIS]],'[1]nome do paixs'!$A:$B,2,0)</f>
        <v>Polônia</v>
      </c>
      <c r="J1448" t="s">
        <v>12</v>
      </c>
    </row>
    <row r="1449" spans="1:10">
      <c r="A1449">
        <v>2022</v>
      </c>
      <c r="B1449">
        <v>11</v>
      </c>
      <c r="C1449">
        <v>8807</v>
      </c>
      <c r="D1449">
        <v>158</v>
      </c>
      <c r="E1449" t="s">
        <v>10</v>
      </c>
      <c r="F1449">
        <v>3449904</v>
      </c>
      <c r="G1449" s="1">
        <v>200</v>
      </c>
      <c r="H1449" s="2">
        <v>219558</v>
      </c>
      <c r="I1449" t="str">
        <f>VLOOKUP(Tabela2[[#This Row],[PAIS]],'[1]nome do paixs'!$A:$B,2,0)</f>
        <v>Chile</v>
      </c>
      <c r="J1449" t="s">
        <v>12</v>
      </c>
    </row>
    <row r="1450" spans="1:10">
      <c r="A1450">
        <v>2022</v>
      </c>
      <c r="B1450">
        <v>10</v>
      </c>
      <c r="C1450">
        <v>8807</v>
      </c>
      <c r="D1450">
        <v>767</v>
      </c>
      <c r="E1450" t="s">
        <v>10</v>
      </c>
      <c r="F1450">
        <v>3449904</v>
      </c>
      <c r="G1450" s="1">
        <v>4</v>
      </c>
      <c r="H1450" s="2">
        <v>9292</v>
      </c>
      <c r="I1450" t="str">
        <f>VLOOKUP(Tabela2[[#This Row],[PAIS]],'[1]nome do paixs'!$A:$B,2,0)</f>
        <v>Suíça</v>
      </c>
      <c r="J1450" t="s">
        <v>12</v>
      </c>
    </row>
    <row r="1451" spans="1:10">
      <c r="A1451">
        <v>2022</v>
      </c>
      <c r="B1451">
        <v>5</v>
      </c>
      <c r="C1451">
        <v>8807</v>
      </c>
      <c r="D1451">
        <v>603</v>
      </c>
      <c r="E1451" t="s">
        <v>10</v>
      </c>
      <c r="F1451">
        <v>3449904</v>
      </c>
      <c r="G1451" s="1">
        <v>0</v>
      </c>
      <c r="H1451" s="2">
        <v>216</v>
      </c>
      <c r="I1451" t="str">
        <f>VLOOKUP(Tabela2[[#This Row],[PAIS]],'[1]nome do paixs'!$A:$B,2,0)</f>
        <v>Polônia</v>
      </c>
      <c r="J1451" t="s">
        <v>12</v>
      </c>
    </row>
    <row r="1452" spans="1:10">
      <c r="A1452">
        <v>2022</v>
      </c>
      <c r="B1452">
        <v>10</v>
      </c>
      <c r="C1452">
        <v>8807</v>
      </c>
      <c r="D1452">
        <v>623</v>
      </c>
      <c r="E1452" t="s">
        <v>10</v>
      </c>
      <c r="F1452">
        <v>3449904</v>
      </c>
      <c r="G1452" s="1">
        <v>0</v>
      </c>
      <c r="H1452" s="2">
        <v>22100</v>
      </c>
      <c r="I1452" t="str">
        <f>VLOOKUP(Tabela2[[#This Row],[PAIS]],'[1]nome do paixs'!$A:$B,2,0)</f>
        <v>Quênia</v>
      </c>
      <c r="J1452" t="s">
        <v>12</v>
      </c>
    </row>
    <row r="1453" spans="1:10">
      <c r="A1453">
        <v>2022</v>
      </c>
      <c r="B1453">
        <v>12</v>
      </c>
      <c r="C1453">
        <v>8807</v>
      </c>
      <c r="D1453">
        <v>31</v>
      </c>
      <c r="E1453" t="s">
        <v>10</v>
      </c>
      <c r="F1453">
        <v>3449904</v>
      </c>
      <c r="G1453" s="1">
        <v>1</v>
      </c>
      <c r="H1453" s="2">
        <v>9400</v>
      </c>
      <c r="I1453" t="str">
        <f>VLOOKUP(Tabela2[[#This Row],[PAIS]],'[1]nome do paixs'!$A:$B,2,0)</f>
        <v>Burkina Faso</v>
      </c>
      <c r="J1453" t="s">
        <v>12</v>
      </c>
    </row>
    <row r="1454" spans="1:10">
      <c r="A1454">
        <v>2022</v>
      </c>
      <c r="B1454">
        <v>5</v>
      </c>
      <c r="C1454">
        <v>8807</v>
      </c>
      <c r="D1454">
        <v>87</v>
      </c>
      <c r="E1454" t="s">
        <v>10</v>
      </c>
      <c r="F1454">
        <v>3449904</v>
      </c>
      <c r="G1454" s="1">
        <v>8280</v>
      </c>
      <c r="H1454" s="2">
        <v>4082347</v>
      </c>
      <c r="I1454" t="str">
        <f>VLOOKUP(Tabela2[[#This Row],[PAIS]],'[1]nome do paixs'!$A:$B,2,0)</f>
        <v>Bélgica</v>
      </c>
      <c r="J1454" t="s">
        <v>12</v>
      </c>
    </row>
    <row r="1455" spans="1:10">
      <c r="A1455">
        <v>2022</v>
      </c>
      <c r="B1455">
        <v>4</v>
      </c>
      <c r="C1455">
        <v>8803</v>
      </c>
      <c r="D1455">
        <v>249</v>
      </c>
      <c r="E1455" t="s">
        <v>10</v>
      </c>
      <c r="F1455">
        <v>3449904</v>
      </c>
      <c r="G1455" s="1">
        <v>5681</v>
      </c>
      <c r="H1455" s="2">
        <v>3475015</v>
      </c>
      <c r="I1455" t="str">
        <f>VLOOKUP(Tabela2[[#This Row],[PAIS]],'[1]nome do paixs'!$A:$B,2,0)</f>
        <v>Estados Unidos</v>
      </c>
      <c r="J1455" t="s">
        <v>12</v>
      </c>
    </row>
    <row r="1456" spans="1:10">
      <c r="A1456">
        <v>2022</v>
      </c>
      <c r="B1456">
        <v>11</v>
      </c>
      <c r="C1456">
        <v>8807</v>
      </c>
      <c r="D1456">
        <v>275</v>
      </c>
      <c r="E1456" t="s">
        <v>10</v>
      </c>
      <c r="F1456">
        <v>3449904</v>
      </c>
      <c r="G1456" s="1">
        <v>254</v>
      </c>
      <c r="H1456" s="2">
        <v>278672</v>
      </c>
      <c r="I1456" t="str">
        <f>VLOOKUP(Tabela2[[#This Row],[PAIS]],'[1]nome do paixs'!$A:$B,2,0)</f>
        <v>França</v>
      </c>
      <c r="J1456" t="s">
        <v>12</v>
      </c>
    </row>
    <row r="1457" spans="1:10">
      <c r="A1457">
        <v>2022</v>
      </c>
      <c r="B1457">
        <v>4</v>
      </c>
      <c r="C1457">
        <v>8807</v>
      </c>
      <c r="D1457">
        <v>603</v>
      </c>
      <c r="E1457" t="s">
        <v>10</v>
      </c>
      <c r="F1457">
        <v>3449904</v>
      </c>
      <c r="G1457" s="1">
        <v>3</v>
      </c>
      <c r="H1457" s="2">
        <v>2069</v>
      </c>
      <c r="I1457" t="str">
        <f>VLOOKUP(Tabela2[[#This Row],[PAIS]],'[1]nome do paixs'!$A:$B,2,0)</f>
        <v>Polônia</v>
      </c>
      <c r="J1457" t="s">
        <v>12</v>
      </c>
    </row>
    <row r="1458" spans="1:10">
      <c r="A1458">
        <v>2022</v>
      </c>
      <c r="B1458">
        <v>1</v>
      </c>
      <c r="C1458">
        <v>8803</v>
      </c>
      <c r="D1458">
        <v>161</v>
      </c>
      <c r="E1458" t="s">
        <v>10</v>
      </c>
      <c r="F1458">
        <v>3449904</v>
      </c>
      <c r="G1458" s="1">
        <v>33</v>
      </c>
      <c r="H1458" s="2">
        <v>65265</v>
      </c>
      <c r="I1458" t="str">
        <f>VLOOKUP(Tabela2[[#This Row],[PAIS]],'[1]nome do paixs'!$A:$B,2,0)</f>
        <v>Taiwan (Formosa)</v>
      </c>
      <c r="J1458" t="s">
        <v>12</v>
      </c>
    </row>
    <row r="1459" spans="1:10">
      <c r="A1459">
        <v>2022</v>
      </c>
      <c r="B1459">
        <v>11</v>
      </c>
      <c r="C1459">
        <v>8807</v>
      </c>
      <c r="D1459">
        <v>858</v>
      </c>
      <c r="E1459" t="s">
        <v>10</v>
      </c>
      <c r="F1459">
        <v>3449904</v>
      </c>
      <c r="G1459" s="1">
        <v>1</v>
      </c>
      <c r="H1459" s="2">
        <v>2507</v>
      </c>
      <c r="I1459" t="str">
        <f>VLOOKUP(Tabela2[[#This Row],[PAIS]],'[1]nome do paixs'!$A:$B,2,0)</f>
        <v>Vietnã</v>
      </c>
      <c r="J1459" t="s">
        <v>12</v>
      </c>
    </row>
    <row r="1460" spans="1:10">
      <c r="A1460">
        <v>2022</v>
      </c>
      <c r="B1460">
        <v>1</v>
      </c>
      <c r="C1460">
        <v>8803</v>
      </c>
      <c r="D1460">
        <v>386</v>
      </c>
      <c r="E1460" t="s">
        <v>10</v>
      </c>
      <c r="F1460">
        <v>3449904</v>
      </c>
      <c r="G1460" s="1">
        <v>864</v>
      </c>
      <c r="H1460" s="2">
        <v>379551</v>
      </c>
      <c r="I1460" t="str">
        <f>VLOOKUP(Tabela2[[#This Row],[PAIS]],'[1]nome do paixs'!$A:$B,2,0)</f>
        <v>Itália</v>
      </c>
      <c r="J1460" t="s">
        <v>12</v>
      </c>
    </row>
    <row r="1461" spans="1:10">
      <c r="A1461">
        <v>2022</v>
      </c>
      <c r="B1461">
        <v>5</v>
      </c>
      <c r="C1461">
        <v>8803</v>
      </c>
      <c r="D1461">
        <v>249</v>
      </c>
      <c r="E1461" t="s">
        <v>10</v>
      </c>
      <c r="F1461">
        <v>3449904</v>
      </c>
      <c r="G1461" s="1">
        <v>75</v>
      </c>
      <c r="H1461" s="2">
        <v>142530</v>
      </c>
      <c r="I1461" t="str">
        <f>VLOOKUP(Tabela2[[#This Row],[PAIS]],'[1]nome do paixs'!$A:$B,2,0)</f>
        <v>Estados Unidos</v>
      </c>
      <c r="J1461" t="s">
        <v>12</v>
      </c>
    </row>
    <row r="1462" spans="1:10">
      <c r="A1462">
        <v>2022</v>
      </c>
      <c r="B1462">
        <v>6</v>
      </c>
      <c r="C1462">
        <v>8807</v>
      </c>
      <c r="D1462">
        <v>741</v>
      </c>
      <c r="E1462" t="s">
        <v>10</v>
      </c>
      <c r="F1462">
        <v>3449904</v>
      </c>
      <c r="G1462" s="1">
        <v>3</v>
      </c>
      <c r="H1462" s="2">
        <v>4752</v>
      </c>
      <c r="I1462" t="str">
        <f>VLOOKUP(Tabela2[[#This Row],[PAIS]],'[1]nome do paixs'!$A:$B,2,0)</f>
        <v>Singapura</v>
      </c>
      <c r="J1462" t="s">
        <v>12</v>
      </c>
    </row>
    <row r="1463" spans="1:10">
      <c r="A1463">
        <v>2022</v>
      </c>
      <c r="B1463">
        <v>2</v>
      </c>
      <c r="C1463">
        <v>8803</v>
      </c>
      <c r="D1463">
        <v>764</v>
      </c>
      <c r="E1463" t="s">
        <v>10</v>
      </c>
      <c r="F1463">
        <v>3449904</v>
      </c>
      <c r="G1463" s="1">
        <v>3268</v>
      </c>
      <c r="H1463" s="2">
        <v>584537</v>
      </c>
      <c r="I1463" t="str">
        <f>VLOOKUP(Tabela2[[#This Row],[PAIS]],'[1]nome do paixs'!$A:$B,2,0)</f>
        <v>Suécia</v>
      </c>
      <c r="J1463" t="s">
        <v>12</v>
      </c>
    </row>
    <row r="1464" spans="1:10">
      <c r="A1464">
        <v>2022</v>
      </c>
      <c r="B1464">
        <v>3</v>
      </c>
      <c r="C1464">
        <v>8803</v>
      </c>
      <c r="D1464">
        <v>23</v>
      </c>
      <c r="E1464" t="s">
        <v>10</v>
      </c>
      <c r="F1464">
        <v>3449904</v>
      </c>
      <c r="G1464" s="1">
        <v>262</v>
      </c>
      <c r="H1464" s="2">
        <v>341830</v>
      </c>
      <c r="I1464" t="str">
        <f>VLOOKUP(Tabela2[[#This Row],[PAIS]],'[1]nome do paixs'!$A:$B,2,0)</f>
        <v>Alemanha</v>
      </c>
      <c r="J1464" t="s">
        <v>12</v>
      </c>
    </row>
    <row r="1465" spans="1:10">
      <c r="A1465">
        <v>2022</v>
      </c>
      <c r="B1465">
        <v>11</v>
      </c>
      <c r="C1465">
        <v>8807</v>
      </c>
      <c r="D1465">
        <v>741</v>
      </c>
      <c r="E1465" t="s">
        <v>10</v>
      </c>
      <c r="F1465">
        <v>3449904</v>
      </c>
      <c r="G1465" s="1">
        <v>28</v>
      </c>
      <c r="H1465" s="2">
        <v>50701</v>
      </c>
      <c r="I1465" t="str">
        <f>VLOOKUP(Tabela2[[#This Row],[PAIS]],'[1]nome do paixs'!$A:$B,2,0)</f>
        <v>Singapura</v>
      </c>
      <c r="J1465" t="s">
        <v>12</v>
      </c>
    </row>
    <row r="1466" spans="1:10">
      <c r="A1466">
        <v>2022</v>
      </c>
      <c r="B1466">
        <v>2</v>
      </c>
      <c r="C1466">
        <v>8803</v>
      </c>
      <c r="D1466">
        <v>603</v>
      </c>
      <c r="E1466" t="s">
        <v>10</v>
      </c>
      <c r="F1466">
        <v>3449904</v>
      </c>
      <c r="G1466" s="1">
        <v>1</v>
      </c>
      <c r="H1466" s="2">
        <v>505</v>
      </c>
      <c r="I1466" t="str">
        <f>VLOOKUP(Tabela2[[#This Row],[PAIS]],'[1]nome do paixs'!$A:$B,2,0)</f>
        <v>Polônia</v>
      </c>
      <c r="J1466" t="s">
        <v>12</v>
      </c>
    </row>
    <row r="1467" spans="1:10">
      <c r="A1467">
        <v>2022</v>
      </c>
      <c r="B1467">
        <v>1</v>
      </c>
      <c r="C1467">
        <v>8803</v>
      </c>
      <c r="D1467">
        <v>97</v>
      </c>
      <c r="E1467" t="s">
        <v>10</v>
      </c>
      <c r="F1467">
        <v>3449904</v>
      </c>
      <c r="G1467" s="1">
        <v>1</v>
      </c>
      <c r="H1467" s="2">
        <v>12</v>
      </c>
      <c r="I1467" t="str">
        <f>VLOOKUP(Tabela2[[#This Row],[PAIS]],'[1]nome do paixs'!$A:$B,2,0)</f>
        <v>Bolívia</v>
      </c>
      <c r="J1467" t="s">
        <v>12</v>
      </c>
    </row>
    <row r="1468" spans="1:10">
      <c r="A1468">
        <v>2022</v>
      </c>
      <c r="B1468">
        <v>10</v>
      </c>
      <c r="C1468">
        <v>8807</v>
      </c>
      <c r="D1468">
        <v>488</v>
      </c>
      <c r="E1468" t="s">
        <v>10</v>
      </c>
      <c r="F1468">
        <v>3449904</v>
      </c>
      <c r="G1468" s="1">
        <v>1</v>
      </c>
      <c r="H1468" s="2">
        <v>17069</v>
      </c>
      <c r="I1468" t="str">
        <f>VLOOKUP(Tabela2[[#This Row],[PAIS]],'[1]nome do paixs'!$A:$B,2,0)</f>
        <v>Mauritânia</v>
      </c>
      <c r="J1468" t="s">
        <v>12</v>
      </c>
    </row>
    <row r="1469" spans="1:10">
      <c r="A1469">
        <v>2022</v>
      </c>
      <c r="B1469">
        <v>5</v>
      </c>
      <c r="C1469">
        <v>8807</v>
      </c>
      <c r="D1469">
        <v>158</v>
      </c>
      <c r="E1469" t="s">
        <v>10</v>
      </c>
      <c r="F1469">
        <v>3449904</v>
      </c>
      <c r="G1469" s="1">
        <v>22</v>
      </c>
      <c r="H1469" s="2">
        <v>21995</v>
      </c>
      <c r="I1469" t="str">
        <f>VLOOKUP(Tabela2[[#This Row],[PAIS]],'[1]nome do paixs'!$A:$B,2,0)</f>
        <v>Chile</v>
      </c>
      <c r="J1469" t="s">
        <v>12</v>
      </c>
    </row>
    <row r="1470" spans="1:10">
      <c r="A1470">
        <v>2022</v>
      </c>
      <c r="B1470">
        <v>7</v>
      </c>
      <c r="C1470">
        <v>8807</v>
      </c>
      <c r="D1470">
        <v>245</v>
      </c>
      <c r="E1470" t="s">
        <v>10</v>
      </c>
      <c r="F1470">
        <v>3449904</v>
      </c>
      <c r="G1470" s="1">
        <v>8434</v>
      </c>
      <c r="H1470" s="2">
        <v>3678838</v>
      </c>
      <c r="I1470" t="str">
        <f>VLOOKUP(Tabela2[[#This Row],[PAIS]],'[1]nome do paixs'!$A:$B,2,0)</f>
        <v>Espanha</v>
      </c>
      <c r="J1470" t="s">
        <v>12</v>
      </c>
    </row>
    <row r="1471" spans="1:10">
      <c r="A1471">
        <v>2022</v>
      </c>
      <c r="B1471">
        <v>1</v>
      </c>
      <c r="C1471">
        <v>8803</v>
      </c>
      <c r="D1471">
        <v>249</v>
      </c>
      <c r="E1471" t="s">
        <v>10</v>
      </c>
      <c r="F1471">
        <v>3449904</v>
      </c>
      <c r="G1471" s="1">
        <v>2718</v>
      </c>
      <c r="H1471" s="2">
        <v>1305112</v>
      </c>
      <c r="I1471" t="str">
        <f>VLOOKUP(Tabela2[[#This Row],[PAIS]],'[1]nome do paixs'!$A:$B,2,0)</f>
        <v>Estados Unidos</v>
      </c>
      <c r="J1471" t="s">
        <v>12</v>
      </c>
    </row>
    <row r="1472" spans="1:10">
      <c r="A1472">
        <v>2022</v>
      </c>
      <c r="B1472">
        <v>7</v>
      </c>
      <c r="C1472">
        <v>8807</v>
      </c>
      <c r="D1472">
        <v>149</v>
      </c>
      <c r="E1472" t="s">
        <v>10</v>
      </c>
      <c r="F1472">
        <v>3449904</v>
      </c>
      <c r="G1472" s="1">
        <v>10</v>
      </c>
      <c r="H1472" s="2">
        <v>8251</v>
      </c>
      <c r="I1472" t="str">
        <f>VLOOKUP(Tabela2[[#This Row],[PAIS]],'[1]nome do paixs'!$A:$B,2,0)</f>
        <v>Canadá</v>
      </c>
      <c r="J1472" t="s">
        <v>12</v>
      </c>
    </row>
    <row r="1473" spans="1:10">
      <c r="A1473">
        <v>2022</v>
      </c>
      <c r="B1473">
        <v>10</v>
      </c>
      <c r="C1473">
        <v>8807</v>
      </c>
      <c r="D1473">
        <v>386</v>
      </c>
      <c r="E1473" t="s">
        <v>10</v>
      </c>
      <c r="F1473">
        <v>3449904</v>
      </c>
      <c r="G1473" s="1">
        <v>1494</v>
      </c>
      <c r="H1473" s="2">
        <v>527230</v>
      </c>
      <c r="I1473" t="str">
        <f>VLOOKUP(Tabela2[[#This Row],[PAIS]],'[1]nome do paixs'!$A:$B,2,0)</f>
        <v>Itália</v>
      </c>
      <c r="J1473" t="s">
        <v>12</v>
      </c>
    </row>
    <row r="1474" spans="1:10">
      <c r="A1474">
        <v>2022</v>
      </c>
      <c r="B1474">
        <v>5</v>
      </c>
      <c r="C1474">
        <v>8807</v>
      </c>
      <c r="D1474">
        <v>245</v>
      </c>
      <c r="E1474" t="s">
        <v>10</v>
      </c>
      <c r="F1474">
        <v>3449904</v>
      </c>
      <c r="G1474" s="1">
        <v>6182</v>
      </c>
      <c r="H1474" s="2">
        <v>2691439</v>
      </c>
      <c r="I1474" t="str">
        <f>VLOOKUP(Tabela2[[#This Row],[PAIS]],'[1]nome do paixs'!$A:$B,2,0)</f>
        <v>Espanha</v>
      </c>
      <c r="J1474" t="s">
        <v>12</v>
      </c>
    </row>
    <row r="1475" spans="1:10">
      <c r="A1475">
        <v>2022</v>
      </c>
      <c r="B1475">
        <v>10</v>
      </c>
      <c r="C1475">
        <v>8807</v>
      </c>
      <c r="D1475">
        <v>824</v>
      </c>
      <c r="E1475" t="s">
        <v>10</v>
      </c>
      <c r="F1475">
        <v>3449904</v>
      </c>
      <c r="G1475" s="1">
        <v>38</v>
      </c>
      <c r="H1475" s="2">
        <v>108476</v>
      </c>
      <c r="I1475" t="str">
        <f>VLOOKUP(Tabela2[[#This Row],[PAIS]],'[1]nome do paixs'!$A:$B,2,0)</f>
        <v>Turcomenistão</v>
      </c>
      <c r="J1475" t="s">
        <v>12</v>
      </c>
    </row>
    <row r="1476" spans="1:10">
      <c r="A1476">
        <v>2022</v>
      </c>
      <c r="B1476">
        <v>12</v>
      </c>
      <c r="C1476">
        <v>8807</v>
      </c>
      <c r="D1476">
        <v>493</v>
      </c>
      <c r="E1476" t="s">
        <v>10</v>
      </c>
      <c r="F1476">
        <v>3449904</v>
      </c>
      <c r="G1476" s="1">
        <v>2</v>
      </c>
      <c r="H1476" s="2">
        <v>4344</v>
      </c>
      <c r="I1476" t="str">
        <f>VLOOKUP(Tabela2[[#This Row],[PAIS]],'[1]nome do paixs'!$A:$B,2,0)</f>
        <v>México</v>
      </c>
      <c r="J1476" t="s">
        <v>12</v>
      </c>
    </row>
    <row r="1477" spans="1:10">
      <c r="A1477">
        <v>2022</v>
      </c>
      <c r="B1477">
        <v>10</v>
      </c>
      <c r="C1477">
        <v>8807</v>
      </c>
      <c r="D1477">
        <v>628</v>
      </c>
      <c r="E1477" t="s">
        <v>10</v>
      </c>
      <c r="F1477">
        <v>3449904</v>
      </c>
      <c r="G1477" s="1">
        <v>1637</v>
      </c>
      <c r="H1477" s="2">
        <v>520952</v>
      </c>
      <c r="I1477" t="str">
        <f>VLOOKUP(Tabela2[[#This Row],[PAIS]],'[1]nome do paixs'!$A:$B,2,0)</f>
        <v>Reino Unido</v>
      </c>
      <c r="J1477" t="s">
        <v>12</v>
      </c>
    </row>
    <row r="1478" spans="1:10">
      <c r="A1478">
        <v>2022</v>
      </c>
      <c r="B1478">
        <v>2</v>
      </c>
      <c r="C1478">
        <v>8803</v>
      </c>
      <c r="D1478">
        <v>87</v>
      </c>
      <c r="E1478" t="s">
        <v>10</v>
      </c>
      <c r="F1478">
        <v>3449904</v>
      </c>
      <c r="G1478" s="1">
        <v>5320</v>
      </c>
      <c r="H1478" s="2">
        <v>2445430</v>
      </c>
      <c r="I1478" t="str">
        <f>VLOOKUP(Tabela2[[#This Row],[PAIS]],'[1]nome do paixs'!$A:$B,2,0)</f>
        <v>Bélgica</v>
      </c>
      <c r="J1478" t="s">
        <v>12</v>
      </c>
    </row>
    <row r="1479" spans="1:10">
      <c r="A1479">
        <v>2022</v>
      </c>
      <c r="B1479">
        <v>11</v>
      </c>
      <c r="C1479">
        <v>8807</v>
      </c>
      <c r="D1479">
        <v>149</v>
      </c>
      <c r="E1479" t="s">
        <v>10</v>
      </c>
      <c r="F1479">
        <v>3449904</v>
      </c>
      <c r="G1479" s="1">
        <v>0</v>
      </c>
      <c r="H1479" s="2">
        <v>140</v>
      </c>
      <c r="I1479" t="str">
        <f>VLOOKUP(Tabela2[[#This Row],[PAIS]],'[1]nome do paixs'!$A:$B,2,0)</f>
        <v>Canadá</v>
      </c>
      <c r="J1479" t="s">
        <v>12</v>
      </c>
    </row>
    <row r="1480" spans="1:10">
      <c r="A1480">
        <v>2022</v>
      </c>
      <c r="B1480">
        <v>4</v>
      </c>
      <c r="C1480">
        <v>8803</v>
      </c>
      <c r="D1480">
        <v>767</v>
      </c>
      <c r="E1480" t="s">
        <v>10</v>
      </c>
      <c r="F1480">
        <v>3449904</v>
      </c>
      <c r="G1480" s="1">
        <v>0</v>
      </c>
      <c r="H1480" s="2">
        <v>544</v>
      </c>
      <c r="I1480" t="str">
        <f>VLOOKUP(Tabela2[[#This Row],[PAIS]],'[1]nome do paixs'!$A:$B,2,0)</f>
        <v>Suíça</v>
      </c>
      <c r="J1480" t="s">
        <v>12</v>
      </c>
    </row>
    <row r="1481" spans="1:10">
      <c r="A1481">
        <v>2022</v>
      </c>
      <c r="B1481">
        <v>7</v>
      </c>
      <c r="C1481">
        <v>8807</v>
      </c>
      <c r="D1481">
        <v>63</v>
      </c>
      <c r="E1481" t="s">
        <v>10</v>
      </c>
      <c r="F1481">
        <v>3449904</v>
      </c>
      <c r="G1481" s="1">
        <v>0</v>
      </c>
      <c r="H1481" s="2">
        <v>3531</v>
      </c>
      <c r="I1481" t="str">
        <f>VLOOKUP(Tabela2[[#This Row],[PAIS]],'[1]nome do paixs'!$A:$B,2,0)</f>
        <v>Argentina</v>
      </c>
      <c r="J1481" t="s">
        <v>12</v>
      </c>
    </row>
    <row r="1482" spans="1:10">
      <c r="A1482">
        <v>2022</v>
      </c>
      <c r="B1482">
        <v>11</v>
      </c>
      <c r="C1482">
        <v>8807</v>
      </c>
      <c r="D1482">
        <v>399</v>
      </c>
      <c r="E1482" t="s">
        <v>10</v>
      </c>
      <c r="F1482">
        <v>3449904</v>
      </c>
      <c r="G1482" s="1">
        <v>0</v>
      </c>
      <c r="H1482" s="2">
        <v>1459</v>
      </c>
      <c r="I1482" t="str">
        <f>VLOOKUP(Tabela2[[#This Row],[PAIS]],'[1]nome do paixs'!$A:$B,2,0)</f>
        <v>Japão</v>
      </c>
      <c r="J1482" t="s">
        <v>12</v>
      </c>
    </row>
    <row r="1483" spans="1:10">
      <c r="A1483">
        <v>2022</v>
      </c>
      <c r="B1483">
        <v>4</v>
      </c>
      <c r="C1483">
        <v>8807</v>
      </c>
      <c r="D1483">
        <v>249</v>
      </c>
      <c r="E1483" t="s">
        <v>10</v>
      </c>
      <c r="F1483">
        <v>3449904</v>
      </c>
      <c r="G1483" s="1">
        <v>2244</v>
      </c>
      <c r="H1483" s="2">
        <v>1892331</v>
      </c>
      <c r="I1483" t="str">
        <f>VLOOKUP(Tabela2[[#This Row],[PAIS]],'[1]nome do paixs'!$A:$B,2,0)</f>
        <v>Estados Unidos</v>
      </c>
      <c r="J1483" t="s">
        <v>12</v>
      </c>
    </row>
    <row r="1484" spans="1:10">
      <c r="A1484">
        <v>2022</v>
      </c>
      <c r="B1484">
        <v>12</v>
      </c>
      <c r="C1484">
        <v>8807</v>
      </c>
      <c r="D1484">
        <v>249</v>
      </c>
      <c r="E1484" t="s">
        <v>10</v>
      </c>
      <c r="F1484">
        <v>3449904</v>
      </c>
      <c r="G1484" s="1">
        <v>5537</v>
      </c>
      <c r="H1484" s="2">
        <v>4121406</v>
      </c>
      <c r="I1484" t="str">
        <f>VLOOKUP(Tabela2[[#This Row],[PAIS]],'[1]nome do paixs'!$A:$B,2,0)</f>
        <v>Estados Unidos</v>
      </c>
      <c r="J1484" t="s">
        <v>12</v>
      </c>
    </row>
    <row r="1485" spans="1:10">
      <c r="A1485">
        <v>2022</v>
      </c>
      <c r="B1485">
        <v>6</v>
      </c>
      <c r="C1485">
        <v>8807</v>
      </c>
      <c r="D1485">
        <v>245</v>
      </c>
      <c r="E1485" t="s">
        <v>10</v>
      </c>
      <c r="F1485">
        <v>3449904</v>
      </c>
      <c r="G1485" s="1">
        <v>6886</v>
      </c>
      <c r="H1485" s="2">
        <v>3226621</v>
      </c>
      <c r="I1485" t="str">
        <f>VLOOKUP(Tabela2[[#This Row],[PAIS]],'[1]nome do paixs'!$A:$B,2,0)</f>
        <v>Espanha</v>
      </c>
      <c r="J1485" t="s">
        <v>12</v>
      </c>
    </row>
    <row r="1486" spans="1:10">
      <c r="A1486">
        <v>2022</v>
      </c>
      <c r="B1486">
        <v>2</v>
      </c>
      <c r="C1486">
        <v>8803</v>
      </c>
      <c r="D1486">
        <v>386</v>
      </c>
      <c r="E1486" t="s">
        <v>10</v>
      </c>
      <c r="F1486">
        <v>3449904</v>
      </c>
      <c r="G1486" s="1">
        <v>161</v>
      </c>
      <c r="H1486" s="2">
        <v>69063</v>
      </c>
      <c r="I1486" t="str">
        <f>VLOOKUP(Tabela2[[#This Row],[PAIS]],'[1]nome do paixs'!$A:$B,2,0)</f>
        <v>Itália</v>
      </c>
      <c r="J1486" t="s">
        <v>12</v>
      </c>
    </row>
    <row r="1487" spans="1:10">
      <c r="A1487">
        <v>2022</v>
      </c>
      <c r="B1487">
        <v>5</v>
      </c>
      <c r="C1487">
        <v>8807</v>
      </c>
      <c r="D1487">
        <v>767</v>
      </c>
      <c r="E1487" t="s">
        <v>10</v>
      </c>
      <c r="F1487">
        <v>3449904</v>
      </c>
      <c r="G1487" s="1">
        <v>16</v>
      </c>
      <c r="H1487" s="2">
        <v>28818</v>
      </c>
      <c r="I1487" t="str">
        <f>VLOOKUP(Tabela2[[#This Row],[PAIS]],'[1]nome do paixs'!$A:$B,2,0)</f>
        <v>Suíça</v>
      </c>
      <c r="J1487" t="s">
        <v>12</v>
      </c>
    </row>
    <row r="1488" spans="1:10">
      <c r="A1488">
        <v>2022</v>
      </c>
      <c r="B1488">
        <v>11</v>
      </c>
      <c r="C1488">
        <v>8807</v>
      </c>
      <c r="D1488">
        <v>239</v>
      </c>
      <c r="E1488" t="s">
        <v>10</v>
      </c>
      <c r="F1488">
        <v>3449904</v>
      </c>
      <c r="G1488" s="1">
        <v>0</v>
      </c>
      <c r="H1488" s="2">
        <v>695</v>
      </c>
      <c r="I1488" t="str">
        <f>VLOOKUP(Tabela2[[#This Row],[PAIS]],'[1]nome do paixs'!$A:$B,2,0)</f>
        <v>Equador</v>
      </c>
      <c r="J1488" t="s">
        <v>12</v>
      </c>
    </row>
    <row r="1489" spans="1:10">
      <c r="A1489">
        <v>2022</v>
      </c>
      <c r="B1489">
        <v>1</v>
      </c>
      <c r="C1489">
        <v>8803</v>
      </c>
      <c r="D1489">
        <v>455</v>
      </c>
      <c r="E1489" t="s">
        <v>10</v>
      </c>
      <c r="F1489">
        <v>3449904</v>
      </c>
      <c r="G1489" s="1">
        <v>1</v>
      </c>
      <c r="H1489" s="2">
        <v>352</v>
      </c>
      <c r="I1489" t="str">
        <f>VLOOKUP(Tabela2[[#This Row],[PAIS]],'[1]nome do paixs'!$A:$B,2,0)</f>
        <v>Malásia</v>
      </c>
      <c r="J1489" t="s">
        <v>12</v>
      </c>
    </row>
    <row r="1490" spans="1:10">
      <c r="A1490">
        <v>2022</v>
      </c>
      <c r="B1490">
        <v>9</v>
      </c>
      <c r="C1490">
        <v>8807</v>
      </c>
      <c r="D1490">
        <v>23</v>
      </c>
      <c r="E1490" t="s">
        <v>10</v>
      </c>
      <c r="F1490">
        <v>3449904</v>
      </c>
      <c r="G1490" s="1">
        <v>410</v>
      </c>
      <c r="H1490" s="2">
        <v>405220</v>
      </c>
      <c r="I1490" t="str">
        <f>VLOOKUP(Tabela2[[#This Row],[PAIS]],'[1]nome do paixs'!$A:$B,2,0)</f>
        <v>Alemanha</v>
      </c>
      <c r="J1490" t="s">
        <v>12</v>
      </c>
    </row>
    <row r="1491" spans="1:10">
      <c r="A1491">
        <v>2022</v>
      </c>
      <c r="B1491">
        <v>7</v>
      </c>
      <c r="C1491">
        <v>8807</v>
      </c>
      <c r="D1491">
        <v>160</v>
      </c>
      <c r="E1491" t="s">
        <v>10</v>
      </c>
      <c r="F1491">
        <v>3449904</v>
      </c>
      <c r="G1491" s="1">
        <v>8</v>
      </c>
      <c r="H1491" s="2">
        <v>3331</v>
      </c>
      <c r="I1491" t="str">
        <f>VLOOKUP(Tabela2[[#This Row],[PAIS]],'[1]nome do paixs'!$A:$B,2,0)</f>
        <v>China</v>
      </c>
      <c r="J1491" t="s">
        <v>12</v>
      </c>
    </row>
    <row r="1492" spans="1:10">
      <c r="A1492">
        <v>2022</v>
      </c>
      <c r="B1492">
        <v>4</v>
      </c>
      <c r="C1492">
        <v>8807</v>
      </c>
      <c r="D1492">
        <v>245</v>
      </c>
      <c r="E1492" t="s">
        <v>10</v>
      </c>
      <c r="F1492">
        <v>3449904</v>
      </c>
      <c r="G1492" s="1">
        <v>2860</v>
      </c>
      <c r="H1492" s="2">
        <v>1133611</v>
      </c>
      <c r="I1492" t="str">
        <f>VLOOKUP(Tabela2[[#This Row],[PAIS]],'[1]nome do paixs'!$A:$B,2,0)</f>
        <v>Espanha</v>
      </c>
      <c r="J1492" t="s">
        <v>12</v>
      </c>
    </row>
    <row r="1493" spans="1:10">
      <c r="A1493">
        <v>2022</v>
      </c>
      <c r="B1493">
        <v>5</v>
      </c>
      <c r="C1493">
        <v>8807</v>
      </c>
      <c r="D1493">
        <v>607</v>
      </c>
      <c r="E1493" t="s">
        <v>10</v>
      </c>
      <c r="F1493">
        <v>3449904</v>
      </c>
      <c r="G1493" s="1">
        <v>13</v>
      </c>
      <c r="H1493" s="2">
        <v>20886</v>
      </c>
      <c r="I1493" t="str">
        <f>VLOOKUP(Tabela2[[#This Row],[PAIS]],'[1]nome do paixs'!$A:$B,2,0)</f>
        <v>Portugal</v>
      </c>
      <c r="J1493" t="s">
        <v>12</v>
      </c>
    </row>
    <row r="1494" spans="1:10">
      <c r="A1494">
        <v>2022</v>
      </c>
      <c r="B1494">
        <v>7</v>
      </c>
      <c r="C1494">
        <v>8807</v>
      </c>
      <c r="D1494">
        <v>31</v>
      </c>
      <c r="E1494" t="s">
        <v>10</v>
      </c>
      <c r="F1494">
        <v>3449904</v>
      </c>
      <c r="G1494" s="1">
        <v>0</v>
      </c>
      <c r="H1494" s="2">
        <v>495</v>
      </c>
      <c r="I1494" t="str">
        <f>VLOOKUP(Tabela2[[#This Row],[PAIS]],'[1]nome do paixs'!$A:$B,2,0)</f>
        <v>Burkina Faso</v>
      </c>
      <c r="J1494" t="s">
        <v>12</v>
      </c>
    </row>
    <row r="1495" spans="1:10">
      <c r="A1495">
        <v>2022</v>
      </c>
      <c r="B1495">
        <v>3</v>
      </c>
      <c r="C1495">
        <v>8803</v>
      </c>
      <c r="D1495">
        <v>158</v>
      </c>
      <c r="E1495" t="s">
        <v>10</v>
      </c>
      <c r="F1495">
        <v>3449904</v>
      </c>
      <c r="G1495" s="1">
        <v>22</v>
      </c>
      <c r="H1495" s="2">
        <v>16583</v>
      </c>
      <c r="I1495" t="str">
        <f>VLOOKUP(Tabela2[[#This Row],[PAIS]],'[1]nome do paixs'!$A:$B,2,0)</f>
        <v>Chile</v>
      </c>
      <c r="J1495" t="s">
        <v>12</v>
      </c>
    </row>
    <row r="1496" spans="1:10">
      <c r="A1496">
        <v>2022</v>
      </c>
      <c r="B1496">
        <v>11</v>
      </c>
      <c r="C1496">
        <v>8807</v>
      </c>
      <c r="D1496">
        <v>607</v>
      </c>
      <c r="E1496" t="s">
        <v>10</v>
      </c>
      <c r="F1496">
        <v>3449904</v>
      </c>
      <c r="G1496" s="1">
        <v>14</v>
      </c>
      <c r="H1496" s="2">
        <v>32177</v>
      </c>
      <c r="I1496" t="str">
        <f>VLOOKUP(Tabela2[[#This Row],[PAIS]],'[1]nome do paixs'!$A:$B,2,0)</f>
        <v>Portugal</v>
      </c>
      <c r="J1496" t="s">
        <v>12</v>
      </c>
    </row>
    <row r="1497" spans="1:10">
      <c r="A1497">
        <v>2022</v>
      </c>
      <c r="B1497">
        <v>1</v>
      </c>
      <c r="C1497">
        <v>8803</v>
      </c>
      <c r="D1497">
        <v>149</v>
      </c>
      <c r="E1497" t="s">
        <v>10</v>
      </c>
      <c r="F1497">
        <v>3449904</v>
      </c>
      <c r="G1497" s="1">
        <v>11</v>
      </c>
      <c r="H1497" s="2">
        <v>35535</v>
      </c>
      <c r="I1497" t="str">
        <f>VLOOKUP(Tabela2[[#This Row],[PAIS]],'[1]nome do paixs'!$A:$B,2,0)</f>
        <v>Canadá</v>
      </c>
      <c r="J1497" t="s">
        <v>12</v>
      </c>
    </row>
    <row r="1498" spans="1:10">
      <c r="A1498">
        <v>2022</v>
      </c>
      <c r="B1498">
        <v>8</v>
      </c>
      <c r="C1498">
        <v>8807</v>
      </c>
      <c r="D1498">
        <v>69</v>
      </c>
      <c r="E1498" t="s">
        <v>10</v>
      </c>
      <c r="F1498">
        <v>3449904</v>
      </c>
      <c r="G1498" s="1">
        <v>1</v>
      </c>
      <c r="H1498" s="2">
        <v>39198</v>
      </c>
      <c r="I1498" t="str">
        <f>VLOOKUP(Tabela2[[#This Row],[PAIS]],'[1]nome do paixs'!$A:$B,2,0)</f>
        <v>Austrália</v>
      </c>
      <c r="J1498" t="s">
        <v>12</v>
      </c>
    </row>
    <row r="1499" spans="1:10">
      <c r="A1499">
        <v>2022</v>
      </c>
      <c r="B1499">
        <v>7</v>
      </c>
      <c r="C1499">
        <v>8807</v>
      </c>
      <c r="D1499">
        <v>442</v>
      </c>
      <c r="E1499" t="s">
        <v>10</v>
      </c>
      <c r="F1499">
        <v>3449904</v>
      </c>
      <c r="G1499" s="1">
        <v>1</v>
      </c>
      <c r="H1499" s="2">
        <v>5651</v>
      </c>
      <c r="I1499" t="str">
        <f>VLOOKUP(Tabela2[[#This Row],[PAIS]],'[1]nome do paixs'!$A:$B,2,0)</f>
        <v>Lituânia</v>
      </c>
      <c r="J1499" t="s">
        <v>12</v>
      </c>
    </row>
    <row r="1500" spans="1:10">
      <c r="A1500">
        <v>2022</v>
      </c>
      <c r="B1500">
        <v>3</v>
      </c>
      <c r="C1500">
        <v>8803</v>
      </c>
      <c r="D1500">
        <v>249</v>
      </c>
      <c r="E1500" t="s">
        <v>10</v>
      </c>
      <c r="F1500">
        <v>3449904</v>
      </c>
      <c r="G1500" s="1">
        <v>3313</v>
      </c>
      <c r="H1500" s="2">
        <v>3047146</v>
      </c>
      <c r="I1500" t="str">
        <f>VLOOKUP(Tabela2[[#This Row],[PAIS]],'[1]nome do paixs'!$A:$B,2,0)</f>
        <v>Estados Unidos</v>
      </c>
      <c r="J1500" t="s">
        <v>12</v>
      </c>
    </row>
    <row r="1501" spans="1:10">
      <c r="A1501">
        <v>2022</v>
      </c>
      <c r="B1501">
        <v>12</v>
      </c>
      <c r="C1501">
        <v>8807</v>
      </c>
      <c r="D1501">
        <v>160</v>
      </c>
      <c r="E1501" t="s">
        <v>10</v>
      </c>
      <c r="F1501">
        <v>3449904</v>
      </c>
      <c r="G1501" s="1">
        <v>2</v>
      </c>
      <c r="H1501" s="2">
        <v>2365</v>
      </c>
      <c r="I1501" t="str">
        <f>VLOOKUP(Tabela2[[#This Row],[PAIS]],'[1]nome do paixs'!$A:$B,2,0)</f>
        <v>China</v>
      </c>
      <c r="J1501" t="s">
        <v>12</v>
      </c>
    </row>
    <row r="1502" spans="1:10">
      <c r="A1502">
        <v>2022</v>
      </c>
      <c r="B1502">
        <v>9</v>
      </c>
      <c r="C1502">
        <v>8807</v>
      </c>
      <c r="D1502">
        <v>628</v>
      </c>
      <c r="E1502" t="s">
        <v>10</v>
      </c>
      <c r="F1502">
        <v>3449904</v>
      </c>
      <c r="G1502" s="1">
        <v>2146</v>
      </c>
      <c r="H1502" s="2">
        <v>772376</v>
      </c>
      <c r="I1502" t="str">
        <f>VLOOKUP(Tabela2[[#This Row],[PAIS]],'[1]nome do paixs'!$A:$B,2,0)</f>
        <v>Reino Unido</v>
      </c>
      <c r="J1502" t="s">
        <v>12</v>
      </c>
    </row>
    <row r="1503" spans="1:10">
      <c r="A1503">
        <v>2022</v>
      </c>
      <c r="B1503">
        <v>11</v>
      </c>
      <c r="C1503">
        <v>8807</v>
      </c>
      <c r="D1503">
        <v>87</v>
      </c>
      <c r="E1503" t="s">
        <v>10</v>
      </c>
      <c r="F1503">
        <v>3449904</v>
      </c>
      <c r="G1503" s="1">
        <v>7749</v>
      </c>
      <c r="H1503" s="2">
        <v>3717744</v>
      </c>
      <c r="I1503" t="str">
        <f>VLOOKUP(Tabela2[[#This Row],[PAIS]],'[1]nome do paixs'!$A:$B,2,0)</f>
        <v>Bélgica</v>
      </c>
      <c r="J1503" t="s">
        <v>12</v>
      </c>
    </row>
    <row r="1504" spans="1:10">
      <c r="A1504">
        <v>2022</v>
      </c>
      <c r="B1504">
        <v>8</v>
      </c>
      <c r="C1504">
        <v>8807</v>
      </c>
      <c r="D1504">
        <v>249</v>
      </c>
      <c r="E1504" t="s">
        <v>10</v>
      </c>
      <c r="F1504">
        <v>3449904</v>
      </c>
      <c r="G1504" s="1">
        <v>5070</v>
      </c>
      <c r="H1504" s="2">
        <v>4046233</v>
      </c>
      <c r="I1504" t="str">
        <f>VLOOKUP(Tabela2[[#This Row],[PAIS]],'[1]nome do paixs'!$A:$B,2,0)</f>
        <v>Estados Unidos</v>
      </c>
      <c r="J1504" t="s">
        <v>12</v>
      </c>
    </row>
    <row r="1505" spans="1:10">
      <c r="A1505">
        <v>2022</v>
      </c>
      <c r="B1505">
        <v>10</v>
      </c>
      <c r="C1505">
        <v>8807</v>
      </c>
      <c r="D1505">
        <v>399</v>
      </c>
      <c r="E1505" t="s">
        <v>10</v>
      </c>
      <c r="F1505">
        <v>3449904</v>
      </c>
      <c r="G1505" s="1">
        <v>0</v>
      </c>
      <c r="H1505" s="2">
        <v>23996</v>
      </c>
      <c r="I1505" t="str">
        <f>VLOOKUP(Tabela2[[#This Row],[PAIS]],'[1]nome do paixs'!$A:$B,2,0)</f>
        <v>Japão</v>
      </c>
      <c r="J1505" t="s">
        <v>12</v>
      </c>
    </row>
    <row r="1506" spans="1:10">
      <c r="A1506">
        <v>2022</v>
      </c>
      <c r="B1506">
        <v>7</v>
      </c>
      <c r="C1506">
        <v>8807</v>
      </c>
      <c r="D1506">
        <v>741</v>
      </c>
      <c r="E1506" t="s">
        <v>10</v>
      </c>
      <c r="F1506">
        <v>3449904</v>
      </c>
      <c r="G1506" s="1">
        <v>4</v>
      </c>
      <c r="H1506" s="2">
        <v>6508</v>
      </c>
      <c r="I1506" t="str">
        <f>VLOOKUP(Tabela2[[#This Row],[PAIS]],'[1]nome do paixs'!$A:$B,2,0)</f>
        <v>Singapura</v>
      </c>
      <c r="J1506" t="s">
        <v>12</v>
      </c>
    </row>
    <row r="1507" spans="1:10">
      <c r="A1507">
        <v>2022</v>
      </c>
      <c r="B1507">
        <v>9</v>
      </c>
      <c r="C1507">
        <v>8807</v>
      </c>
      <c r="D1507">
        <v>158</v>
      </c>
      <c r="E1507" t="s">
        <v>10</v>
      </c>
      <c r="F1507">
        <v>3449904</v>
      </c>
      <c r="G1507" s="1">
        <v>68</v>
      </c>
      <c r="H1507" s="2">
        <v>133484</v>
      </c>
      <c r="I1507" t="str">
        <f>VLOOKUP(Tabela2[[#This Row],[PAIS]],'[1]nome do paixs'!$A:$B,2,0)</f>
        <v>Chile</v>
      </c>
      <c r="J1507" t="s">
        <v>12</v>
      </c>
    </row>
    <row r="1508" spans="1:10">
      <c r="A1508">
        <v>2022</v>
      </c>
      <c r="B1508">
        <v>12</v>
      </c>
      <c r="C1508">
        <v>8807</v>
      </c>
      <c r="D1508">
        <v>741</v>
      </c>
      <c r="E1508" t="s">
        <v>10</v>
      </c>
      <c r="F1508">
        <v>3449904</v>
      </c>
      <c r="G1508" s="1">
        <v>48</v>
      </c>
      <c r="H1508" s="2">
        <v>122959</v>
      </c>
      <c r="I1508" t="str">
        <f>VLOOKUP(Tabela2[[#This Row],[PAIS]],'[1]nome do paixs'!$A:$B,2,0)</f>
        <v>Singapura</v>
      </c>
      <c r="J1508" t="s">
        <v>12</v>
      </c>
    </row>
    <row r="1509" spans="1:10">
      <c r="A1509">
        <v>2022</v>
      </c>
      <c r="B1509">
        <v>11</v>
      </c>
      <c r="C1509">
        <v>8807</v>
      </c>
      <c r="D1509">
        <v>31</v>
      </c>
      <c r="E1509" t="s">
        <v>10</v>
      </c>
      <c r="F1509">
        <v>3449904</v>
      </c>
      <c r="G1509" s="1">
        <v>163</v>
      </c>
      <c r="H1509" s="2">
        <v>567000</v>
      </c>
      <c r="I1509" t="str">
        <f>VLOOKUP(Tabela2[[#This Row],[PAIS]],'[1]nome do paixs'!$A:$B,2,0)</f>
        <v>Burkina Faso</v>
      </c>
      <c r="J1509" t="s">
        <v>12</v>
      </c>
    </row>
    <row r="1510" spans="1:10">
      <c r="A1510">
        <v>2022</v>
      </c>
      <c r="B1510">
        <v>1</v>
      </c>
      <c r="C1510">
        <v>8803</v>
      </c>
      <c r="D1510">
        <v>87</v>
      </c>
      <c r="E1510" t="s">
        <v>10</v>
      </c>
      <c r="F1510">
        <v>3449904</v>
      </c>
      <c r="G1510" s="1">
        <v>4445</v>
      </c>
      <c r="H1510" s="2">
        <v>2075724</v>
      </c>
      <c r="I1510" t="str">
        <f>VLOOKUP(Tabela2[[#This Row],[PAIS]],'[1]nome do paixs'!$A:$B,2,0)</f>
        <v>Bélgica</v>
      </c>
      <c r="J1510" t="s">
        <v>12</v>
      </c>
    </row>
    <row r="1511" spans="1:10">
      <c r="A1511">
        <v>2022</v>
      </c>
      <c r="B1511">
        <v>5</v>
      </c>
      <c r="C1511">
        <v>8807</v>
      </c>
      <c r="D1511">
        <v>741</v>
      </c>
      <c r="E1511" t="s">
        <v>10</v>
      </c>
      <c r="F1511">
        <v>3449904</v>
      </c>
      <c r="G1511" s="1">
        <v>7</v>
      </c>
      <c r="H1511" s="2">
        <v>4017</v>
      </c>
      <c r="I1511" t="str">
        <f>VLOOKUP(Tabela2[[#This Row],[PAIS]],'[1]nome do paixs'!$A:$B,2,0)</f>
        <v>Singapura</v>
      </c>
      <c r="J1511" t="s">
        <v>12</v>
      </c>
    </row>
    <row r="1512" spans="1:10">
      <c r="A1512">
        <v>2022</v>
      </c>
      <c r="B1512">
        <v>12</v>
      </c>
      <c r="C1512">
        <v>8807</v>
      </c>
      <c r="D1512">
        <v>455</v>
      </c>
      <c r="E1512" t="s">
        <v>10</v>
      </c>
      <c r="F1512">
        <v>3449904</v>
      </c>
      <c r="G1512" s="1">
        <v>0</v>
      </c>
      <c r="H1512" s="2">
        <v>367</v>
      </c>
      <c r="I1512" t="str">
        <f>VLOOKUP(Tabela2[[#This Row],[PAIS]],'[1]nome do paixs'!$A:$B,2,0)</f>
        <v>Malásia</v>
      </c>
      <c r="J1512" t="s">
        <v>12</v>
      </c>
    </row>
    <row r="1513" spans="1:10">
      <c r="A1513">
        <v>2022</v>
      </c>
      <c r="B1513">
        <v>11</v>
      </c>
      <c r="C1513">
        <v>8807</v>
      </c>
      <c r="D1513">
        <v>249</v>
      </c>
      <c r="E1513" t="s">
        <v>10</v>
      </c>
      <c r="F1513">
        <v>3449904</v>
      </c>
      <c r="G1513" s="1">
        <v>6091</v>
      </c>
      <c r="H1513" s="2">
        <v>4760740</v>
      </c>
      <c r="I1513" t="str">
        <f>VLOOKUP(Tabela2[[#This Row],[PAIS]],'[1]nome do paixs'!$A:$B,2,0)</f>
        <v>Estados Unidos</v>
      </c>
      <c r="J1513" t="s">
        <v>12</v>
      </c>
    </row>
    <row r="1514" spans="1:10">
      <c r="A1514">
        <v>2022</v>
      </c>
      <c r="B1514">
        <v>5</v>
      </c>
      <c r="C1514">
        <v>8807</v>
      </c>
      <c r="D1514">
        <v>23</v>
      </c>
      <c r="E1514" t="s">
        <v>10</v>
      </c>
      <c r="F1514">
        <v>3449904</v>
      </c>
      <c r="G1514" s="1">
        <v>238</v>
      </c>
      <c r="H1514" s="2">
        <v>334763</v>
      </c>
      <c r="I1514" t="str">
        <f>VLOOKUP(Tabela2[[#This Row],[PAIS]],'[1]nome do paixs'!$A:$B,2,0)</f>
        <v>Alemanha</v>
      </c>
      <c r="J1514" t="s">
        <v>12</v>
      </c>
    </row>
    <row r="1515" spans="1:10">
      <c r="A1515">
        <v>2022</v>
      </c>
      <c r="B1515">
        <v>4</v>
      </c>
      <c r="C1515">
        <v>8803</v>
      </c>
      <c r="D1515">
        <v>245</v>
      </c>
      <c r="E1515" t="s">
        <v>10</v>
      </c>
      <c r="F1515">
        <v>3449904</v>
      </c>
      <c r="G1515" s="1">
        <v>20</v>
      </c>
      <c r="H1515" s="2">
        <v>12853</v>
      </c>
      <c r="I1515" t="str">
        <f>VLOOKUP(Tabela2[[#This Row],[PAIS]],'[1]nome do paixs'!$A:$B,2,0)</f>
        <v>Espanha</v>
      </c>
      <c r="J1515" t="s">
        <v>12</v>
      </c>
    </row>
    <row r="1516" spans="1:10">
      <c r="A1516">
        <v>2022</v>
      </c>
      <c r="B1516">
        <v>5</v>
      </c>
      <c r="C1516">
        <v>8807</v>
      </c>
      <c r="D1516">
        <v>249</v>
      </c>
      <c r="E1516" t="s">
        <v>10</v>
      </c>
      <c r="F1516">
        <v>3449904</v>
      </c>
      <c r="G1516" s="1">
        <v>5720</v>
      </c>
      <c r="H1516" s="2">
        <v>3776636</v>
      </c>
      <c r="I1516" t="str">
        <f>VLOOKUP(Tabela2[[#This Row],[PAIS]],'[1]nome do paixs'!$A:$B,2,0)</f>
        <v>Estados Unidos</v>
      </c>
      <c r="J1516" t="s">
        <v>12</v>
      </c>
    </row>
    <row r="1517" spans="1:10">
      <c r="A1517">
        <v>2022</v>
      </c>
      <c r="B1517">
        <v>2</v>
      </c>
      <c r="C1517">
        <v>8803</v>
      </c>
      <c r="D1517">
        <v>538</v>
      </c>
      <c r="E1517" t="s">
        <v>10</v>
      </c>
      <c r="F1517">
        <v>3449904</v>
      </c>
      <c r="G1517" s="1">
        <v>2090</v>
      </c>
      <c r="H1517" s="2">
        <v>388170</v>
      </c>
      <c r="I1517" t="str">
        <f>VLOOKUP(Tabela2[[#This Row],[PAIS]],'[1]nome do paixs'!$A:$B,2,0)</f>
        <v>Noruega</v>
      </c>
      <c r="J1517" t="s">
        <v>12</v>
      </c>
    </row>
    <row r="1518" spans="1:10">
      <c r="A1518">
        <v>2022</v>
      </c>
      <c r="B1518">
        <v>5</v>
      </c>
      <c r="C1518">
        <v>8803</v>
      </c>
      <c r="D1518">
        <v>245</v>
      </c>
      <c r="E1518" t="s">
        <v>10</v>
      </c>
      <c r="F1518">
        <v>3449904</v>
      </c>
      <c r="G1518" s="1">
        <v>1574</v>
      </c>
      <c r="H1518" s="2">
        <v>837874</v>
      </c>
      <c r="I1518" t="str">
        <f>VLOOKUP(Tabela2[[#This Row],[PAIS]],'[1]nome do paixs'!$A:$B,2,0)</f>
        <v>Espanha</v>
      </c>
      <c r="J1518" t="s">
        <v>12</v>
      </c>
    </row>
    <row r="1519" spans="1:10">
      <c r="A1519">
        <v>2022</v>
      </c>
      <c r="B1519">
        <v>9</v>
      </c>
      <c r="C1519">
        <v>8807</v>
      </c>
      <c r="D1519">
        <v>245</v>
      </c>
      <c r="E1519" t="s">
        <v>10</v>
      </c>
      <c r="F1519">
        <v>3449904</v>
      </c>
      <c r="G1519" s="1">
        <v>6808</v>
      </c>
      <c r="H1519" s="2">
        <v>2933941</v>
      </c>
      <c r="I1519" t="str">
        <f>VLOOKUP(Tabela2[[#This Row],[PAIS]],'[1]nome do paixs'!$A:$B,2,0)</f>
        <v>Espanha</v>
      </c>
      <c r="J1519" t="s">
        <v>12</v>
      </c>
    </row>
    <row r="1520" spans="1:10">
      <c r="A1520">
        <v>2022</v>
      </c>
      <c r="B1520">
        <v>10</v>
      </c>
      <c r="C1520">
        <v>8807</v>
      </c>
      <c r="D1520">
        <v>160</v>
      </c>
      <c r="E1520" t="s">
        <v>10</v>
      </c>
      <c r="F1520">
        <v>3449904</v>
      </c>
      <c r="G1520" s="1">
        <v>15</v>
      </c>
      <c r="H1520" s="2">
        <v>6190</v>
      </c>
      <c r="I1520" t="str">
        <f>VLOOKUP(Tabela2[[#This Row],[PAIS]],'[1]nome do paixs'!$A:$B,2,0)</f>
        <v>China</v>
      </c>
      <c r="J1520" t="s">
        <v>12</v>
      </c>
    </row>
    <row r="1521" spans="1:10">
      <c r="A1521">
        <v>2022</v>
      </c>
      <c r="B1521">
        <v>12</v>
      </c>
      <c r="C1521">
        <v>8807</v>
      </c>
      <c r="D1521">
        <v>573</v>
      </c>
      <c r="E1521" t="s">
        <v>10</v>
      </c>
      <c r="F1521">
        <v>3449904</v>
      </c>
      <c r="G1521" s="1">
        <v>8</v>
      </c>
      <c r="H1521" s="2">
        <v>21304</v>
      </c>
      <c r="I1521" t="str">
        <f>VLOOKUP(Tabela2[[#This Row],[PAIS]],'[1]nome do paixs'!$A:$B,2,0)</f>
        <v>Países Baixos (Holanda)</v>
      </c>
      <c r="J1521" t="s">
        <v>12</v>
      </c>
    </row>
    <row r="1522" spans="1:10">
      <c r="A1522">
        <v>2022</v>
      </c>
      <c r="B1522">
        <v>4</v>
      </c>
      <c r="C1522">
        <v>8807</v>
      </c>
      <c r="D1522">
        <v>244</v>
      </c>
      <c r="E1522" t="s">
        <v>10</v>
      </c>
      <c r="F1522">
        <v>3449904</v>
      </c>
      <c r="G1522" s="1">
        <v>36</v>
      </c>
      <c r="H1522" s="2">
        <v>4325</v>
      </c>
      <c r="I1522" t="str">
        <f>VLOOKUP(Tabela2[[#This Row],[PAIS]],'[1]nome do paixs'!$A:$B,2,0)</f>
        <v>Emirados Árabes Unidos</v>
      </c>
      <c r="J1522" t="s">
        <v>12</v>
      </c>
    </row>
    <row r="1523" spans="1:10">
      <c r="A1523">
        <v>2022</v>
      </c>
      <c r="B1523">
        <v>9</v>
      </c>
      <c r="C1523">
        <v>8807</v>
      </c>
      <c r="D1523">
        <v>160</v>
      </c>
      <c r="E1523" t="s">
        <v>10</v>
      </c>
      <c r="F1523">
        <v>3449904</v>
      </c>
      <c r="G1523" s="1">
        <v>9</v>
      </c>
      <c r="H1523" s="2">
        <v>7797</v>
      </c>
      <c r="I1523" t="str">
        <f>VLOOKUP(Tabela2[[#This Row],[PAIS]],'[1]nome do paixs'!$A:$B,2,0)</f>
        <v>China</v>
      </c>
      <c r="J1523" t="s">
        <v>12</v>
      </c>
    </row>
    <row r="1524" spans="1:10">
      <c r="A1524">
        <v>2022</v>
      </c>
      <c r="B1524">
        <v>11</v>
      </c>
      <c r="C1524">
        <v>8807</v>
      </c>
      <c r="D1524">
        <v>72</v>
      </c>
      <c r="E1524" t="s">
        <v>10</v>
      </c>
      <c r="F1524">
        <v>3449904</v>
      </c>
      <c r="G1524" s="1">
        <v>0</v>
      </c>
      <c r="H1524" s="2">
        <v>20800</v>
      </c>
      <c r="I1524" t="str">
        <f>VLOOKUP(Tabela2[[#This Row],[PAIS]],'[1]nome do paixs'!$A:$B,2,0)</f>
        <v>Áustria</v>
      </c>
      <c r="J1524" t="s">
        <v>12</v>
      </c>
    </row>
    <row r="1525" spans="1:10">
      <c r="A1525">
        <v>2022</v>
      </c>
      <c r="B1525">
        <v>4</v>
      </c>
      <c r="C1525">
        <v>8803</v>
      </c>
      <c r="D1525">
        <v>493</v>
      </c>
      <c r="E1525" t="s">
        <v>10</v>
      </c>
      <c r="F1525">
        <v>3449904</v>
      </c>
      <c r="G1525" s="1">
        <v>0</v>
      </c>
      <c r="H1525" s="2">
        <v>1038</v>
      </c>
      <c r="I1525" t="str">
        <f>VLOOKUP(Tabela2[[#This Row],[PAIS]],'[1]nome do paixs'!$A:$B,2,0)</f>
        <v>México</v>
      </c>
      <c r="J1525" t="s">
        <v>12</v>
      </c>
    </row>
    <row r="1526" spans="1:10">
      <c r="A1526">
        <v>2022</v>
      </c>
      <c r="B1526">
        <v>6</v>
      </c>
      <c r="C1526">
        <v>8807</v>
      </c>
      <c r="D1526">
        <v>528</v>
      </c>
      <c r="E1526" t="s">
        <v>10</v>
      </c>
      <c r="F1526">
        <v>3449904</v>
      </c>
      <c r="G1526" s="1">
        <v>0</v>
      </c>
      <c r="H1526" s="2">
        <v>352</v>
      </c>
      <c r="I1526" t="str">
        <f>VLOOKUP(Tabela2[[#This Row],[PAIS]],'[1]nome do paixs'!$A:$B,2,0)</f>
        <v>Nigéria</v>
      </c>
      <c r="J1526" t="s">
        <v>12</v>
      </c>
    </row>
    <row r="1527" spans="1:10">
      <c r="A1527">
        <v>2022</v>
      </c>
      <c r="B1527">
        <v>5</v>
      </c>
      <c r="C1527">
        <v>8807</v>
      </c>
      <c r="D1527">
        <v>169</v>
      </c>
      <c r="E1527" t="s">
        <v>10</v>
      </c>
      <c r="F1527">
        <v>3449904</v>
      </c>
      <c r="G1527" s="1">
        <v>3</v>
      </c>
      <c r="H1527" s="2">
        <v>52626</v>
      </c>
      <c r="I1527" t="str">
        <f>VLOOKUP(Tabela2[[#This Row],[PAIS]],'[1]nome do paixs'!$A:$B,2,0)</f>
        <v>Colômbia</v>
      </c>
      <c r="J1527" t="s">
        <v>12</v>
      </c>
    </row>
    <row r="1528" spans="1:10">
      <c r="A1528">
        <v>2022</v>
      </c>
      <c r="B1528">
        <v>5</v>
      </c>
      <c r="C1528">
        <v>8807</v>
      </c>
      <c r="D1528">
        <v>160</v>
      </c>
      <c r="E1528" t="s">
        <v>10</v>
      </c>
      <c r="F1528">
        <v>3449904</v>
      </c>
      <c r="G1528" s="1">
        <v>2</v>
      </c>
      <c r="H1528" s="2">
        <v>1581</v>
      </c>
      <c r="I1528" t="str">
        <f>VLOOKUP(Tabela2[[#This Row],[PAIS]],'[1]nome do paixs'!$A:$B,2,0)</f>
        <v>China</v>
      </c>
      <c r="J1528" t="s">
        <v>12</v>
      </c>
    </row>
    <row r="1529" spans="1:10">
      <c r="A1529">
        <v>2022</v>
      </c>
      <c r="B1529">
        <v>8</v>
      </c>
      <c r="C1529">
        <v>8807</v>
      </c>
      <c r="D1529">
        <v>386</v>
      </c>
      <c r="E1529" t="s">
        <v>10</v>
      </c>
      <c r="F1529">
        <v>3449904</v>
      </c>
      <c r="G1529" s="1">
        <v>897</v>
      </c>
      <c r="H1529" s="2">
        <v>301944</v>
      </c>
      <c r="I1529" t="str">
        <f>VLOOKUP(Tabela2[[#This Row],[PAIS]],'[1]nome do paixs'!$A:$B,2,0)</f>
        <v>Itália</v>
      </c>
      <c r="J1529" t="s">
        <v>12</v>
      </c>
    </row>
    <row r="1530" spans="1:10">
      <c r="A1530">
        <v>2022</v>
      </c>
      <c r="B1530">
        <v>6</v>
      </c>
      <c r="C1530">
        <v>8807</v>
      </c>
      <c r="D1530">
        <v>275</v>
      </c>
      <c r="E1530" t="s">
        <v>10</v>
      </c>
      <c r="F1530">
        <v>3449904</v>
      </c>
      <c r="G1530" s="1">
        <v>219</v>
      </c>
      <c r="H1530" s="2">
        <v>154728</v>
      </c>
      <c r="I1530" t="str">
        <f>VLOOKUP(Tabela2[[#This Row],[PAIS]],'[1]nome do paixs'!$A:$B,2,0)</f>
        <v>França</v>
      </c>
      <c r="J1530" t="s">
        <v>12</v>
      </c>
    </row>
    <row r="1531" spans="1:10">
      <c r="A1531">
        <v>2022</v>
      </c>
      <c r="B1531">
        <v>3</v>
      </c>
      <c r="C1531">
        <v>8803</v>
      </c>
      <c r="D1531">
        <v>741</v>
      </c>
      <c r="E1531" t="s">
        <v>10</v>
      </c>
      <c r="F1531">
        <v>3449904</v>
      </c>
      <c r="G1531" s="1">
        <v>5</v>
      </c>
      <c r="H1531" s="2">
        <v>3850</v>
      </c>
      <c r="I1531" t="str">
        <f>VLOOKUP(Tabela2[[#This Row],[PAIS]],'[1]nome do paixs'!$A:$B,2,0)</f>
        <v>Singapura</v>
      </c>
      <c r="J1531" t="s">
        <v>12</v>
      </c>
    </row>
    <row r="1532" spans="1:10">
      <c r="A1532">
        <v>2022</v>
      </c>
      <c r="B1532">
        <v>4</v>
      </c>
      <c r="C1532">
        <v>8803</v>
      </c>
      <c r="D1532">
        <v>628</v>
      </c>
      <c r="E1532" t="s">
        <v>10</v>
      </c>
      <c r="F1532">
        <v>3449904</v>
      </c>
      <c r="G1532" s="1">
        <v>1548</v>
      </c>
      <c r="H1532" s="2">
        <v>598415</v>
      </c>
      <c r="I1532" t="str">
        <f>VLOOKUP(Tabela2[[#This Row],[PAIS]],'[1]nome do paixs'!$A:$B,2,0)</f>
        <v>Reino Unido</v>
      </c>
      <c r="J1532" t="s">
        <v>12</v>
      </c>
    </row>
    <row r="1533" spans="1:10">
      <c r="A1533">
        <v>2022</v>
      </c>
      <c r="B1533">
        <v>7</v>
      </c>
      <c r="C1533">
        <v>8807</v>
      </c>
      <c r="D1533">
        <v>756</v>
      </c>
      <c r="E1533" t="s">
        <v>10</v>
      </c>
      <c r="F1533">
        <v>3449904</v>
      </c>
      <c r="G1533" s="1">
        <v>2</v>
      </c>
      <c r="H1533" s="2">
        <v>4247</v>
      </c>
      <c r="I1533" t="str">
        <f>VLOOKUP(Tabela2[[#This Row],[PAIS]],'[1]nome do paixs'!$A:$B,2,0)</f>
        <v>África do Sul</v>
      </c>
      <c r="J1533" t="s">
        <v>12</v>
      </c>
    </row>
    <row r="1534" spans="1:10">
      <c r="A1534">
        <v>2022</v>
      </c>
      <c r="B1534">
        <v>3</v>
      </c>
      <c r="C1534">
        <v>8803</v>
      </c>
      <c r="D1534">
        <v>31</v>
      </c>
      <c r="E1534" t="s">
        <v>10</v>
      </c>
      <c r="F1534">
        <v>3449904</v>
      </c>
      <c r="G1534" s="1">
        <v>80</v>
      </c>
      <c r="H1534" s="2">
        <v>229000</v>
      </c>
      <c r="I1534" t="str">
        <f>VLOOKUP(Tabela2[[#This Row],[PAIS]],'[1]nome do paixs'!$A:$B,2,0)</f>
        <v>Burkina Faso</v>
      </c>
      <c r="J1534" t="s">
        <v>12</v>
      </c>
    </row>
    <row r="1535" spans="1:10">
      <c r="A1535">
        <v>2022</v>
      </c>
      <c r="B1535">
        <v>12</v>
      </c>
      <c r="C1535">
        <v>8807</v>
      </c>
      <c r="D1535">
        <v>827</v>
      </c>
      <c r="E1535" t="s">
        <v>10</v>
      </c>
      <c r="F1535">
        <v>3449904</v>
      </c>
      <c r="G1535" s="1">
        <v>9</v>
      </c>
      <c r="H1535" s="2">
        <v>74482</v>
      </c>
      <c r="I1535" t="str">
        <f>VLOOKUP(Tabela2[[#This Row],[PAIS]],'[1]nome do paixs'!$A:$B,2,0)</f>
        <v>Turquia</v>
      </c>
      <c r="J1535" t="s">
        <v>12</v>
      </c>
    </row>
    <row r="1536" spans="1:10">
      <c r="A1536">
        <v>2022</v>
      </c>
      <c r="B1536">
        <v>9</v>
      </c>
      <c r="C1536">
        <v>8807</v>
      </c>
      <c r="D1536">
        <v>741</v>
      </c>
      <c r="E1536" t="s">
        <v>10</v>
      </c>
      <c r="F1536">
        <v>3449904</v>
      </c>
      <c r="G1536" s="1">
        <v>10</v>
      </c>
      <c r="H1536" s="2">
        <v>11280</v>
      </c>
      <c r="I1536" t="str">
        <f>VLOOKUP(Tabela2[[#This Row],[PAIS]],'[1]nome do paixs'!$A:$B,2,0)</f>
        <v>Singapura</v>
      </c>
      <c r="J1536" t="s">
        <v>12</v>
      </c>
    </row>
    <row r="1537" spans="1:10">
      <c r="A1537">
        <v>2022</v>
      </c>
      <c r="B1537">
        <v>4</v>
      </c>
      <c r="C1537">
        <v>8803</v>
      </c>
      <c r="D1537">
        <v>87</v>
      </c>
      <c r="E1537" t="s">
        <v>10</v>
      </c>
      <c r="F1537">
        <v>3449904</v>
      </c>
      <c r="G1537" s="1">
        <v>715</v>
      </c>
      <c r="H1537" s="2">
        <v>191607</v>
      </c>
      <c r="I1537" t="str">
        <f>VLOOKUP(Tabela2[[#This Row],[PAIS]],'[1]nome do paixs'!$A:$B,2,0)</f>
        <v>Bélgica</v>
      </c>
      <c r="J1537" t="s">
        <v>12</v>
      </c>
    </row>
    <row r="1538" spans="1:10">
      <c r="A1538">
        <v>2022</v>
      </c>
      <c r="B1538">
        <v>9</v>
      </c>
      <c r="C1538">
        <v>8807</v>
      </c>
      <c r="D1538">
        <v>149</v>
      </c>
      <c r="E1538" t="s">
        <v>10</v>
      </c>
      <c r="F1538">
        <v>3449904</v>
      </c>
      <c r="G1538" s="1">
        <v>476</v>
      </c>
      <c r="H1538" s="2">
        <v>126510</v>
      </c>
      <c r="I1538" t="str">
        <f>VLOOKUP(Tabela2[[#This Row],[PAIS]],'[1]nome do paixs'!$A:$B,2,0)</f>
        <v>Canadá</v>
      </c>
      <c r="J1538" t="s">
        <v>12</v>
      </c>
    </row>
    <row r="1539" spans="1:10">
      <c r="A1539">
        <v>2022</v>
      </c>
      <c r="B1539">
        <v>7</v>
      </c>
      <c r="C1539">
        <v>8807</v>
      </c>
      <c r="D1539">
        <v>607</v>
      </c>
      <c r="E1539" t="s">
        <v>10</v>
      </c>
      <c r="F1539">
        <v>3449904</v>
      </c>
      <c r="G1539" s="1">
        <v>16</v>
      </c>
      <c r="H1539" s="2">
        <v>29142</v>
      </c>
      <c r="I1539" t="str">
        <f>VLOOKUP(Tabela2[[#This Row],[PAIS]],'[1]nome do paixs'!$A:$B,2,0)</f>
        <v>Portugal</v>
      </c>
      <c r="J1539" t="s">
        <v>12</v>
      </c>
    </row>
    <row r="1540" spans="1:10">
      <c r="A1540">
        <v>2022</v>
      </c>
      <c r="B1540">
        <v>10</v>
      </c>
      <c r="C1540">
        <v>8807</v>
      </c>
      <c r="D1540">
        <v>153</v>
      </c>
      <c r="E1540" t="s">
        <v>10</v>
      </c>
      <c r="F1540">
        <v>3449904</v>
      </c>
      <c r="G1540" s="1">
        <v>0</v>
      </c>
      <c r="H1540" s="2">
        <v>15977</v>
      </c>
      <c r="I1540" t="str">
        <f>VLOOKUP(Tabela2[[#This Row],[PAIS]],'[1]nome do paixs'!$A:$B,2,0)</f>
        <v>Cazaquistão</v>
      </c>
      <c r="J1540" t="s">
        <v>12</v>
      </c>
    </row>
    <row r="1541" spans="1:10">
      <c r="A1541">
        <v>2022</v>
      </c>
      <c r="B1541">
        <v>4</v>
      </c>
      <c r="C1541">
        <v>8807</v>
      </c>
      <c r="D1541">
        <v>169</v>
      </c>
      <c r="E1541" t="s">
        <v>10</v>
      </c>
      <c r="F1541">
        <v>3449904</v>
      </c>
      <c r="G1541" s="1">
        <v>13</v>
      </c>
      <c r="H1541" s="2">
        <v>45405</v>
      </c>
      <c r="I1541" t="str">
        <f>VLOOKUP(Tabela2[[#This Row],[PAIS]],'[1]nome do paixs'!$A:$B,2,0)</f>
        <v>Colômbia</v>
      </c>
      <c r="J1541" t="s">
        <v>12</v>
      </c>
    </row>
    <row r="1542" spans="1:10">
      <c r="A1542">
        <v>2022</v>
      </c>
      <c r="B1542">
        <v>11</v>
      </c>
      <c r="C1542">
        <v>8807</v>
      </c>
      <c r="D1542">
        <v>756</v>
      </c>
      <c r="E1542" t="s">
        <v>10</v>
      </c>
      <c r="F1542">
        <v>3449904</v>
      </c>
      <c r="G1542" s="1">
        <v>15</v>
      </c>
      <c r="H1542" s="2">
        <v>29185</v>
      </c>
      <c r="I1542" t="str">
        <f>VLOOKUP(Tabela2[[#This Row],[PAIS]],'[1]nome do paixs'!$A:$B,2,0)</f>
        <v>África do Sul</v>
      </c>
      <c r="J1542" t="s">
        <v>12</v>
      </c>
    </row>
    <row r="1543" spans="1:10">
      <c r="A1543">
        <v>2022</v>
      </c>
      <c r="B1543">
        <v>6</v>
      </c>
      <c r="C1543">
        <v>8807</v>
      </c>
      <c r="D1543">
        <v>386</v>
      </c>
      <c r="E1543" t="s">
        <v>10</v>
      </c>
      <c r="F1543">
        <v>3449904</v>
      </c>
      <c r="G1543" s="1">
        <v>424</v>
      </c>
      <c r="H1543" s="2">
        <v>173099</v>
      </c>
      <c r="I1543" t="str">
        <f>VLOOKUP(Tabela2[[#This Row],[PAIS]],'[1]nome do paixs'!$A:$B,2,0)</f>
        <v>Itália</v>
      </c>
      <c r="J1543" t="s">
        <v>12</v>
      </c>
    </row>
    <row r="1544" spans="1:10">
      <c r="A1544">
        <v>2022</v>
      </c>
      <c r="B1544">
        <v>9</v>
      </c>
      <c r="C1544">
        <v>8807</v>
      </c>
      <c r="D1544">
        <v>399</v>
      </c>
      <c r="E1544" t="s">
        <v>10</v>
      </c>
      <c r="F1544">
        <v>3449904</v>
      </c>
      <c r="G1544" s="1">
        <v>0</v>
      </c>
      <c r="H1544" s="2">
        <v>8570</v>
      </c>
      <c r="I1544" t="str">
        <f>VLOOKUP(Tabela2[[#This Row],[PAIS]],'[1]nome do paixs'!$A:$B,2,0)</f>
        <v>Japão</v>
      </c>
      <c r="J1544" t="s">
        <v>12</v>
      </c>
    </row>
    <row r="1545" spans="1:10">
      <c r="A1545">
        <v>2022</v>
      </c>
      <c r="B1545">
        <v>9</v>
      </c>
      <c r="C1545">
        <v>8807</v>
      </c>
      <c r="D1545">
        <v>244</v>
      </c>
      <c r="E1545" t="s">
        <v>10</v>
      </c>
      <c r="F1545">
        <v>3449904</v>
      </c>
      <c r="G1545" s="1">
        <v>42</v>
      </c>
      <c r="H1545" s="2">
        <v>2369</v>
      </c>
      <c r="I1545" t="str">
        <f>VLOOKUP(Tabela2[[#This Row],[PAIS]],'[1]nome do paixs'!$A:$B,2,0)</f>
        <v>Emirados Árabes Unidos</v>
      </c>
      <c r="J1545" t="s">
        <v>12</v>
      </c>
    </row>
    <row r="1546" spans="1:10">
      <c r="A1546">
        <v>2022</v>
      </c>
      <c r="B1546">
        <v>12</v>
      </c>
      <c r="C1546">
        <v>8807</v>
      </c>
      <c r="D1546">
        <v>87</v>
      </c>
      <c r="E1546" t="s">
        <v>10</v>
      </c>
      <c r="F1546">
        <v>3449904</v>
      </c>
      <c r="G1546" s="1">
        <v>3689</v>
      </c>
      <c r="H1546" s="2">
        <v>1984847</v>
      </c>
      <c r="I1546" t="str">
        <f>VLOOKUP(Tabela2[[#This Row],[PAIS]],'[1]nome do paixs'!$A:$B,2,0)</f>
        <v>Bélgica</v>
      </c>
      <c r="J1546" t="s">
        <v>12</v>
      </c>
    </row>
    <row r="1547" spans="1:10">
      <c r="A1547">
        <v>2022</v>
      </c>
      <c r="B1547">
        <v>10</v>
      </c>
      <c r="C1547">
        <v>8807</v>
      </c>
      <c r="D1547">
        <v>603</v>
      </c>
      <c r="E1547" t="s">
        <v>10</v>
      </c>
      <c r="F1547">
        <v>3449904</v>
      </c>
      <c r="G1547" s="1">
        <v>1</v>
      </c>
      <c r="H1547" s="2">
        <v>12415</v>
      </c>
      <c r="I1547" t="str">
        <f>VLOOKUP(Tabela2[[#This Row],[PAIS]],'[1]nome do paixs'!$A:$B,2,0)</f>
        <v>Polônia</v>
      </c>
      <c r="J1547" t="s">
        <v>12</v>
      </c>
    </row>
    <row r="1548" spans="1:10">
      <c r="A1548">
        <v>2022</v>
      </c>
      <c r="B1548">
        <v>12</v>
      </c>
      <c r="C1548">
        <v>8807</v>
      </c>
      <c r="D1548">
        <v>275</v>
      </c>
      <c r="E1548" t="s">
        <v>10</v>
      </c>
      <c r="F1548">
        <v>3449904</v>
      </c>
      <c r="G1548" s="1">
        <v>187</v>
      </c>
      <c r="H1548" s="2">
        <v>269713</v>
      </c>
      <c r="I1548" t="str">
        <f>VLOOKUP(Tabela2[[#This Row],[PAIS]],'[1]nome do paixs'!$A:$B,2,0)</f>
        <v>França</v>
      </c>
      <c r="J1548" t="s">
        <v>12</v>
      </c>
    </row>
    <row r="1549" spans="1:10">
      <c r="A1549">
        <v>2022</v>
      </c>
      <c r="B1549">
        <v>8</v>
      </c>
      <c r="C1549">
        <v>8807</v>
      </c>
      <c r="D1549">
        <v>23</v>
      </c>
      <c r="E1549" t="s">
        <v>10</v>
      </c>
      <c r="F1549">
        <v>3449904</v>
      </c>
      <c r="G1549" s="1">
        <v>543</v>
      </c>
      <c r="H1549" s="2">
        <v>499812</v>
      </c>
      <c r="I1549" t="str">
        <f>VLOOKUP(Tabela2[[#This Row],[PAIS]],'[1]nome do paixs'!$A:$B,2,0)</f>
        <v>Alemanha</v>
      </c>
      <c r="J1549" t="s">
        <v>12</v>
      </c>
    </row>
    <row r="1550" spans="1:10">
      <c r="A1550">
        <v>2022</v>
      </c>
      <c r="B1550">
        <v>12</v>
      </c>
      <c r="C1550">
        <v>8807</v>
      </c>
      <c r="D1550">
        <v>386</v>
      </c>
      <c r="E1550" t="s">
        <v>10</v>
      </c>
      <c r="F1550">
        <v>3449904</v>
      </c>
      <c r="G1550" s="1">
        <v>766</v>
      </c>
      <c r="H1550" s="2">
        <v>285192</v>
      </c>
      <c r="I1550" t="str">
        <f>VLOOKUP(Tabela2[[#This Row],[PAIS]],'[1]nome do paixs'!$A:$B,2,0)</f>
        <v>Itália</v>
      </c>
      <c r="J1550" t="s">
        <v>12</v>
      </c>
    </row>
    <row r="1551" spans="1:10">
      <c r="A1551">
        <v>2022</v>
      </c>
      <c r="B1551">
        <v>7</v>
      </c>
      <c r="C1551">
        <v>8807</v>
      </c>
      <c r="D1551">
        <v>528</v>
      </c>
      <c r="E1551" t="s">
        <v>10</v>
      </c>
      <c r="F1551">
        <v>3449904</v>
      </c>
      <c r="G1551" s="1">
        <v>4</v>
      </c>
      <c r="H1551" s="2">
        <v>6951</v>
      </c>
      <c r="I1551" t="str">
        <f>VLOOKUP(Tabela2[[#This Row],[PAIS]],'[1]nome do paixs'!$A:$B,2,0)</f>
        <v>Nigéria</v>
      </c>
      <c r="J1551" t="s">
        <v>12</v>
      </c>
    </row>
    <row r="1552" spans="1:10">
      <c r="A1552">
        <v>2022</v>
      </c>
      <c r="B1552">
        <v>10</v>
      </c>
      <c r="C1552">
        <v>8807</v>
      </c>
      <c r="D1552">
        <v>158</v>
      </c>
      <c r="E1552" t="s">
        <v>10</v>
      </c>
      <c r="F1552">
        <v>3449904</v>
      </c>
      <c r="G1552" s="1">
        <v>1</v>
      </c>
      <c r="H1552" s="2">
        <v>14451</v>
      </c>
      <c r="I1552" t="str">
        <f>VLOOKUP(Tabela2[[#This Row],[PAIS]],'[1]nome do paixs'!$A:$B,2,0)</f>
        <v>Chile</v>
      </c>
      <c r="J1552" t="s">
        <v>12</v>
      </c>
    </row>
    <row r="1553" spans="1:10">
      <c r="A1553">
        <v>2022</v>
      </c>
      <c r="B1553">
        <v>12</v>
      </c>
      <c r="C1553">
        <v>8807</v>
      </c>
      <c r="D1553">
        <v>244</v>
      </c>
      <c r="E1553" t="s">
        <v>10</v>
      </c>
      <c r="F1553">
        <v>3449904</v>
      </c>
      <c r="G1553" s="1">
        <v>19</v>
      </c>
      <c r="H1553" s="2">
        <v>6605</v>
      </c>
      <c r="I1553" t="str">
        <f>VLOOKUP(Tabela2[[#This Row],[PAIS]],'[1]nome do paixs'!$A:$B,2,0)</f>
        <v>Emirados Árabes Unidos</v>
      </c>
      <c r="J1553" t="s">
        <v>12</v>
      </c>
    </row>
    <row r="1554" spans="1:10">
      <c r="A1554">
        <v>2022</v>
      </c>
      <c r="B1554">
        <v>5</v>
      </c>
      <c r="C1554">
        <v>8807</v>
      </c>
      <c r="D1554">
        <v>628</v>
      </c>
      <c r="E1554" t="s">
        <v>10</v>
      </c>
      <c r="F1554">
        <v>3449904</v>
      </c>
      <c r="G1554" s="1">
        <v>1112</v>
      </c>
      <c r="H1554" s="2">
        <v>369247</v>
      </c>
      <c r="I1554" t="str">
        <f>VLOOKUP(Tabela2[[#This Row],[PAIS]],'[1]nome do paixs'!$A:$B,2,0)</f>
        <v>Reino Unido</v>
      </c>
      <c r="J1554" t="s">
        <v>12</v>
      </c>
    </row>
    <row r="1555" spans="1:10">
      <c r="A1555">
        <v>2022</v>
      </c>
      <c r="B1555">
        <v>4</v>
      </c>
      <c r="C1555">
        <v>8803</v>
      </c>
      <c r="D1555">
        <v>386</v>
      </c>
      <c r="E1555" t="s">
        <v>10</v>
      </c>
      <c r="F1555">
        <v>3449904</v>
      </c>
      <c r="G1555" s="1">
        <v>253</v>
      </c>
      <c r="H1555" s="2">
        <v>90822</v>
      </c>
      <c r="I1555" t="str">
        <f>VLOOKUP(Tabela2[[#This Row],[PAIS]],'[1]nome do paixs'!$A:$B,2,0)</f>
        <v>Itália</v>
      </c>
      <c r="J1555" t="s">
        <v>12</v>
      </c>
    </row>
    <row r="1556" spans="1:10">
      <c r="A1556">
        <v>2022</v>
      </c>
      <c r="B1556">
        <v>4</v>
      </c>
      <c r="C1556">
        <v>8807</v>
      </c>
      <c r="D1556">
        <v>23</v>
      </c>
      <c r="E1556" t="s">
        <v>10</v>
      </c>
      <c r="F1556">
        <v>3449904</v>
      </c>
      <c r="G1556" s="1">
        <v>217</v>
      </c>
      <c r="H1556" s="2">
        <v>284278</v>
      </c>
      <c r="I1556" t="str">
        <f>VLOOKUP(Tabela2[[#This Row],[PAIS]],'[1]nome do paixs'!$A:$B,2,0)</f>
        <v>Alemanha</v>
      </c>
      <c r="J1556" t="s">
        <v>12</v>
      </c>
    </row>
    <row r="1557" spans="1:10">
      <c r="A1557">
        <v>2022</v>
      </c>
      <c r="B1557">
        <v>3</v>
      </c>
      <c r="C1557">
        <v>8803</v>
      </c>
      <c r="D1557">
        <v>756</v>
      </c>
      <c r="E1557" t="s">
        <v>10</v>
      </c>
      <c r="F1557">
        <v>3449904</v>
      </c>
      <c r="G1557" s="1">
        <v>37</v>
      </c>
      <c r="H1557" s="2">
        <v>38022</v>
      </c>
      <c r="I1557" t="str">
        <f>VLOOKUP(Tabela2[[#This Row],[PAIS]],'[1]nome do paixs'!$A:$B,2,0)</f>
        <v>África do Sul</v>
      </c>
      <c r="J1557" t="s">
        <v>12</v>
      </c>
    </row>
    <row r="1558" spans="1:10">
      <c r="A1558">
        <v>2022</v>
      </c>
      <c r="B1558">
        <v>10</v>
      </c>
      <c r="C1558">
        <v>8807</v>
      </c>
      <c r="D1558">
        <v>464</v>
      </c>
      <c r="E1558" t="s">
        <v>10</v>
      </c>
      <c r="F1558">
        <v>3449904</v>
      </c>
      <c r="G1558" s="1">
        <v>0</v>
      </c>
      <c r="H1558" s="2">
        <v>790</v>
      </c>
      <c r="I1558" t="str">
        <f>VLOOKUP(Tabela2[[#This Row],[PAIS]],'[1]nome do paixs'!$A:$B,2,0)</f>
        <v>Mali</v>
      </c>
      <c r="J1558" t="s">
        <v>12</v>
      </c>
    </row>
    <row r="1559" spans="1:10">
      <c r="A1559">
        <v>2022</v>
      </c>
      <c r="B1559">
        <v>2</v>
      </c>
      <c r="C1559">
        <v>8803</v>
      </c>
      <c r="D1559">
        <v>741</v>
      </c>
      <c r="E1559" t="s">
        <v>10</v>
      </c>
      <c r="F1559">
        <v>3449904</v>
      </c>
      <c r="G1559" s="1">
        <v>12</v>
      </c>
      <c r="H1559" s="2">
        <v>9551</v>
      </c>
      <c r="I1559" t="str">
        <f>VLOOKUP(Tabela2[[#This Row],[PAIS]],'[1]nome do paixs'!$A:$B,2,0)</f>
        <v>Singapura</v>
      </c>
      <c r="J1559" t="s">
        <v>12</v>
      </c>
    </row>
    <row r="1560" spans="1:10">
      <c r="A1560">
        <v>2022</v>
      </c>
      <c r="B1560">
        <v>12</v>
      </c>
      <c r="C1560">
        <v>8807</v>
      </c>
      <c r="D1560">
        <v>399</v>
      </c>
      <c r="E1560" t="s">
        <v>10</v>
      </c>
      <c r="F1560">
        <v>3449904</v>
      </c>
      <c r="G1560" s="1">
        <v>0</v>
      </c>
      <c r="H1560" s="2">
        <v>21885</v>
      </c>
      <c r="I1560" t="str">
        <f>VLOOKUP(Tabela2[[#This Row],[PAIS]],'[1]nome do paixs'!$A:$B,2,0)</f>
        <v>Japão</v>
      </c>
      <c r="J1560" t="s">
        <v>12</v>
      </c>
    </row>
    <row r="1561" spans="1:10">
      <c r="A1561">
        <v>2022</v>
      </c>
      <c r="B1561">
        <v>11</v>
      </c>
      <c r="C1561">
        <v>8807</v>
      </c>
      <c r="D1561">
        <v>23</v>
      </c>
      <c r="E1561" t="s">
        <v>10</v>
      </c>
      <c r="F1561">
        <v>3449904</v>
      </c>
      <c r="G1561" s="1">
        <v>499</v>
      </c>
      <c r="H1561" s="2">
        <v>641998</v>
      </c>
      <c r="I1561" t="str">
        <f>VLOOKUP(Tabela2[[#This Row],[PAIS]],'[1]nome do paixs'!$A:$B,2,0)</f>
        <v>Alemanha</v>
      </c>
      <c r="J1561" t="s">
        <v>12</v>
      </c>
    </row>
    <row r="1562" spans="1:10">
      <c r="A1562">
        <v>2022</v>
      </c>
      <c r="B1562">
        <v>6</v>
      </c>
      <c r="C1562">
        <v>8807</v>
      </c>
      <c r="D1562">
        <v>87</v>
      </c>
      <c r="E1562" t="s">
        <v>10</v>
      </c>
      <c r="F1562">
        <v>3449904</v>
      </c>
      <c r="G1562" s="1">
        <v>7977</v>
      </c>
      <c r="H1562" s="2">
        <v>3706785</v>
      </c>
      <c r="I1562" t="str">
        <f>VLOOKUP(Tabela2[[#This Row],[PAIS]],'[1]nome do paixs'!$A:$B,2,0)</f>
        <v>Bélgica</v>
      </c>
      <c r="J1562" t="s">
        <v>12</v>
      </c>
    </row>
    <row r="1563" spans="1:10">
      <c r="A1563">
        <v>2022</v>
      </c>
      <c r="B1563">
        <v>12</v>
      </c>
      <c r="C1563">
        <v>8807</v>
      </c>
      <c r="D1563">
        <v>628</v>
      </c>
      <c r="E1563" t="s">
        <v>10</v>
      </c>
      <c r="F1563">
        <v>3449904</v>
      </c>
      <c r="G1563" s="1">
        <v>1457</v>
      </c>
      <c r="H1563" s="2">
        <v>502242</v>
      </c>
      <c r="I1563" t="str">
        <f>VLOOKUP(Tabela2[[#This Row],[PAIS]],'[1]nome do paixs'!$A:$B,2,0)</f>
        <v>Reino Unido</v>
      </c>
      <c r="J1563" t="s">
        <v>12</v>
      </c>
    </row>
    <row r="1564" spans="1:10">
      <c r="A1564">
        <v>2022</v>
      </c>
      <c r="B1564">
        <v>2</v>
      </c>
      <c r="C1564">
        <v>8803</v>
      </c>
      <c r="D1564">
        <v>23</v>
      </c>
      <c r="E1564" t="s">
        <v>10</v>
      </c>
      <c r="F1564">
        <v>3449904</v>
      </c>
      <c r="G1564" s="1">
        <v>1198</v>
      </c>
      <c r="H1564" s="2">
        <v>244984</v>
      </c>
      <c r="I1564" t="str">
        <f>VLOOKUP(Tabela2[[#This Row],[PAIS]],'[1]nome do paixs'!$A:$B,2,0)</f>
        <v>Alemanha</v>
      </c>
      <c r="J1564" t="s">
        <v>12</v>
      </c>
    </row>
    <row r="1565" spans="1:10">
      <c r="A1565">
        <v>2022</v>
      </c>
      <c r="B1565">
        <v>7</v>
      </c>
      <c r="C1565">
        <v>8807</v>
      </c>
      <c r="D1565">
        <v>538</v>
      </c>
      <c r="E1565" t="s">
        <v>10</v>
      </c>
      <c r="F1565">
        <v>3449904</v>
      </c>
      <c r="G1565" s="1">
        <v>24</v>
      </c>
      <c r="H1565" s="2">
        <v>55752</v>
      </c>
      <c r="I1565" t="str">
        <f>VLOOKUP(Tabela2[[#This Row],[PAIS]],'[1]nome do paixs'!$A:$B,2,0)</f>
        <v>Noruega</v>
      </c>
      <c r="J1565" t="s">
        <v>12</v>
      </c>
    </row>
    <row r="1566" spans="1:10">
      <c r="A1566">
        <v>2022</v>
      </c>
      <c r="B1566">
        <v>2</v>
      </c>
      <c r="C1566">
        <v>8803</v>
      </c>
      <c r="D1566">
        <v>245</v>
      </c>
      <c r="E1566" t="s">
        <v>10</v>
      </c>
      <c r="F1566">
        <v>3449904</v>
      </c>
      <c r="G1566" s="1">
        <v>3159</v>
      </c>
      <c r="H1566" s="2">
        <v>1276461</v>
      </c>
      <c r="I1566" t="str">
        <f>VLOOKUP(Tabela2[[#This Row],[PAIS]],'[1]nome do paixs'!$A:$B,2,0)</f>
        <v>Espanha</v>
      </c>
      <c r="J1566" t="s">
        <v>12</v>
      </c>
    </row>
    <row r="1567" spans="1:10">
      <c r="A1567">
        <v>2022</v>
      </c>
      <c r="B1567">
        <v>9</v>
      </c>
      <c r="C1567">
        <v>8807</v>
      </c>
      <c r="D1567">
        <v>603</v>
      </c>
      <c r="E1567" t="s">
        <v>10</v>
      </c>
      <c r="F1567">
        <v>3449904</v>
      </c>
      <c r="G1567" s="1">
        <v>0</v>
      </c>
      <c r="H1567" s="2">
        <v>3938</v>
      </c>
      <c r="I1567" t="str">
        <f>VLOOKUP(Tabela2[[#This Row],[PAIS]],'[1]nome do paixs'!$A:$B,2,0)</f>
        <v>Polônia</v>
      </c>
      <c r="J1567" t="s">
        <v>12</v>
      </c>
    </row>
    <row r="1568" spans="1:10">
      <c r="A1568">
        <v>2022</v>
      </c>
      <c r="B1568">
        <v>10</v>
      </c>
      <c r="C1568">
        <v>8807</v>
      </c>
      <c r="D1568">
        <v>31</v>
      </c>
      <c r="E1568" t="s">
        <v>10</v>
      </c>
      <c r="F1568">
        <v>3449904</v>
      </c>
      <c r="G1568" s="1">
        <v>0</v>
      </c>
      <c r="H1568" s="2">
        <v>3090</v>
      </c>
      <c r="I1568" t="str">
        <f>VLOOKUP(Tabela2[[#This Row],[PAIS]],'[1]nome do paixs'!$A:$B,2,0)</f>
        <v>Burkina Faso</v>
      </c>
      <c r="J1568" t="s">
        <v>12</v>
      </c>
    </row>
    <row r="1569" spans="1:10">
      <c r="A1569">
        <v>2022</v>
      </c>
      <c r="B1569">
        <v>11</v>
      </c>
      <c r="C1569">
        <v>8807</v>
      </c>
      <c r="D1569">
        <v>244</v>
      </c>
      <c r="E1569" t="s">
        <v>10</v>
      </c>
      <c r="F1569">
        <v>3449904</v>
      </c>
      <c r="G1569" s="1">
        <v>40</v>
      </c>
      <c r="H1569" s="2">
        <v>1581</v>
      </c>
      <c r="I1569" t="str">
        <f>VLOOKUP(Tabela2[[#This Row],[PAIS]],'[1]nome do paixs'!$A:$B,2,0)</f>
        <v>Emirados Árabes Unidos</v>
      </c>
      <c r="J1569" t="s">
        <v>12</v>
      </c>
    </row>
    <row r="1570" spans="1:10">
      <c r="A1570">
        <v>2022</v>
      </c>
      <c r="B1570">
        <v>5</v>
      </c>
      <c r="C1570">
        <v>8807</v>
      </c>
      <c r="D1570">
        <v>455</v>
      </c>
      <c r="E1570" t="s">
        <v>10</v>
      </c>
      <c r="F1570">
        <v>3449904</v>
      </c>
      <c r="G1570" s="1">
        <v>1</v>
      </c>
      <c r="H1570" s="2">
        <v>309</v>
      </c>
      <c r="I1570" t="str">
        <f>VLOOKUP(Tabela2[[#This Row],[PAIS]],'[1]nome do paixs'!$A:$B,2,0)</f>
        <v>Malásia</v>
      </c>
      <c r="J1570" t="s">
        <v>12</v>
      </c>
    </row>
    <row r="1571" spans="1:10">
      <c r="A1571">
        <v>2022</v>
      </c>
      <c r="B1571">
        <v>8</v>
      </c>
      <c r="C1571">
        <v>8807</v>
      </c>
      <c r="D1571">
        <v>628</v>
      </c>
      <c r="E1571" t="s">
        <v>10</v>
      </c>
      <c r="F1571">
        <v>3449904</v>
      </c>
      <c r="G1571" s="1">
        <v>31</v>
      </c>
      <c r="H1571" s="2">
        <v>8359</v>
      </c>
      <c r="I1571" t="str">
        <f>VLOOKUP(Tabela2[[#This Row],[PAIS]],'[1]nome do paixs'!$A:$B,2,0)</f>
        <v>Reino Unido</v>
      </c>
      <c r="J1571" t="s">
        <v>12</v>
      </c>
    </row>
    <row r="1572" spans="1:10">
      <c r="A1572">
        <v>2022</v>
      </c>
      <c r="B1572">
        <v>11</v>
      </c>
      <c r="C1572">
        <v>8807</v>
      </c>
      <c r="D1572">
        <v>245</v>
      </c>
      <c r="E1572" t="s">
        <v>10</v>
      </c>
      <c r="F1572">
        <v>3449904</v>
      </c>
      <c r="G1572" s="1">
        <v>7483</v>
      </c>
      <c r="H1572" s="2">
        <v>3253730</v>
      </c>
      <c r="I1572" t="str">
        <f>VLOOKUP(Tabela2[[#This Row],[PAIS]],'[1]nome do paixs'!$A:$B,2,0)</f>
        <v>Espanha</v>
      </c>
      <c r="J1572" t="s">
        <v>12</v>
      </c>
    </row>
    <row r="1573" spans="1:10">
      <c r="A1573">
        <v>2022</v>
      </c>
      <c r="B1573">
        <v>4</v>
      </c>
      <c r="C1573">
        <v>8807</v>
      </c>
      <c r="D1573">
        <v>87</v>
      </c>
      <c r="E1573" t="s">
        <v>10</v>
      </c>
      <c r="F1573">
        <v>3449904</v>
      </c>
      <c r="G1573" s="1">
        <v>5137</v>
      </c>
      <c r="H1573" s="2">
        <v>2444504</v>
      </c>
      <c r="I1573" t="str">
        <f>VLOOKUP(Tabela2[[#This Row],[PAIS]],'[1]nome do paixs'!$A:$B,2,0)</f>
        <v>Bélgica</v>
      </c>
      <c r="J1573" t="s">
        <v>12</v>
      </c>
    </row>
    <row r="1574" spans="1:10">
      <c r="A1574">
        <v>2022</v>
      </c>
      <c r="B1574">
        <v>5</v>
      </c>
      <c r="C1574">
        <v>8807</v>
      </c>
      <c r="D1574">
        <v>275</v>
      </c>
      <c r="E1574" t="s">
        <v>10</v>
      </c>
      <c r="F1574">
        <v>3449904</v>
      </c>
      <c r="G1574" s="1">
        <v>184</v>
      </c>
      <c r="H1574" s="2">
        <v>217688</v>
      </c>
      <c r="I1574" t="str">
        <f>VLOOKUP(Tabela2[[#This Row],[PAIS]],'[1]nome do paixs'!$A:$B,2,0)</f>
        <v>França</v>
      </c>
      <c r="J1574" t="s">
        <v>12</v>
      </c>
    </row>
    <row r="1575" spans="1:10">
      <c r="A1575">
        <v>2022</v>
      </c>
      <c r="B1575">
        <v>8</v>
      </c>
      <c r="C1575">
        <v>8807</v>
      </c>
      <c r="D1575">
        <v>275</v>
      </c>
      <c r="E1575" t="s">
        <v>10</v>
      </c>
      <c r="F1575">
        <v>3449904</v>
      </c>
      <c r="G1575" s="1">
        <v>161</v>
      </c>
      <c r="H1575" s="2">
        <v>130471</v>
      </c>
      <c r="I1575" t="str">
        <f>VLOOKUP(Tabela2[[#This Row],[PAIS]],'[1]nome do paixs'!$A:$B,2,0)</f>
        <v>França</v>
      </c>
      <c r="J1575" t="s">
        <v>12</v>
      </c>
    </row>
    <row r="1576" spans="1:10">
      <c r="A1576">
        <v>2022</v>
      </c>
      <c r="B1576">
        <v>6</v>
      </c>
      <c r="C1576">
        <v>8807</v>
      </c>
      <c r="D1576">
        <v>607</v>
      </c>
      <c r="E1576" t="s">
        <v>10</v>
      </c>
      <c r="F1576">
        <v>3449904</v>
      </c>
      <c r="G1576" s="1">
        <v>36</v>
      </c>
      <c r="H1576" s="2">
        <v>65217</v>
      </c>
      <c r="I1576" t="str">
        <f>VLOOKUP(Tabela2[[#This Row],[PAIS]],'[1]nome do paixs'!$A:$B,2,0)</f>
        <v>Portugal</v>
      </c>
      <c r="J1576" t="s">
        <v>12</v>
      </c>
    </row>
    <row r="1577" spans="1:10">
      <c r="A1577">
        <v>2022</v>
      </c>
      <c r="B1577">
        <v>7</v>
      </c>
      <c r="C1577">
        <v>8807</v>
      </c>
      <c r="D1577">
        <v>399</v>
      </c>
      <c r="E1577" t="s">
        <v>10</v>
      </c>
      <c r="F1577">
        <v>3449904</v>
      </c>
      <c r="G1577" s="1">
        <v>0</v>
      </c>
      <c r="H1577" s="2">
        <v>2571</v>
      </c>
      <c r="I1577" t="str">
        <f>VLOOKUP(Tabela2[[#This Row],[PAIS]],'[1]nome do paixs'!$A:$B,2,0)</f>
        <v>Japão</v>
      </c>
      <c r="J1577" t="s">
        <v>12</v>
      </c>
    </row>
    <row r="1578" spans="1:10">
      <c r="A1578">
        <v>2022</v>
      </c>
      <c r="B1578">
        <v>12</v>
      </c>
      <c r="C1578">
        <v>8807</v>
      </c>
      <c r="D1578">
        <v>607</v>
      </c>
      <c r="E1578" t="s">
        <v>10</v>
      </c>
      <c r="F1578">
        <v>3449904</v>
      </c>
      <c r="G1578" s="1">
        <v>9</v>
      </c>
      <c r="H1578" s="2">
        <v>16572</v>
      </c>
      <c r="I1578" t="str">
        <f>VLOOKUP(Tabela2[[#This Row],[PAIS]],'[1]nome do paixs'!$A:$B,2,0)</f>
        <v>Portugal</v>
      </c>
      <c r="J1578" t="s">
        <v>12</v>
      </c>
    </row>
    <row r="1579" spans="1:10">
      <c r="A1579">
        <v>2022</v>
      </c>
      <c r="B1579">
        <v>1</v>
      </c>
      <c r="C1579">
        <v>8803</v>
      </c>
      <c r="D1579">
        <v>23</v>
      </c>
      <c r="E1579" t="s">
        <v>10</v>
      </c>
      <c r="F1579">
        <v>3449904</v>
      </c>
      <c r="G1579" s="1">
        <v>169</v>
      </c>
      <c r="H1579" s="2">
        <v>155334</v>
      </c>
      <c r="I1579" t="str">
        <f>VLOOKUP(Tabela2[[#This Row],[PAIS]],'[1]nome do paixs'!$A:$B,2,0)</f>
        <v>Alemanha</v>
      </c>
      <c r="J1579" t="s">
        <v>12</v>
      </c>
    </row>
    <row r="1580" spans="1:10">
      <c r="A1580">
        <v>2022</v>
      </c>
      <c r="B1580">
        <v>8</v>
      </c>
      <c r="C1580">
        <v>8807</v>
      </c>
      <c r="D1580">
        <v>399</v>
      </c>
      <c r="E1580" t="s">
        <v>10</v>
      </c>
      <c r="F1580">
        <v>3449904</v>
      </c>
      <c r="G1580" s="1">
        <v>0</v>
      </c>
      <c r="H1580" s="2">
        <v>15555</v>
      </c>
      <c r="I1580" t="str">
        <f>VLOOKUP(Tabela2[[#This Row],[PAIS]],'[1]nome do paixs'!$A:$B,2,0)</f>
        <v>Japão</v>
      </c>
      <c r="J1580" t="s">
        <v>12</v>
      </c>
    </row>
    <row r="1581" spans="1:10">
      <c r="A1581">
        <v>2022</v>
      </c>
      <c r="B1581">
        <v>5</v>
      </c>
      <c r="C1581">
        <v>8807</v>
      </c>
      <c r="D1581">
        <v>386</v>
      </c>
      <c r="E1581" t="s">
        <v>10</v>
      </c>
      <c r="F1581">
        <v>3449904</v>
      </c>
      <c r="G1581" s="1">
        <v>525</v>
      </c>
      <c r="H1581" s="2">
        <v>223599</v>
      </c>
      <c r="I1581" t="str">
        <f>VLOOKUP(Tabela2[[#This Row],[PAIS]],'[1]nome do paixs'!$A:$B,2,0)</f>
        <v>Itália</v>
      </c>
      <c r="J1581" t="s">
        <v>12</v>
      </c>
    </row>
    <row r="1582" spans="1:10">
      <c r="A1582">
        <v>2022</v>
      </c>
      <c r="B1582">
        <v>8</v>
      </c>
      <c r="C1582">
        <v>8807</v>
      </c>
      <c r="D1582">
        <v>756</v>
      </c>
      <c r="E1582" t="s">
        <v>10</v>
      </c>
      <c r="F1582">
        <v>3449904</v>
      </c>
      <c r="G1582" s="1">
        <v>6</v>
      </c>
      <c r="H1582" s="2">
        <v>2281</v>
      </c>
      <c r="I1582" t="str">
        <f>VLOOKUP(Tabela2[[#This Row],[PAIS]],'[1]nome do paixs'!$A:$B,2,0)</f>
        <v>África do Sul</v>
      </c>
      <c r="J1582" t="s">
        <v>12</v>
      </c>
    </row>
    <row r="1583" spans="1:10">
      <c r="A1583">
        <v>2022</v>
      </c>
      <c r="B1583">
        <v>7</v>
      </c>
      <c r="C1583">
        <v>8807</v>
      </c>
      <c r="D1583">
        <v>628</v>
      </c>
      <c r="E1583" t="s">
        <v>10</v>
      </c>
      <c r="F1583">
        <v>3449904</v>
      </c>
      <c r="G1583" s="1">
        <v>1281</v>
      </c>
      <c r="H1583" s="2">
        <v>511883</v>
      </c>
      <c r="I1583" t="str">
        <f>VLOOKUP(Tabela2[[#This Row],[PAIS]],'[1]nome do paixs'!$A:$B,2,0)</f>
        <v>Reino Unido</v>
      </c>
      <c r="J1583" t="s">
        <v>12</v>
      </c>
    </row>
    <row r="1584" spans="1:10">
      <c r="A1584">
        <v>2022</v>
      </c>
      <c r="B1584">
        <v>3</v>
      </c>
      <c r="C1584">
        <v>8803</v>
      </c>
      <c r="D1584">
        <v>399</v>
      </c>
      <c r="E1584" t="s">
        <v>10</v>
      </c>
      <c r="F1584">
        <v>3449904</v>
      </c>
      <c r="G1584" s="1">
        <v>0</v>
      </c>
      <c r="H1584" s="2">
        <v>2754</v>
      </c>
      <c r="I1584" t="str">
        <f>VLOOKUP(Tabela2[[#This Row],[PAIS]],'[1]nome do paixs'!$A:$B,2,0)</f>
        <v>Japão</v>
      </c>
      <c r="J1584" t="s">
        <v>12</v>
      </c>
    </row>
    <row r="1585" spans="1:10">
      <c r="A1585">
        <v>2022</v>
      </c>
      <c r="B1585">
        <v>5</v>
      </c>
      <c r="C1585">
        <v>8807</v>
      </c>
      <c r="D1585">
        <v>399</v>
      </c>
      <c r="E1585" t="s">
        <v>10</v>
      </c>
      <c r="F1585">
        <v>3449904</v>
      </c>
      <c r="G1585" s="1">
        <v>6</v>
      </c>
      <c r="H1585" s="2">
        <v>7778</v>
      </c>
      <c r="I1585" t="str">
        <f>VLOOKUP(Tabela2[[#This Row],[PAIS]],'[1]nome do paixs'!$A:$B,2,0)</f>
        <v>Japão</v>
      </c>
      <c r="J1585" t="s">
        <v>12</v>
      </c>
    </row>
    <row r="1586" spans="1:10">
      <c r="A1586">
        <v>2022</v>
      </c>
      <c r="B1586">
        <v>9</v>
      </c>
      <c r="C1586">
        <v>8807</v>
      </c>
      <c r="D1586">
        <v>69</v>
      </c>
      <c r="E1586" t="s">
        <v>10</v>
      </c>
      <c r="F1586">
        <v>3449904</v>
      </c>
      <c r="G1586" s="1">
        <v>0</v>
      </c>
      <c r="H1586" s="2">
        <v>1714</v>
      </c>
      <c r="I1586" t="str">
        <f>VLOOKUP(Tabela2[[#This Row],[PAIS]],'[1]nome do paixs'!$A:$B,2,0)</f>
        <v>Austrália</v>
      </c>
      <c r="J1586" t="s">
        <v>12</v>
      </c>
    </row>
    <row r="1587" spans="1:10">
      <c r="A1587">
        <v>2022</v>
      </c>
      <c r="B1587">
        <v>10</v>
      </c>
      <c r="C1587">
        <v>8807</v>
      </c>
      <c r="D1587">
        <v>607</v>
      </c>
      <c r="E1587" t="s">
        <v>10</v>
      </c>
      <c r="F1587">
        <v>3449904</v>
      </c>
      <c r="G1587" s="1">
        <v>14</v>
      </c>
      <c r="H1587" s="2">
        <v>48521</v>
      </c>
      <c r="I1587" t="str">
        <f>VLOOKUP(Tabela2[[#This Row],[PAIS]],'[1]nome do paixs'!$A:$B,2,0)</f>
        <v>Portugal</v>
      </c>
      <c r="J1587" t="s">
        <v>12</v>
      </c>
    </row>
    <row r="1588" spans="1:10">
      <c r="A1588">
        <v>2022</v>
      </c>
      <c r="B1588">
        <v>7</v>
      </c>
      <c r="C1588">
        <v>8807</v>
      </c>
      <c r="D1588">
        <v>275</v>
      </c>
      <c r="E1588" t="s">
        <v>10</v>
      </c>
      <c r="F1588">
        <v>3449904</v>
      </c>
      <c r="G1588" s="1">
        <v>135</v>
      </c>
      <c r="H1588" s="2">
        <v>135885</v>
      </c>
      <c r="I1588" t="str">
        <f>VLOOKUP(Tabela2[[#This Row],[PAIS]],'[1]nome do paixs'!$A:$B,2,0)</f>
        <v>França</v>
      </c>
      <c r="J1588" t="s">
        <v>12</v>
      </c>
    </row>
    <row r="1589" spans="1:10">
      <c r="A1589">
        <v>2022</v>
      </c>
      <c r="B1589">
        <v>10</v>
      </c>
      <c r="C1589">
        <v>8807</v>
      </c>
      <c r="D1589">
        <v>249</v>
      </c>
      <c r="E1589" t="s">
        <v>10</v>
      </c>
      <c r="F1589">
        <v>3449904</v>
      </c>
      <c r="G1589" s="1">
        <v>6849</v>
      </c>
      <c r="H1589" s="2">
        <v>4303606</v>
      </c>
      <c r="I1589" t="str">
        <f>VLOOKUP(Tabela2[[#This Row],[PAIS]],'[1]nome do paixs'!$A:$B,2,0)</f>
        <v>Estados Unidos</v>
      </c>
      <c r="J1589" t="s">
        <v>12</v>
      </c>
    </row>
    <row r="1590" spans="1:10">
      <c r="A1590">
        <v>2022</v>
      </c>
      <c r="B1590">
        <v>4</v>
      </c>
      <c r="C1590">
        <v>8807</v>
      </c>
      <c r="D1590">
        <v>158</v>
      </c>
      <c r="E1590" t="s">
        <v>10</v>
      </c>
      <c r="F1590">
        <v>3449904</v>
      </c>
      <c r="G1590" s="1">
        <v>0</v>
      </c>
      <c r="H1590" s="2">
        <v>299</v>
      </c>
      <c r="I1590" t="str">
        <f>VLOOKUP(Tabela2[[#This Row],[PAIS]],'[1]nome do paixs'!$A:$B,2,0)</f>
        <v>Chile</v>
      </c>
      <c r="J1590" t="s">
        <v>12</v>
      </c>
    </row>
    <row r="1591" spans="1:10">
      <c r="A1591">
        <v>2022</v>
      </c>
      <c r="B1591">
        <v>9</v>
      </c>
      <c r="C1591">
        <v>8807</v>
      </c>
      <c r="D1591">
        <v>249</v>
      </c>
      <c r="E1591" t="s">
        <v>10</v>
      </c>
      <c r="F1591">
        <v>3449904</v>
      </c>
      <c r="G1591" s="1">
        <v>4133</v>
      </c>
      <c r="H1591" s="2">
        <v>2563957</v>
      </c>
      <c r="I1591" t="str">
        <f>VLOOKUP(Tabela2[[#This Row],[PAIS]],'[1]nome do paixs'!$A:$B,2,0)</f>
        <v>Estados Unidos</v>
      </c>
      <c r="J1591" t="s">
        <v>12</v>
      </c>
    </row>
    <row r="1592" spans="1:10">
      <c r="A1592">
        <v>2022</v>
      </c>
      <c r="B1592">
        <v>11</v>
      </c>
      <c r="C1592">
        <v>8807</v>
      </c>
      <c r="D1592">
        <v>628</v>
      </c>
      <c r="E1592" t="s">
        <v>10</v>
      </c>
      <c r="F1592">
        <v>3449904</v>
      </c>
      <c r="G1592" s="1">
        <v>805</v>
      </c>
      <c r="H1592" s="2">
        <v>340178</v>
      </c>
      <c r="I1592" t="str">
        <f>VLOOKUP(Tabela2[[#This Row],[PAIS]],'[1]nome do paixs'!$A:$B,2,0)</f>
        <v>Reino Unido</v>
      </c>
      <c r="J1592" t="s">
        <v>12</v>
      </c>
    </row>
    <row r="1593" spans="1:10">
      <c r="A1593">
        <v>2022</v>
      </c>
      <c r="B1593">
        <v>2</v>
      </c>
      <c r="C1593">
        <v>8803</v>
      </c>
      <c r="D1593">
        <v>158</v>
      </c>
      <c r="E1593" t="s">
        <v>10</v>
      </c>
      <c r="F1593">
        <v>3449904</v>
      </c>
      <c r="G1593" s="1">
        <v>30</v>
      </c>
      <c r="H1593" s="2">
        <v>29108</v>
      </c>
      <c r="I1593" t="str">
        <f>VLOOKUP(Tabela2[[#This Row],[PAIS]],'[1]nome do paixs'!$A:$B,2,0)</f>
        <v>Chile</v>
      </c>
      <c r="J1593" t="s">
        <v>12</v>
      </c>
    </row>
    <row r="1594" spans="1:10">
      <c r="A1594">
        <v>2022</v>
      </c>
      <c r="B1594">
        <v>6</v>
      </c>
      <c r="C1594">
        <v>8807</v>
      </c>
      <c r="D1594">
        <v>23</v>
      </c>
      <c r="E1594" t="s">
        <v>10</v>
      </c>
      <c r="F1594">
        <v>3449904</v>
      </c>
      <c r="G1594" s="1">
        <v>727</v>
      </c>
      <c r="H1594" s="2">
        <v>643041</v>
      </c>
      <c r="I1594" t="str">
        <f>VLOOKUP(Tabela2[[#This Row],[PAIS]],'[1]nome do paixs'!$A:$B,2,0)</f>
        <v>Alemanha</v>
      </c>
      <c r="J1594" t="s">
        <v>12</v>
      </c>
    </row>
    <row r="1595" spans="1:10">
      <c r="A1595">
        <v>2022</v>
      </c>
      <c r="B1595">
        <v>2</v>
      </c>
      <c r="C1595">
        <v>8803</v>
      </c>
      <c r="D1595">
        <v>249</v>
      </c>
      <c r="E1595" t="s">
        <v>10</v>
      </c>
      <c r="F1595">
        <v>3449904</v>
      </c>
      <c r="G1595" s="1">
        <v>3948</v>
      </c>
      <c r="H1595" s="2">
        <v>2565786</v>
      </c>
      <c r="I1595" t="str">
        <f>VLOOKUP(Tabela2[[#This Row],[PAIS]],'[1]nome do paixs'!$A:$B,2,0)</f>
        <v>Estados Unidos</v>
      </c>
      <c r="J1595" t="s">
        <v>12</v>
      </c>
    </row>
    <row r="1596" spans="1:10">
      <c r="A1596">
        <v>2022</v>
      </c>
      <c r="B1596">
        <v>8</v>
      </c>
      <c r="C1596">
        <v>8807</v>
      </c>
      <c r="D1596">
        <v>573</v>
      </c>
      <c r="E1596" t="s">
        <v>10</v>
      </c>
      <c r="F1596">
        <v>3449904</v>
      </c>
      <c r="G1596" s="1">
        <v>16</v>
      </c>
      <c r="H1596" s="2">
        <v>20942</v>
      </c>
      <c r="I1596" t="str">
        <f>VLOOKUP(Tabela2[[#This Row],[PAIS]],'[1]nome do paixs'!$A:$B,2,0)</f>
        <v>Países Baixos (Holanda)</v>
      </c>
      <c r="J1596" t="s">
        <v>12</v>
      </c>
    </row>
    <row r="1597" spans="1:10">
      <c r="A1597">
        <v>2022</v>
      </c>
      <c r="B1597">
        <v>2</v>
      </c>
      <c r="C1597">
        <v>8803</v>
      </c>
      <c r="D1597">
        <v>63</v>
      </c>
      <c r="E1597" t="s">
        <v>10</v>
      </c>
      <c r="F1597">
        <v>3449904</v>
      </c>
      <c r="G1597" s="1">
        <v>54</v>
      </c>
      <c r="H1597" s="2">
        <v>310211</v>
      </c>
      <c r="I1597" t="str">
        <f>VLOOKUP(Tabela2[[#This Row],[PAIS]],'[1]nome do paixs'!$A:$B,2,0)</f>
        <v>Argentina</v>
      </c>
      <c r="J1597" t="s">
        <v>12</v>
      </c>
    </row>
    <row r="1598" spans="1:10">
      <c r="A1598">
        <v>2022</v>
      </c>
      <c r="B1598">
        <v>1</v>
      </c>
      <c r="C1598">
        <v>8803</v>
      </c>
      <c r="D1598">
        <v>245</v>
      </c>
      <c r="E1598" t="s">
        <v>10</v>
      </c>
      <c r="F1598">
        <v>3449904</v>
      </c>
      <c r="G1598" s="1">
        <v>2749</v>
      </c>
      <c r="H1598" s="2">
        <v>1366879</v>
      </c>
      <c r="I1598" t="str">
        <f>VLOOKUP(Tabela2[[#This Row],[PAIS]],'[1]nome do paixs'!$A:$B,2,0)</f>
        <v>Espanha</v>
      </c>
      <c r="J1598" t="s">
        <v>12</v>
      </c>
    </row>
    <row r="1599" spans="1:10">
      <c r="A1599">
        <v>2022</v>
      </c>
      <c r="B1599">
        <v>8</v>
      </c>
      <c r="C1599">
        <v>8807</v>
      </c>
      <c r="D1599">
        <v>87</v>
      </c>
      <c r="E1599" t="s">
        <v>10</v>
      </c>
      <c r="F1599">
        <v>3449904</v>
      </c>
      <c r="G1599" s="1">
        <v>9875</v>
      </c>
      <c r="H1599" s="2">
        <v>4957513</v>
      </c>
      <c r="I1599" t="str">
        <f>VLOOKUP(Tabela2[[#This Row],[PAIS]],'[1]nome do paixs'!$A:$B,2,0)</f>
        <v>Bélgica</v>
      </c>
      <c r="J1599" t="s">
        <v>12</v>
      </c>
    </row>
    <row r="1600" spans="1:10">
      <c r="A1600">
        <v>2022</v>
      </c>
      <c r="B1600">
        <v>1</v>
      </c>
      <c r="C1600">
        <v>8803</v>
      </c>
      <c r="D1600">
        <v>275</v>
      </c>
      <c r="E1600" t="s">
        <v>10</v>
      </c>
      <c r="F1600">
        <v>3449904</v>
      </c>
      <c r="G1600" s="1">
        <v>5</v>
      </c>
      <c r="H1600" s="2">
        <v>12310</v>
      </c>
      <c r="I1600" t="str">
        <f>VLOOKUP(Tabela2[[#This Row],[PAIS]],'[1]nome do paixs'!$A:$B,2,0)</f>
        <v>França</v>
      </c>
      <c r="J1600" t="s">
        <v>12</v>
      </c>
    </row>
    <row r="1601" spans="1:10">
      <c r="A1601">
        <v>2022</v>
      </c>
      <c r="B1601">
        <v>3</v>
      </c>
      <c r="C1601">
        <v>8803</v>
      </c>
      <c r="D1601">
        <v>493</v>
      </c>
      <c r="E1601" t="s">
        <v>10</v>
      </c>
      <c r="F1601">
        <v>3449904</v>
      </c>
      <c r="G1601" s="1">
        <v>10</v>
      </c>
      <c r="H1601" s="2">
        <v>13261</v>
      </c>
      <c r="I1601" t="str">
        <f>VLOOKUP(Tabela2[[#This Row],[PAIS]],'[1]nome do paixs'!$A:$B,2,0)</f>
        <v>México</v>
      </c>
      <c r="J1601" t="s">
        <v>12</v>
      </c>
    </row>
    <row r="1602" spans="1:10">
      <c r="A1602">
        <v>2022</v>
      </c>
      <c r="B1602">
        <v>3</v>
      </c>
      <c r="C1602">
        <v>8803</v>
      </c>
      <c r="D1602">
        <v>386</v>
      </c>
      <c r="E1602" t="s">
        <v>10</v>
      </c>
      <c r="F1602">
        <v>3449904</v>
      </c>
      <c r="G1602" s="1">
        <v>731</v>
      </c>
      <c r="H1602" s="2">
        <v>302108</v>
      </c>
      <c r="I1602" t="str">
        <f>VLOOKUP(Tabela2[[#This Row],[PAIS]],'[1]nome do paixs'!$A:$B,2,0)</f>
        <v>Itália</v>
      </c>
      <c r="J1602" t="s">
        <v>12</v>
      </c>
    </row>
    <row r="1603" spans="1:10">
      <c r="A1603">
        <v>2022</v>
      </c>
      <c r="B1603">
        <v>7</v>
      </c>
      <c r="C1603">
        <v>8807</v>
      </c>
      <c r="D1603">
        <v>623</v>
      </c>
      <c r="E1603" t="s">
        <v>10</v>
      </c>
      <c r="F1603">
        <v>3449904</v>
      </c>
      <c r="G1603" s="1">
        <v>0</v>
      </c>
      <c r="H1603" s="2">
        <v>2077</v>
      </c>
      <c r="I1603" t="str">
        <f>VLOOKUP(Tabela2[[#This Row],[PAIS]],'[1]nome do paixs'!$A:$B,2,0)</f>
        <v>Quênia</v>
      </c>
      <c r="J1603" t="s">
        <v>12</v>
      </c>
    </row>
    <row r="1604" spans="1:10">
      <c r="A1604">
        <v>2022</v>
      </c>
      <c r="B1604">
        <v>12</v>
      </c>
      <c r="C1604">
        <v>8807</v>
      </c>
      <c r="D1604">
        <v>245</v>
      </c>
      <c r="E1604" t="s">
        <v>10</v>
      </c>
      <c r="F1604">
        <v>3449904</v>
      </c>
      <c r="G1604" s="1">
        <v>6299</v>
      </c>
      <c r="H1604" s="2">
        <v>2976559</v>
      </c>
      <c r="I1604" t="str">
        <f>VLOOKUP(Tabela2[[#This Row],[PAIS]],'[1]nome do paixs'!$A:$B,2,0)</f>
        <v>Espanha</v>
      </c>
      <c r="J1604" t="s">
        <v>12</v>
      </c>
    </row>
    <row r="1605" spans="1:10">
      <c r="A1605">
        <v>2022</v>
      </c>
      <c r="B1605">
        <v>9</v>
      </c>
      <c r="C1605">
        <v>8807</v>
      </c>
      <c r="D1605">
        <v>301</v>
      </c>
      <c r="E1605" t="s">
        <v>10</v>
      </c>
      <c r="F1605">
        <v>3449904</v>
      </c>
      <c r="G1605" s="1">
        <v>0</v>
      </c>
      <c r="H1605" s="2">
        <v>277</v>
      </c>
      <c r="I1605" t="str">
        <f>VLOOKUP(Tabela2[[#This Row],[PAIS]],'[1]nome do paixs'!$A:$B,2,0)</f>
        <v>Grécia</v>
      </c>
      <c r="J1605" t="s">
        <v>12</v>
      </c>
    </row>
    <row r="1606" spans="1:10">
      <c r="A1606">
        <v>2022</v>
      </c>
      <c r="B1606">
        <v>8</v>
      </c>
      <c r="C1606">
        <v>8807</v>
      </c>
      <c r="D1606">
        <v>603</v>
      </c>
      <c r="E1606" t="s">
        <v>10</v>
      </c>
      <c r="F1606">
        <v>3449904</v>
      </c>
      <c r="G1606" s="1">
        <v>0</v>
      </c>
      <c r="H1606" s="2">
        <v>316</v>
      </c>
      <c r="I1606" t="str">
        <f>VLOOKUP(Tabela2[[#This Row],[PAIS]],'[1]nome do paixs'!$A:$B,2,0)</f>
        <v>Polônia</v>
      </c>
      <c r="J1606" t="s">
        <v>12</v>
      </c>
    </row>
    <row r="1607" spans="1:10">
      <c r="A1607">
        <v>2022</v>
      </c>
      <c r="B1607">
        <v>12</v>
      </c>
      <c r="C1607">
        <v>8807</v>
      </c>
      <c r="D1607">
        <v>824</v>
      </c>
      <c r="E1607" t="s">
        <v>10</v>
      </c>
      <c r="F1607">
        <v>3449904</v>
      </c>
      <c r="G1607" s="1">
        <v>2</v>
      </c>
      <c r="H1607" s="2">
        <v>8154</v>
      </c>
      <c r="I1607" t="str">
        <f>VLOOKUP(Tabela2[[#This Row],[PAIS]],'[1]nome do paixs'!$A:$B,2,0)</f>
        <v>Turcomenistão</v>
      </c>
      <c r="J1607" t="s">
        <v>12</v>
      </c>
    </row>
    <row r="1608" spans="1:10">
      <c r="A1608">
        <v>2022</v>
      </c>
      <c r="B1608">
        <v>3</v>
      </c>
      <c r="C1608">
        <v>8803</v>
      </c>
      <c r="D1608">
        <v>824</v>
      </c>
      <c r="E1608" t="s">
        <v>10</v>
      </c>
      <c r="F1608">
        <v>3449904</v>
      </c>
      <c r="G1608" s="1">
        <v>0</v>
      </c>
      <c r="H1608" s="2">
        <v>29989</v>
      </c>
      <c r="I1608" t="str">
        <f>VLOOKUP(Tabela2[[#This Row],[PAIS]],'[1]nome do paixs'!$A:$B,2,0)</f>
        <v>Turcomenistão</v>
      </c>
      <c r="J1608" t="s">
        <v>12</v>
      </c>
    </row>
    <row r="1609" spans="1:10">
      <c r="A1609">
        <v>2022</v>
      </c>
      <c r="B1609">
        <v>2</v>
      </c>
      <c r="C1609">
        <v>8803</v>
      </c>
      <c r="D1609">
        <v>275</v>
      </c>
      <c r="E1609" t="s">
        <v>10</v>
      </c>
      <c r="F1609">
        <v>3449904</v>
      </c>
      <c r="G1609" s="1">
        <v>286</v>
      </c>
      <c r="H1609" s="2">
        <v>628381</v>
      </c>
      <c r="I1609" t="str">
        <f>VLOOKUP(Tabela2[[#This Row],[PAIS]],'[1]nome do paixs'!$A:$B,2,0)</f>
        <v>França</v>
      </c>
      <c r="J1609" t="s">
        <v>12</v>
      </c>
    </row>
    <row r="1610" spans="1:10">
      <c r="A1610">
        <v>2022</v>
      </c>
      <c r="B1610">
        <v>2</v>
      </c>
      <c r="C1610">
        <v>8803</v>
      </c>
      <c r="D1610">
        <v>244</v>
      </c>
      <c r="E1610" t="s">
        <v>10</v>
      </c>
      <c r="F1610">
        <v>3449904</v>
      </c>
      <c r="G1610" s="1">
        <v>36</v>
      </c>
      <c r="H1610" s="2">
        <v>4325</v>
      </c>
      <c r="I1610" t="str">
        <f>VLOOKUP(Tabela2[[#This Row],[PAIS]],'[1]nome do paixs'!$A:$B,2,0)</f>
        <v>Emirados Árabes Unidos</v>
      </c>
      <c r="J1610" t="s">
        <v>12</v>
      </c>
    </row>
    <row r="1611" spans="1:10">
      <c r="A1611">
        <v>2022</v>
      </c>
      <c r="B1611">
        <v>12</v>
      </c>
      <c r="C1611">
        <v>8807</v>
      </c>
      <c r="D1611">
        <v>442</v>
      </c>
      <c r="E1611" t="s">
        <v>10</v>
      </c>
      <c r="F1611">
        <v>3449904</v>
      </c>
      <c r="G1611" s="1">
        <v>1</v>
      </c>
      <c r="H1611" s="2">
        <v>2622</v>
      </c>
      <c r="I1611" t="str">
        <f>VLOOKUP(Tabela2[[#This Row],[PAIS]],'[1]nome do paixs'!$A:$B,2,0)</f>
        <v>Lituânia</v>
      </c>
      <c r="J1611" t="s">
        <v>12</v>
      </c>
    </row>
    <row r="1612" spans="1:10">
      <c r="A1612">
        <v>2022</v>
      </c>
      <c r="B1612">
        <v>9</v>
      </c>
      <c r="C1612">
        <v>8807</v>
      </c>
      <c r="D1612">
        <v>275</v>
      </c>
      <c r="E1612" t="s">
        <v>10</v>
      </c>
      <c r="F1612">
        <v>3449904</v>
      </c>
      <c r="G1612" s="1">
        <v>151</v>
      </c>
      <c r="H1612" s="2">
        <v>159706</v>
      </c>
      <c r="I1612" t="str">
        <f>VLOOKUP(Tabela2[[#This Row],[PAIS]],'[1]nome do paixs'!$A:$B,2,0)</f>
        <v>França</v>
      </c>
      <c r="J1612" t="s">
        <v>12</v>
      </c>
    </row>
    <row r="1613" spans="1:10">
      <c r="A1613">
        <v>2022</v>
      </c>
      <c r="B1613">
        <v>8</v>
      </c>
      <c r="C1613">
        <v>8807</v>
      </c>
      <c r="D1613">
        <v>741</v>
      </c>
      <c r="E1613" t="s">
        <v>10</v>
      </c>
      <c r="F1613">
        <v>3449904</v>
      </c>
      <c r="G1613" s="1">
        <v>45</v>
      </c>
      <c r="H1613" s="2">
        <v>123254</v>
      </c>
      <c r="I1613" t="str">
        <f>VLOOKUP(Tabela2[[#This Row],[PAIS]],'[1]nome do paixs'!$A:$B,2,0)</f>
        <v>Singapura</v>
      </c>
      <c r="J1613" t="s">
        <v>12</v>
      </c>
    </row>
    <row r="1614" spans="1:10">
      <c r="A1614">
        <v>2022</v>
      </c>
      <c r="B1614">
        <v>4</v>
      </c>
      <c r="C1614">
        <v>8803</v>
      </c>
      <c r="D1614">
        <v>275</v>
      </c>
      <c r="E1614" t="s">
        <v>10</v>
      </c>
      <c r="F1614">
        <v>3449904</v>
      </c>
      <c r="G1614" s="1">
        <v>17</v>
      </c>
      <c r="H1614" s="2">
        <v>24327</v>
      </c>
      <c r="I1614" t="str">
        <f>VLOOKUP(Tabela2[[#This Row],[PAIS]],'[1]nome do paixs'!$A:$B,2,0)</f>
        <v>França</v>
      </c>
      <c r="J1614" t="s">
        <v>12</v>
      </c>
    </row>
    <row r="1615" spans="1:10">
      <c r="A1615">
        <v>2022</v>
      </c>
      <c r="B1615">
        <v>12</v>
      </c>
      <c r="C1615">
        <v>8807</v>
      </c>
      <c r="D1615">
        <v>23</v>
      </c>
      <c r="E1615" t="s">
        <v>10</v>
      </c>
      <c r="F1615">
        <v>3449904</v>
      </c>
      <c r="G1615" s="1">
        <v>929</v>
      </c>
      <c r="H1615" s="2">
        <v>1059424</v>
      </c>
      <c r="I1615" t="str">
        <f>VLOOKUP(Tabela2[[#This Row],[PAIS]],'[1]nome do paixs'!$A:$B,2,0)</f>
        <v>Alemanha</v>
      </c>
      <c r="J1615" t="s">
        <v>12</v>
      </c>
    </row>
    <row r="1616" spans="1:10">
      <c r="A1616">
        <v>2022</v>
      </c>
      <c r="B1616">
        <v>3</v>
      </c>
      <c r="C1616">
        <v>8803</v>
      </c>
      <c r="D1616">
        <v>275</v>
      </c>
      <c r="E1616" t="s">
        <v>10</v>
      </c>
      <c r="F1616">
        <v>3449904</v>
      </c>
      <c r="G1616" s="1">
        <v>253</v>
      </c>
      <c r="H1616" s="2">
        <v>482622</v>
      </c>
      <c r="I1616" t="str">
        <f>VLOOKUP(Tabela2[[#This Row],[PAIS]],'[1]nome do paixs'!$A:$B,2,0)</f>
        <v>França</v>
      </c>
      <c r="J1616" t="s">
        <v>12</v>
      </c>
    </row>
    <row r="1617" spans="1:10">
      <c r="A1617">
        <v>2022</v>
      </c>
      <c r="B1617">
        <v>9</v>
      </c>
      <c r="C1617">
        <v>8807</v>
      </c>
      <c r="D1617">
        <v>386</v>
      </c>
      <c r="E1617" t="s">
        <v>10</v>
      </c>
      <c r="F1617">
        <v>3449904</v>
      </c>
      <c r="G1617" s="1">
        <v>941</v>
      </c>
      <c r="H1617" s="2">
        <v>408970</v>
      </c>
      <c r="I1617" t="str">
        <f>VLOOKUP(Tabela2[[#This Row],[PAIS]],'[1]nome do paixs'!$A:$B,2,0)</f>
        <v>Itália</v>
      </c>
      <c r="J1617" t="s">
        <v>12</v>
      </c>
    </row>
    <row r="1618" spans="1:10">
      <c r="A1618">
        <v>2022</v>
      </c>
      <c r="B1618">
        <v>5</v>
      </c>
      <c r="C1618">
        <v>8807</v>
      </c>
      <c r="D1618">
        <v>623</v>
      </c>
      <c r="E1618" t="s">
        <v>10</v>
      </c>
      <c r="F1618">
        <v>3449904</v>
      </c>
      <c r="G1618" s="1">
        <v>0</v>
      </c>
      <c r="H1618" s="2">
        <v>6231</v>
      </c>
      <c r="I1618" t="str">
        <f>VLOOKUP(Tabela2[[#This Row],[PAIS]],'[1]nome do paixs'!$A:$B,2,0)</f>
        <v>Quênia</v>
      </c>
      <c r="J1618" t="s">
        <v>12</v>
      </c>
    </row>
    <row r="1619" spans="1:10">
      <c r="A1619">
        <v>2022</v>
      </c>
      <c r="B1619">
        <v>10</v>
      </c>
      <c r="C1619">
        <v>8807</v>
      </c>
      <c r="D1619">
        <v>455</v>
      </c>
      <c r="E1619" t="s">
        <v>10</v>
      </c>
      <c r="F1619">
        <v>3449904</v>
      </c>
      <c r="G1619" s="1">
        <v>1</v>
      </c>
      <c r="H1619" s="2">
        <v>353</v>
      </c>
      <c r="I1619" t="str">
        <f>VLOOKUP(Tabela2[[#This Row],[PAIS]],'[1]nome do paixs'!$A:$B,2,0)</f>
        <v>Malásia</v>
      </c>
      <c r="J1619" t="s">
        <v>12</v>
      </c>
    </row>
    <row r="1620" spans="1:10">
      <c r="A1620">
        <v>2022</v>
      </c>
      <c r="B1620">
        <v>1</v>
      </c>
      <c r="C1620">
        <v>8803</v>
      </c>
      <c r="D1620">
        <v>628</v>
      </c>
      <c r="E1620" t="s">
        <v>10</v>
      </c>
      <c r="F1620">
        <v>3449904</v>
      </c>
      <c r="G1620" s="1">
        <v>1721</v>
      </c>
      <c r="H1620" s="2">
        <v>621687</v>
      </c>
      <c r="I1620" t="str">
        <f>VLOOKUP(Tabela2[[#This Row],[PAIS]],'[1]nome do paixs'!$A:$B,2,0)</f>
        <v>Reino Unido</v>
      </c>
      <c r="J1620" t="s">
        <v>12</v>
      </c>
    </row>
    <row r="1621" spans="1:10">
      <c r="A1621">
        <v>2022</v>
      </c>
      <c r="B1621">
        <v>10</v>
      </c>
      <c r="C1621">
        <v>8807</v>
      </c>
      <c r="D1621">
        <v>741</v>
      </c>
      <c r="E1621" t="s">
        <v>10</v>
      </c>
      <c r="F1621">
        <v>3449904</v>
      </c>
      <c r="G1621" s="1">
        <v>3</v>
      </c>
      <c r="H1621" s="2">
        <v>4603</v>
      </c>
      <c r="I1621" t="str">
        <f>VLOOKUP(Tabela2[[#This Row],[PAIS]],'[1]nome do paixs'!$A:$B,2,0)</f>
        <v>Singapura</v>
      </c>
      <c r="J1621" t="s">
        <v>12</v>
      </c>
    </row>
    <row r="1622" spans="1:10">
      <c r="A1622">
        <v>2022</v>
      </c>
      <c r="B1622">
        <v>6</v>
      </c>
      <c r="C1622">
        <v>8807</v>
      </c>
      <c r="D1622">
        <v>69</v>
      </c>
      <c r="E1622" t="s">
        <v>10</v>
      </c>
      <c r="F1622">
        <v>3449904</v>
      </c>
      <c r="G1622" s="1">
        <v>8</v>
      </c>
      <c r="H1622" s="2">
        <v>14240</v>
      </c>
      <c r="I1622" t="str">
        <f>VLOOKUP(Tabela2[[#This Row],[PAIS]],'[1]nome do paixs'!$A:$B,2,0)</f>
        <v>Austrália</v>
      </c>
      <c r="J1622" t="s">
        <v>12</v>
      </c>
    </row>
    <row r="1623" spans="1:10">
      <c r="A1623">
        <v>2022</v>
      </c>
      <c r="B1623">
        <v>5</v>
      </c>
      <c r="C1623">
        <v>8807</v>
      </c>
      <c r="D1623">
        <v>528</v>
      </c>
      <c r="E1623" t="s">
        <v>10</v>
      </c>
      <c r="F1623">
        <v>3449904</v>
      </c>
      <c r="G1623" s="1">
        <v>20</v>
      </c>
      <c r="H1623" s="2">
        <v>35769</v>
      </c>
      <c r="I1623" t="str">
        <f>VLOOKUP(Tabela2[[#This Row],[PAIS]],'[1]nome do paixs'!$A:$B,2,0)</f>
        <v>Nigéria</v>
      </c>
      <c r="J1623" t="s">
        <v>12</v>
      </c>
    </row>
    <row r="1624" spans="1:10">
      <c r="A1624">
        <v>2022</v>
      </c>
      <c r="B1624">
        <v>3</v>
      </c>
      <c r="C1624">
        <v>8803</v>
      </c>
      <c r="D1624">
        <v>607</v>
      </c>
      <c r="E1624" t="s">
        <v>10</v>
      </c>
      <c r="F1624">
        <v>3449904</v>
      </c>
      <c r="G1624" s="1">
        <v>50</v>
      </c>
      <c r="H1624" s="2">
        <v>72327</v>
      </c>
      <c r="I1624" t="str">
        <f>VLOOKUP(Tabela2[[#This Row],[PAIS]],'[1]nome do paixs'!$A:$B,2,0)</f>
        <v>Portugal</v>
      </c>
      <c r="J1624" t="s">
        <v>12</v>
      </c>
    </row>
    <row r="1625" spans="1:10">
      <c r="A1625">
        <v>2022</v>
      </c>
      <c r="B1625">
        <v>4</v>
      </c>
      <c r="C1625">
        <v>8803</v>
      </c>
      <c r="D1625">
        <v>23</v>
      </c>
      <c r="E1625" t="s">
        <v>10</v>
      </c>
      <c r="F1625">
        <v>3449904</v>
      </c>
      <c r="G1625" s="1">
        <v>158</v>
      </c>
      <c r="H1625" s="2">
        <v>220378</v>
      </c>
      <c r="I1625" t="str">
        <f>VLOOKUP(Tabela2[[#This Row],[PAIS]],'[1]nome do paixs'!$A:$B,2,0)</f>
        <v>Alemanha</v>
      </c>
      <c r="J1625" t="s">
        <v>12</v>
      </c>
    </row>
    <row r="1626" spans="1:10">
      <c r="A1626">
        <v>2022</v>
      </c>
      <c r="B1626">
        <v>6</v>
      </c>
      <c r="C1626">
        <v>8807</v>
      </c>
      <c r="D1626">
        <v>756</v>
      </c>
      <c r="E1626" t="s">
        <v>10</v>
      </c>
      <c r="F1626">
        <v>3449904</v>
      </c>
      <c r="G1626" s="1">
        <v>138</v>
      </c>
      <c r="H1626" s="2">
        <v>552000</v>
      </c>
      <c r="I1626" t="str">
        <f>VLOOKUP(Tabela2[[#This Row],[PAIS]],'[1]nome do paixs'!$A:$B,2,0)</f>
        <v>África do Sul</v>
      </c>
      <c r="J1626" t="s">
        <v>12</v>
      </c>
    </row>
    <row r="1627" spans="1:10">
      <c r="A1627">
        <v>2022</v>
      </c>
      <c r="B1627">
        <v>4</v>
      </c>
      <c r="C1627">
        <v>8807</v>
      </c>
      <c r="D1627">
        <v>275</v>
      </c>
      <c r="E1627" t="s">
        <v>10</v>
      </c>
      <c r="F1627">
        <v>3449904</v>
      </c>
      <c r="G1627" s="1">
        <v>76</v>
      </c>
      <c r="H1627" s="2">
        <v>98761</v>
      </c>
      <c r="I1627" t="str">
        <f>VLOOKUP(Tabela2[[#This Row],[PAIS]],'[1]nome do paixs'!$A:$B,2,0)</f>
        <v>França</v>
      </c>
      <c r="J1627" t="s">
        <v>12</v>
      </c>
    </row>
    <row r="1628" spans="1:10">
      <c r="A1628">
        <v>2022</v>
      </c>
      <c r="B1628">
        <v>2</v>
      </c>
      <c r="C1628">
        <v>8803</v>
      </c>
      <c r="D1628">
        <v>149</v>
      </c>
      <c r="E1628" t="s">
        <v>10</v>
      </c>
      <c r="F1628">
        <v>3449904</v>
      </c>
      <c r="G1628" s="1">
        <v>0</v>
      </c>
      <c r="H1628" s="2">
        <v>362</v>
      </c>
      <c r="I1628" t="str">
        <f>VLOOKUP(Tabela2[[#This Row],[PAIS]],'[1]nome do paixs'!$A:$B,2,0)</f>
        <v>Canadá</v>
      </c>
      <c r="J1628" t="s">
        <v>12</v>
      </c>
    </row>
    <row r="1629" spans="1:10">
      <c r="A1629">
        <v>2022</v>
      </c>
      <c r="B1629">
        <v>9</v>
      </c>
      <c r="C1629">
        <v>8807</v>
      </c>
      <c r="D1629">
        <v>87</v>
      </c>
      <c r="E1629" t="s">
        <v>10</v>
      </c>
      <c r="F1629">
        <v>3449904</v>
      </c>
      <c r="G1629" s="1">
        <v>7607</v>
      </c>
      <c r="H1629" s="2">
        <v>3752479</v>
      </c>
      <c r="I1629" t="str">
        <f>VLOOKUP(Tabela2[[#This Row],[PAIS]],'[1]nome do paixs'!$A:$B,2,0)</f>
        <v>Bélgica</v>
      </c>
      <c r="J1629" t="s">
        <v>12</v>
      </c>
    </row>
    <row r="1630" spans="1:10">
      <c r="A1630">
        <v>2022</v>
      </c>
      <c r="B1630">
        <v>4</v>
      </c>
      <c r="C1630">
        <v>8803</v>
      </c>
      <c r="D1630">
        <v>158</v>
      </c>
      <c r="E1630" t="s">
        <v>10</v>
      </c>
      <c r="F1630">
        <v>3449904</v>
      </c>
      <c r="G1630" s="1">
        <v>4</v>
      </c>
      <c r="H1630" s="2">
        <v>35209</v>
      </c>
      <c r="I1630" t="str">
        <f>VLOOKUP(Tabela2[[#This Row],[PAIS]],'[1]nome do paixs'!$A:$B,2,0)</f>
        <v>Chile</v>
      </c>
      <c r="J1630" t="s">
        <v>12</v>
      </c>
    </row>
    <row r="1631" spans="1:10">
      <c r="A1631">
        <v>2022</v>
      </c>
      <c r="B1631">
        <v>8</v>
      </c>
      <c r="C1631">
        <v>8807</v>
      </c>
      <c r="D1631">
        <v>31</v>
      </c>
      <c r="E1631" t="s">
        <v>10</v>
      </c>
      <c r="F1631">
        <v>3449904</v>
      </c>
      <c r="G1631" s="1">
        <v>13</v>
      </c>
      <c r="H1631" s="2">
        <v>2800</v>
      </c>
      <c r="I1631" t="str">
        <f>VLOOKUP(Tabela2[[#This Row],[PAIS]],'[1]nome do paixs'!$A:$B,2,0)</f>
        <v>Burkina Faso</v>
      </c>
      <c r="J1631" t="s">
        <v>12</v>
      </c>
    </row>
    <row r="1632" spans="1:10">
      <c r="A1632">
        <v>2022</v>
      </c>
      <c r="B1632">
        <v>9</v>
      </c>
      <c r="C1632">
        <v>8807</v>
      </c>
      <c r="D1632">
        <v>573</v>
      </c>
      <c r="E1632" t="s">
        <v>10</v>
      </c>
      <c r="F1632">
        <v>3449904</v>
      </c>
      <c r="G1632" s="1">
        <v>0</v>
      </c>
      <c r="H1632" s="2">
        <v>11522</v>
      </c>
      <c r="I1632" t="str">
        <f>VLOOKUP(Tabela2[[#This Row],[PAIS]],'[1]nome do paixs'!$A:$B,2,0)</f>
        <v>Países Baixos (Holanda)</v>
      </c>
      <c r="J1632" t="s">
        <v>12</v>
      </c>
    </row>
    <row r="1633" spans="1:10">
      <c r="A1633">
        <v>2022</v>
      </c>
      <c r="B1633">
        <v>7</v>
      </c>
      <c r="C1633">
        <v>8807</v>
      </c>
      <c r="D1633">
        <v>23</v>
      </c>
      <c r="E1633" t="s">
        <v>10</v>
      </c>
      <c r="F1633">
        <v>3449904</v>
      </c>
      <c r="G1633" s="1">
        <v>547</v>
      </c>
      <c r="H1633" s="2">
        <v>509220</v>
      </c>
      <c r="I1633" t="str">
        <f>VLOOKUP(Tabela2[[#This Row],[PAIS]],'[1]nome do paixs'!$A:$B,2,0)</f>
        <v>Alemanha</v>
      </c>
      <c r="J1633" t="s">
        <v>12</v>
      </c>
    </row>
    <row r="1634" spans="1:10">
      <c r="A1634">
        <v>2022</v>
      </c>
      <c r="B1634">
        <v>5</v>
      </c>
      <c r="C1634">
        <v>8807</v>
      </c>
      <c r="D1634">
        <v>244</v>
      </c>
      <c r="E1634" t="s">
        <v>10</v>
      </c>
      <c r="F1634">
        <v>3449904</v>
      </c>
      <c r="G1634" s="1">
        <v>36</v>
      </c>
      <c r="H1634" s="2">
        <v>4325</v>
      </c>
      <c r="I1634" t="str">
        <f>VLOOKUP(Tabela2[[#This Row],[PAIS]],'[1]nome do paixs'!$A:$B,2,0)</f>
        <v>Emirados Árabes Unidos</v>
      </c>
      <c r="J1634" t="s">
        <v>12</v>
      </c>
    </row>
    <row r="1635" spans="1:10">
      <c r="A1635">
        <v>2022</v>
      </c>
      <c r="B1635">
        <v>1</v>
      </c>
      <c r="C1635">
        <v>8803</v>
      </c>
      <c r="D1635">
        <v>603</v>
      </c>
      <c r="E1635" t="s">
        <v>10</v>
      </c>
      <c r="F1635">
        <v>3449904</v>
      </c>
      <c r="G1635" s="1">
        <v>1</v>
      </c>
      <c r="H1635" s="2">
        <v>10197</v>
      </c>
      <c r="I1635" t="str">
        <f>VLOOKUP(Tabela2[[#This Row],[PAIS]],'[1]nome do paixs'!$A:$B,2,0)</f>
        <v>Polônia</v>
      </c>
      <c r="J1635" t="s">
        <v>12</v>
      </c>
    </row>
    <row r="1636" spans="1:10">
      <c r="A1636">
        <v>2022</v>
      </c>
      <c r="B1636">
        <v>10</v>
      </c>
      <c r="C1636">
        <v>8807</v>
      </c>
      <c r="D1636">
        <v>149</v>
      </c>
      <c r="E1636" t="s">
        <v>10</v>
      </c>
      <c r="F1636">
        <v>3449904</v>
      </c>
      <c r="G1636" s="1">
        <v>0</v>
      </c>
      <c r="H1636" s="2">
        <v>898</v>
      </c>
      <c r="I1636" t="str">
        <f>VLOOKUP(Tabela2[[#This Row],[PAIS]],'[1]nome do paixs'!$A:$B,2,0)</f>
        <v>Canadá</v>
      </c>
      <c r="J1636" t="s">
        <v>12</v>
      </c>
    </row>
    <row r="1637" spans="1:10">
      <c r="A1637">
        <v>2022</v>
      </c>
      <c r="B1637">
        <v>10</v>
      </c>
      <c r="C1637">
        <v>8807</v>
      </c>
      <c r="D1637">
        <v>23</v>
      </c>
      <c r="E1637" t="s">
        <v>10</v>
      </c>
      <c r="F1637">
        <v>3449904</v>
      </c>
      <c r="G1637" s="1">
        <v>279</v>
      </c>
      <c r="H1637" s="2">
        <v>478584</v>
      </c>
      <c r="I1637" t="str">
        <f>VLOOKUP(Tabela2[[#This Row],[PAIS]],'[1]nome do paixs'!$A:$B,2,0)</f>
        <v>Alemanha</v>
      </c>
      <c r="J1637" t="s">
        <v>12</v>
      </c>
    </row>
    <row r="1638" spans="1:10">
      <c r="A1638">
        <v>2022</v>
      </c>
      <c r="B1638">
        <v>7</v>
      </c>
      <c r="C1638">
        <v>8807</v>
      </c>
      <c r="D1638">
        <v>767</v>
      </c>
      <c r="E1638" t="s">
        <v>10</v>
      </c>
      <c r="F1638">
        <v>3449904</v>
      </c>
      <c r="G1638" s="1">
        <v>0</v>
      </c>
      <c r="H1638" s="2">
        <v>1237</v>
      </c>
      <c r="I1638" t="str">
        <f>VLOOKUP(Tabela2[[#This Row],[PAIS]],'[1]nome do paixs'!$A:$B,2,0)</f>
        <v>Suíça</v>
      </c>
      <c r="J1638" t="s">
        <v>12</v>
      </c>
    </row>
    <row r="1639" spans="1:10">
      <c r="A1639">
        <v>2022</v>
      </c>
      <c r="B1639">
        <v>6</v>
      </c>
      <c r="C1639">
        <v>8807</v>
      </c>
      <c r="D1639">
        <v>399</v>
      </c>
      <c r="E1639" t="s">
        <v>10</v>
      </c>
      <c r="F1639">
        <v>3449904</v>
      </c>
      <c r="G1639" s="1">
        <v>0</v>
      </c>
      <c r="H1639" s="2">
        <v>6648</v>
      </c>
      <c r="I1639" t="str">
        <f>VLOOKUP(Tabela2[[#This Row],[PAIS]],'[1]nome do paixs'!$A:$B,2,0)</f>
        <v>Japão</v>
      </c>
      <c r="J1639" t="s">
        <v>12</v>
      </c>
    </row>
    <row r="1640" spans="1:10">
      <c r="A1640">
        <v>2022</v>
      </c>
      <c r="B1640">
        <v>10</v>
      </c>
      <c r="C1640">
        <v>8807</v>
      </c>
      <c r="D1640">
        <v>245</v>
      </c>
      <c r="E1640" t="s">
        <v>10</v>
      </c>
      <c r="F1640">
        <v>3449904</v>
      </c>
      <c r="G1640" s="1">
        <v>6520</v>
      </c>
      <c r="H1640" s="2">
        <v>2933379</v>
      </c>
      <c r="I1640" t="str">
        <f>VLOOKUP(Tabela2[[#This Row],[PAIS]],'[1]nome do paixs'!$A:$B,2,0)</f>
        <v>Espanha</v>
      </c>
      <c r="J1640" t="s">
        <v>12</v>
      </c>
    </row>
    <row r="1641" spans="1:10">
      <c r="A1641">
        <v>2022</v>
      </c>
      <c r="B1641">
        <v>4</v>
      </c>
      <c r="C1641">
        <v>8807</v>
      </c>
      <c r="D1641">
        <v>741</v>
      </c>
      <c r="E1641" t="s">
        <v>10</v>
      </c>
      <c r="F1641">
        <v>3449904</v>
      </c>
      <c r="G1641" s="1">
        <v>38</v>
      </c>
      <c r="H1641" s="2">
        <v>18586</v>
      </c>
      <c r="I1641" t="str">
        <f>VLOOKUP(Tabela2[[#This Row],[PAIS]],'[1]nome do paixs'!$A:$B,2,0)</f>
        <v>Singapura</v>
      </c>
      <c r="J1641" t="s">
        <v>12</v>
      </c>
    </row>
    <row r="1642" spans="1:10">
      <c r="A1642">
        <v>2022</v>
      </c>
      <c r="B1642">
        <v>4</v>
      </c>
      <c r="C1642">
        <v>8803</v>
      </c>
      <c r="D1642">
        <v>169</v>
      </c>
      <c r="E1642" t="s">
        <v>10</v>
      </c>
      <c r="F1642">
        <v>3449904</v>
      </c>
      <c r="G1642" s="1">
        <v>0</v>
      </c>
      <c r="H1642" s="2">
        <v>1668</v>
      </c>
      <c r="I1642" t="str">
        <f>VLOOKUP(Tabela2[[#This Row],[PAIS]],'[1]nome do paixs'!$A:$B,2,0)</f>
        <v>Colômbia</v>
      </c>
      <c r="J1642" t="s">
        <v>12</v>
      </c>
    </row>
    <row r="1643" spans="1:10">
      <c r="A1643">
        <v>2022</v>
      </c>
      <c r="B1643">
        <v>7</v>
      </c>
      <c r="C1643">
        <v>8807</v>
      </c>
      <c r="D1643">
        <v>87</v>
      </c>
      <c r="E1643" t="s">
        <v>10</v>
      </c>
      <c r="F1643">
        <v>3449904</v>
      </c>
      <c r="G1643" s="1">
        <v>7549</v>
      </c>
      <c r="H1643" s="2">
        <v>3760688</v>
      </c>
      <c r="I1643" t="str">
        <f>VLOOKUP(Tabela2[[#This Row],[PAIS]],'[1]nome do paixs'!$A:$B,2,0)</f>
        <v>Bélgica</v>
      </c>
      <c r="J1643" t="s">
        <v>12</v>
      </c>
    </row>
    <row r="1644" spans="1:10">
      <c r="A1644">
        <v>2022</v>
      </c>
      <c r="B1644">
        <v>11</v>
      </c>
      <c r="C1644">
        <v>8807</v>
      </c>
      <c r="D1644">
        <v>386</v>
      </c>
      <c r="E1644" t="s">
        <v>10</v>
      </c>
      <c r="F1644">
        <v>3449904</v>
      </c>
      <c r="G1644" s="1">
        <v>593</v>
      </c>
      <c r="H1644" s="2">
        <v>249460</v>
      </c>
      <c r="I1644" t="str">
        <f>VLOOKUP(Tabela2[[#This Row],[PAIS]],'[1]nome do paixs'!$A:$B,2,0)</f>
        <v>Itália</v>
      </c>
      <c r="J1644" t="s">
        <v>12</v>
      </c>
    </row>
    <row r="1645" spans="1:10">
      <c r="A1645">
        <v>2022</v>
      </c>
      <c r="B1645">
        <v>2</v>
      </c>
      <c r="C1645">
        <v>8803</v>
      </c>
      <c r="D1645">
        <v>455</v>
      </c>
      <c r="E1645" t="s">
        <v>10</v>
      </c>
      <c r="F1645">
        <v>3449904</v>
      </c>
      <c r="G1645" s="1">
        <v>0</v>
      </c>
      <c r="H1645" s="2">
        <v>360</v>
      </c>
      <c r="I1645" t="str">
        <f>VLOOKUP(Tabela2[[#This Row],[PAIS]],'[1]nome do paixs'!$A:$B,2,0)</f>
        <v>Malásia</v>
      </c>
      <c r="J1645" t="s">
        <v>12</v>
      </c>
    </row>
    <row r="1646" spans="1:10">
      <c r="A1646">
        <v>2022</v>
      </c>
      <c r="B1646">
        <v>6</v>
      </c>
      <c r="C1646">
        <v>8807</v>
      </c>
      <c r="D1646">
        <v>249</v>
      </c>
      <c r="E1646" t="s">
        <v>10</v>
      </c>
      <c r="F1646">
        <v>3449904</v>
      </c>
      <c r="G1646" s="1">
        <v>7163</v>
      </c>
      <c r="H1646" s="2">
        <v>4980027</v>
      </c>
      <c r="I1646" t="str">
        <f>VLOOKUP(Tabela2[[#This Row],[PAIS]],'[1]nome do paixs'!$A:$B,2,0)</f>
        <v>Estados Unidos</v>
      </c>
      <c r="J1646" t="s">
        <v>12</v>
      </c>
    </row>
    <row r="1647" spans="1:10">
      <c r="A1647">
        <v>2022</v>
      </c>
      <c r="B1647">
        <v>8</v>
      </c>
      <c r="C1647">
        <v>8807</v>
      </c>
      <c r="D1647">
        <v>245</v>
      </c>
      <c r="E1647" t="s">
        <v>10</v>
      </c>
      <c r="F1647">
        <v>3449904</v>
      </c>
      <c r="G1647" s="1">
        <v>7547</v>
      </c>
      <c r="H1647" s="2">
        <v>3398576</v>
      </c>
      <c r="I1647" t="str">
        <f>VLOOKUP(Tabela2[[#This Row],[PAIS]],'[1]nome do paixs'!$A:$B,2,0)</f>
        <v>Espanha</v>
      </c>
      <c r="J1647" t="s">
        <v>12</v>
      </c>
    </row>
    <row r="1648" spans="1:10">
      <c r="A1648">
        <v>2022</v>
      </c>
      <c r="B1648">
        <v>10</v>
      </c>
      <c r="C1648">
        <v>8807</v>
      </c>
      <c r="D1648">
        <v>87</v>
      </c>
      <c r="E1648" t="s">
        <v>10</v>
      </c>
      <c r="F1648">
        <v>3449904</v>
      </c>
      <c r="G1648" s="1">
        <v>8850</v>
      </c>
      <c r="H1648" s="2">
        <v>3812779</v>
      </c>
      <c r="I1648" t="str">
        <f>VLOOKUP(Tabela2[[#This Row],[PAIS]],'[1]nome do paixs'!$A:$B,2,0)</f>
        <v>Bélgica</v>
      </c>
      <c r="J1648" t="s">
        <v>12</v>
      </c>
    </row>
    <row r="1649" spans="1:10">
      <c r="A1649">
        <v>2022</v>
      </c>
      <c r="B1649">
        <v>7</v>
      </c>
      <c r="C1649">
        <v>8807</v>
      </c>
      <c r="D1649">
        <v>249</v>
      </c>
      <c r="E1649" t="s">
        <v>10</v>
      </c>
      <c r="F1649">
        <v>3449904</v>
      </c>
      <c r="G1649" s="1">
        <v>6481</v>
      </c>
      <c r="H1649" s="2">
        <v>5286707</v>
      </c>
      <c r="I1649" t="str">
        <f>VLOOKUP(Tabela2[[#This Row],[PAIS]],'[1]nome do paixs'!$A:$B,2,0)</f>
        <v>Estados Unidos</v>
      </c>
      <c r="J1649" t="s">
        <v>12</v>
      </c>
    </row>
    <row r="1650" spans="1:10">
      <c r="A1650">
        <v>2022</v>
      </c>
      <c r="B1650">
        <v>10</v>
      </c>
      <c r="C1650">
        <v>8807</v>
      </c>
      <c r="D1650">
        <v>239</v>
      </c>
      <c r="E1650" t="s">
        <v>10</v>
      </c>
      <c r="F1650">
        <v>3449904</v>
      </c>
      <c r="G1650" s="1">
        <v>1</v>
      </c>
      <c r="H1650" s="2">
        <v>4956</v>
      </c>
      <c r="I1650" t="str">
        <f>VLOOKUP(Tabela2[[#This Row],[PAIS]],'[1]nome do paixs'!$A:$B,2,0)</f>
        <v>Equador</v>
      </c>
      <c r="J1650" t="s">
        <v>12</v>
      </c>
    </row>
    <row r="1651" spans="1:10">
      <c r="A1651">
        <v>2022</v>
      </c>
      <c r="B1651">
        <v>3</v>
      </c>
      <c r="C1651">
        <v>8803</v>
      </c>
      <c r="D1651">
        <v>455</v>
      </c>
      <c r="E1651" t="s">
        <v>10</v>
      </c>
      <c r="F1651">
        <v>3449904</v>
      </c>
      <c r="G1651" s="1">
        <v>1</v>
      </c>
      <c r="H1651" s="2">
        <v>309</v>
      </c>
      <c r="I1651" t="str">
        <f>VLOOKUP(Tabela2[[#This Row],[PAIS]],'[1]nome do paixs'!$A:$B,2,0)</f>
        <v>Malásia</v>
      </c>
      <c r="J1651" t="s">
        <v>12</v>
      </c>
    </row>
    <row r="1652" spans="1:10">
      <c r="A1652">
        <v>2022</v>
      </c>
      <c r="B1652">
        <v>4</v>
      </c>
      <c r="C1652">
        <v>8803</v>
      </c>
      <c r="D1652">
        <v>196</v>
      </c>
      <c r="E1652" t="s">
        <v>10</v>
      </c>
      <c r="F1652">
        <v>3449904</v>
      </c>
      <c r="G1652" s="1">
        <v>1</v>
      </c>
      <c r="H1652" s="2">
        <v>1548</v>
      </c>
      <c r="I1652" t="str">
        <f>VLOOKUP(Tabela2[[#This Row],[PAIS]],'[1]nome do paixs'!$A:$B,2,0)</f>
        <v>Costa Rica</v>
      </c>
      <c r="J1652" t="s">
        <v>12</v>
      </c>
    </row>
    <row r="1653" spans="1:10">
      <c r="A1653">
        <v>2022</v>
      </c>
      <c r="B1653">
        <v>11</v>
      </c>
      <c r="C1653">
        <v>8807</v>
      </c>
      <c r="D1653">
        <v>603</v>
      </c>
      <c r="E1653" t="s">
        <v>10</v>
      </c>
      <c r="F1653">
        <v>3449904</v>
      </c>
      <c r="G1653" s="1">
        <v>0</v>
      </c>
      <c r="H1653" s="2">
        <v>11416</v>
      </c>
      <c r="I1653" t="str">
        <f>VLOOKUP(Tabela2[[#This Row],[PAIS]],'[1]nome do paixs'!$A:$B,2,0)</f>
        <v>Polônia</v>
      </c>
      <c r="J1653" t="s">
        <v>12</v>
      </c>
    </row>
    <row r="1654" spans="1:10">
      <c r="A1654">
        <v>2022</v>
      </c>
      <c r="B1654">
        <v>2</v>
      </c>
      <c r="C1654">
        <v>8803</v>
      </c>
      <c r="D1654">
        <v>232</v>
      </c>
      <c r="E1654" t="s">
        <v>10</v>
      </c>
      <c r="F1654">
        <v>3449904</v>
      </c>
      <c r="G1654" s="1">
        <v>0</v>
      </c>
      <c r="H1654" s="2">
        <v>6088</v>
      </c>
      <c r="I1654" t="str">
        <f>VLOOKUP(Tabela2[[#This Row],[PAIS]],'[1]nome do paixs'!$A:$B,2,0)</f>
        <v>Dinamarca</v>
      </c>
      <c r="J1654" t="s">
        <v>12</v>
      </c>
    </row>
    <row r="1655" spans="1:10">
      <c r="A1655">
        <v>2022</v>
      </c>
      <c r="B1655">
        <v>3</v>
      </c>
      <c r="C1655">
        <v>8803</v>
      </c>
      <c r="D1655">
        <v>245</v>
      </c>
      <c r="E1655" t="s">
        <v>10</v>
      </c>
      <c r="F1655">
        <v>3449904</v>
      </c>
      <c r="G1655" s="1">
        <v>7118</v>
      </c>
      <c r="H1655" s="2">
        <v>3197759</v>
      </c>
      <c r="I1655" t="str">
        <f>VLOOKUP(Tabela2[[#This Row],[PAIS]],'[1]nome do paixs'!$A:$B,2,0)</f>
        <v>Espanha</v>
      </c>
      <c r="J1655" t="s">
        <v>12</v>
      </c>
    </row>
    <row r="1656" spans="1:10">
      <c r="A1656">
        <v>2022</v>
      </c>
      <c r="B1656">
        <v>9</v>
      </c>
      <c r="C1656">
        <v>8807</v>
      </c>
      <c r="D1656">
        <v>63</v>
      </c>
      <c r="E1656" t="s">
        <v>10</v>
      </c>
      <c r="F1656">
        <v>3449904</v>
      </c>
      <c r="G1656" s="1">
        <v>0</v>
      </c>
      <c r="H1656" s="2">
        <v>1764</v>
      </c>
      <c r="I1656" t="str">
        <f>VLOOKUP(Tabela2[[#This Row],[PAIS]],'[1]nome do paixs'!$A:$B,2,0)</f>
        <v>Argentina</v>
      </c>
      <c r="J1656" t="s">
        <v>12</v>
      </c>
    </row>
    <row r="1657" spans="1:10">
      <c r="A1657">
        <v>2022</v>
      </c>
      <c r="B1657">
        <v>5</v>
      </c>
      <c r="C1657">
        <v>8807</v>
      </c>
      <c r="D1657">
        <v>267</v>
      </c>
      <c r="E1657" t="s">
        <v>10</v>
      </c>
      <c r="F1657">
        <v>3449904</v>
      </c>
      <c r="G1657" s="1">
        <v>37</v>
      </c>
      <c r="H1657" s="2">
        <v>55554</v>
      </c>
      <c r="I1657" t="str">
        <f>VLOOKUP(Tabela2[[#This Row],[PAIS]],'[1]nome do paixs'!$A:$B,2,0)</f>
        <v>Filipinas</v>
      </c>
      <c r="J1657" t="s">
        <v>12</v>
      </c>
    </row>
    <row r="1658" spans="1:10">
      <c r="A1658">
        <v>2022</v>
      </c>
      <c r="B1658">
        <v>7</v>
      </c>
      <c r="C1658">
        <v>8807</v>
      </c>
      <c r="D1658">
        <v>573</v>
      </c>
      <c r="E1658" t="s">
        <v>10</v>
      </c>
      <c r="F1658">
        <v>3449904</v>
      </c>
      <c r="G1658" s="1">
        <v>52</v>
      </c>
      <c r="H1658" s="2">
        <v>17742</v>
      </c>
      <c r="I1658" t="str">
        <f>VLOOKUP(Tabela2[[#This Row],[PAIS]],'[1]nome do paixs'!$A:$B,2,0)</f>
        <v>Países Baixos (Holanda)</v>
      </c>
      <c r="J1658" t="s">
        <v>12</v>
      </c>
    </row>
    <row r="1659" spans="1:10">
      <c r="A1659">
        <v>2022</v>
      </c>
      <c r="B1659">
        <v>7</v>
      </c>
      <c r="C1659">
        <v>8807</v>
      </c>
      <c r="D1659">
        <v>386</v>
      </c>
      <c r="E1659" t="s">
        <v>10</v>
      </c>
      <c r="F1659">
        <v>3449904</v>
      </c>
      <c r="G1659" s="1">
        <v>731</v>
      </c>
      <c r="H1659" s="2">
        <v>313187</v>
      </c>
      <c r="I1659" t="str">
        <f>VLOOKUP(Tabela2[[#This Row],[PAIS]],'[1]nome do paixs'!$A:$B,2,0)</f>
        <v>Itália</v>
      </c>
      <c r="J1659" t="s">
        <v>12</v>
      </c>
    </row>
    <row r="1660" spans="1:10">
      <c r="A1660">
        <v>2022</v>
      </c>
      <c r="B1660">
        <v>5</v>
      </c>
      <c r="C1660">
        <v>8807</v>
      </c>
      <c r="D1660">
        <v>824</v>
      </c>
      <c r="E1660" t="s">
        <v>10</v>
      </c>
      <c r="F1660">
        <v>3449904</v>
      </c>
      <c r="G1660" s="1">
        <v>20</v>
      </c>
      <c r="H1660" s="2">
        <v>37700</v>
      </c>
      <c r="I1660" t="str">
        <f>VLOOKUP(Tabela2[[#This Row],[PAIS]],'[1]nome do paixs'!$A:$B,2,0)</f>
        <v>Turcomenistão</v>
      </c>
      <c r="J1660" t="s">
        <v>12</v>
      </c>
    </row>
    <row r="1661" spans="1:10">
      <c r="A1661">
        <v>2022</v>
      </c>
      <c r="B1661">
        <v>6</v>
      </c>
      <c r="C1661">
        <v>8807</v>
      </c>
      <c r="D1661">
        <v>767</v>
      </c>
      <c r="E1661" t="s">
        <v>10</v>
      </c>
      <c r="F1661">
        <v>3449904</v>
      </c>
      <c r="G1661" s="1">
        <v>36</v>
      </c>
      <c r="H1661" s="2">
        <v>75294</v>
      </c>
      <c r="I1661" t="str">
        <f>VLOOKUP(Tabela2[[#This Row],[PAIS]],'[1]nome do paixs'!$A:$B,2,0)</f>
        <v>Suíça</v>
      </c>
      <c r="J1661" t="s">
        <v>12</v>
      </c>
    </row>
    <row r="1662" spans="1:10">
      <c r="A1662">
        <v>2022</v>
      </c>
      <c r="B1662">
        <v>3</v>
      </c>
      <c r="C1662">
        <v>8803</v>
      </c>
      <c r="D1662">
        <v>169</v>
      </c>
      <c r="E1662" t="s">
        <v>10</v>
      </c>
      <c r="F1662">
        <v>3449904</v>
      </c>
      <c r="G1662" s="1">
        <v>0</v>
      </c>
      <c r="H1662" s="2">
        <v>10238</v>
      </c>
      <c r="I1662" t="str">
        <f>VLOOKUP(Tabela2[[#This Row],[PAIS]],'[1]nome do paixs'!$A:$B,2,0)</f>
        <v>Colômbia</v>
      </c>
      <c r="J1662" t="s">
        <v>12</v>
      </c>
    </row>
    <row r="1663" spans="1:10">
      <c r="A1663">
        <v>2022</v>
      </c>
      <c r="B1663">
        <v>9</v>
      </c>
      <c r="C1663">
        <v>8807</v>
      </c>
      <c r="D1663">
        <v>607</v>
      </c>
      <c r="E1663" t="s">
        <v>10</v>
      </c>
      <c r="F1663">
        <v>3449904</v>
      </c>
      <c r="G1663" s="1">
        <v>47</v>
      </c>
      <c r="H1663" s="2">
        <v>80290</v>
      </c>
      <c r="I1663" t="str">
        <f>VLOOKUP(Tabela2[[#This Row],[PAIS]],'[1]nome do paixs'!$A:$B,2,0)</f>
        <v>Portugal</v>
      </c>
      <c r="J1663" t="s">
        <v>12</v>
      </c>
    </row>
    <row r="1664" spans="1:10">
      <c r="A1664">
        <v>2022</v>
      </c>
      <c r="B1664">
        <v>8</v>
      </c>
      <c r="C1664">
        <v>8807</v>
      </c>
      <c r="D1664">
        <v>607</v>
      </c>
      <c r="E1664" t="s">
        <v>10</v>
      </c>
      <c r="F1664">
        <v>3449904</v>
      </c>
      <c r="G1664" s="1">
        <v>28</v>
      </c>
      <c r="H1664" s="2">
        <v>72652</v>
      </c>
      <c r="I1664" t="str">
        <f>VLOOKUP(Tabela2[[#This Row],[PAIS]],'[1]nome do paixs'!$A:$B,2,0)</f>
        <v>Portugal</v>
      </c>
      <c r="J1664" t="s">
        <v>12</v>
      </c>
    </row>
    <row r="1665" spans="1:10">
      <c r="A1665">
        <v>2022</v>
      </c>
      <c r="B1665">
        <v>10</v>
      </c>
      <c r="C1665">
        <v>8807</v>
      </c>
      <c r="D1665">
        <v>275</v>
      </c>
      <c r="E1665" t="s">
        <v>10</v>
      </c>
      <c r="F1665">
        <v>3449904</v>
      </c>
      <c r="G1665" s="1">
        <v>273</v>
      </c>
      <c r="H1665" s="2">
        <v>233990</v>
      </c>
      <c r="I1665" t="str">
        <f>VLOOKUP(Tabela2[[#This Row],[PAIS]],'[1]nome do paixs'!$A:$B,2,0)</f>
        <v>França</v>
      </c>
      <c r="J1665" t="s">
        <v>12</v>
      </c>
    </row>
    <row r="1666" spans="1:10">
      <c r="A1666">
        <v>2022</v>
      </c>
      <c r="B1666">
        <v>9</v>
      </c>
      <c r="C1666">
        <v>8807</v>
      </c>
      <c r="D1666">
        <v>153</v>
      </c>
      <c r="E1666" t="s">
        <v>10</v>
      </c>
      <c r="F1666">
        <v>3449904</v>
      </c>
      <c r="G1666" s="1">
        <v>0</v>
      </c>
      <c r="H1666" s="2">
        <v>128463</v>
      </c>
      <c r="I1666" t="str">
        <f>VLOOKUP(Tabela2[[#This Row],[PAIS]],'[1]nome do paixs'!$A:$B,2,0)</f>
        <v>Cazaquistão</v>
      </c>
      <c r="J1666" t="s">
        <v>12</v>
      </c>
    </row>
    <row r="1667" spans="1:10">
      <c r="A1667">
        <v>2022</v>
      </c>
      <c r="B1667">
        <v>10</v>
      </c>
      <c r="C1667">
        <v>8807</v>
      </c>
      <c r="D1667">
        <v>244</v>
      </c>
      <c r="E1667" t="s">
        <v>10</v>
      </c>
      <c r="F1667">
        <v>3449904</v>
      </c>
      <c r="G1667" s="1">
        <v>27</v>
      </c>
      <c r="H1667" s="2">
        <v>8419</v>
      </c>
      <c r="I1667" t="str">
        <f>VLOOKUP(Tabela2[[#This Row],[PAIS]],'[1]nome do paixs'!$A:$B,2,0)</f>
        <v>Emirados Árabes Unidos</v>
      </c>
      <c r="J1667" t="s">
        <v>12</v>
      </c>
    </row>
    <row r="1668" spans="1:10">
      <c r="A1668">
        <v>2022</v>
      </c>
      <c r="B1668">
        <v>4</v>
      </c>
      <c r="C1668">
        <v>8807</v>
      </c>
      <c r="D1668">
        <v>488</v>
      </c>
      <c r="E1668" t="s">
        <v>10</v>
      </c>
      <c r="F1668">
        <v>3449904</v>
      </c>
      <c r="G1668" s="1">
        <v>0</v>
      </c>
      <c r="H1668" s="2">
        <v>11440</v>
      </c>
      <c r="I1668" t="str">
        <f>VLOOKUP(Tabela2[[#This Row],[PAIS]],'[1]nome do paixs'!$A:$B,2,0)</f>
        <v>Mauritânia</v>
      </c>
      <c r="J1668" t="s">
        <v>12</v>
      </c>
    </row>
    <row r="1669" spans="1:10">
      <c r="A1669">
        <v>2022</v>
      </c>
      <c r="B1669">
        <v>9</v>
      </c>
      <c r="C1669">
        <v>8807</v>
      </c>
      <c r="D1669">
        <v>249</v>
      </c>
      <c r="E1669" t="s">
        <v>10</v>
      </c>
      <c r="F1669">
        <v>3424402</v>
      </c>
      <c r="G1669" s="1">
        <v>237</v>
      </c>
      <c r="H1669" s="2">
        <v>112152</v>
      </c>
      <c r="I1669" t="str">
        <f>VLOOKUP(Tabela2[[#This Row],[PAIS]],'[1]nome do paixs'!$A:$B,2,0)</f>
        <v>Estados Unidos</v>
      </c>
      <c r="J1669" t="s">
        <v>13</v>
      </c>
    </row>
    <row r="1670" spans="1:10">
      <c r="A1670">
        <v>2022</v>
      </c>
      <c r="B1670">
        <v>2</v>
      </c>
      <c r="C1670">
        <v>8803</v>
      </c>
      <c r="D1670">
        <v>249</v>
      </c>
      <c r="E1670" t="s">
        <v>10</v>
      </c>
      <c r="F1670">
        <v>3424402</v>
      </c>
      <c r="G1670" s="1">
        <v>101</v>
      </c>
      <c r="H1670" s="2">
        <v>52413</v>
      </c>
      <c r="I1670" t="str">
        <f>VLOOKUP(Tabela2[[#This Row],[PAIS]],'[1]nome do paixs'!$A:$B,2,0)</f>
        <v>Estados Unidos</v>
      </c>
      <c r="J1670" t="s">
        <v>13</v>
      </c>
    </row>
    <row r="1671" spans="1:10">
      <c r="A1671">
        <v>2022</v>
      </c>
      <c r="B1671">
        <v>8</v>
      </c>
      <c r="C1671">
        <v>8807</v>
      </c>
      <c r="D1671">
        <v>275</v>
      </c>
      <c r="E1671" t="s">
        <v>10</v>
      </c>
      <c r="F1671">
        <v>3424402</v>
      </c>
      <c r="G1671" s="1">
        <v>7915</v>
      </c>
      <c r="H1671" s="2">
        <v>5071477</v>
      </c>
      <c r="I1671" t="str">
        <f>VLOOKUP(Tabela2[[#This Row],[PAIS]],'[1]nome do paixs'!$A:$B,2,0)</f>
        <v>França</v>
      </c>
      <c r="J1671" t="s">
        <v>13</v>
      </c>
    </row>
    <row r="1672" spans="1:10">
      <c r="A1672">
        <v>2022</v>
      </c>
      <c r="B1672">
        <v>5</v>
      </c>
      <c r="C1672">
        <v>8807</v>
      </c>
      <c r="D1672">
        <v>245</v>
      </c>
      <c r="E1672" t="s">
        <v>10</v>
      </c>
      <c r="F1672">
        <v>3424402</v>
      </c>
      <c r="G1672" s="1">
        <v>25</v>
      </c>
      <c r="H1672" s="2">
        <v>25200</v>
      </c>
      <c r="I1672" t="str">
        <f>VLOOKUP(Tabela2[[#This Row],[PAIS]],'[1]nome do paixs'!$A:$B,2,0)</f>
        <v>Espanha</v>
      </c>
      <c r="J1672" t="s">
        <v>13</v>
      </c>
    </row>
    <row r="1673" spans="1:10">
      <c r="A1673">
        <v>2022</v>
      </c>
      <c r="B1673">
        <v>8</v>
      </c>
      <c r="C1673">
        <v>8807</v>
      </c>
      <c r="D1673">
        <v>249</v>
      </c>
      <c r="E1673" t="s">
        <v>10</v>
      </c>
      <c r="F1673">
        <v>3424402</v>
      </c>
      <c r="G1673" s="1">
        <v>202</v>
      </c>
      <c r="H1673" s="2">
        <v>82432</v>
      </c>
      <c r="I1673" t="str">
        <f>VLOOKUP(Tabela2[[#This Row],[PAIS]],'[1]nome do paixs'!$A:$B,2,0)</f>
        <v>Estados Unidos</v>
      </c>
      <c r="J1673" t="s">
        <v>13</v>
      </c>
    </row>
    <row r="1674" spans="1:10">
      <c r="A1674">
        <v>2022</v>
      </c>
      <c r="B1674">
        <v>12</v>
      </c>
      <c r="C1674">
        <v>8807</v>
      </c>
      <c r="D1674">
        <v>275</v>
      </c>
      <c r="E1674" t="s">
        <v>10</v>
      </c>
      <c r="F1674">
        <v>3424402</v>
      </c>
      <c r="G1674" s="1">
        <v>7492</v>
      </c>
      <c r="H1674" s="2">
        <v>5068195</v>
      </c>
      <c r="I1674" t="str">
        <f>VLOOKUP(Tabela2[[#This Row],[PAIS]],'[1]nome do paixs'!$A:$B,2,0)</f>
        <v>França</v>
      </c>
      <c r="J1674" t="s">
        <v>13</v>
      </c>
    </row>
    <row r="1675" spans="1:10">
      <c r="A1675">
        <v>2022</v>
      </c>
      <c r="B1675">
        <v>5</v>
      </c>
      <c r="C1675">
        <v>8807</v>
      </c>
      <c r="D1675">
        <v>249</v>
      </c>
      <c r="E1675" t="s">
        <v>10</v>
      </c>
      <c r="F1675">
        <v>3424402</v>
      </c>
      <c r="G1675" s="1">
        <v>166</v>
      </c>
      <c r="H1675" s="2">
        <v>72475</v>
      </c>
      <c r="I1675" t="str">
        <f>VLOOKUP(Tabela2[[#This Row],[PAIS]],'[1]nome do paixs'!$A:$B,2,0)</f>
        <v>Estados Unidos</v>
      </c>
      <c r="J1675" t="s">
        <v>13</v>
      </c>
    </row>
    <row r="1676" spans="1:10">
      <c r="A1676">
        <v>2022</v>
      </c>
      <c r="B1676">
        <v>10</v>
      </c>
      <c r="C1676">
        <v>8807</v>
      </c>
      <c r="D1676">
        <v>249</v>
      </c>
      <c r="E1676" t="s">
        <v>10</v>
      </c>
      <c r="F1676">
        <v>3424402</v>
      </c>
      <c r="G1676" s="1">
        <v>159</v>
      </c>
      <c r="H1676" s="2">
        <v>64495</v>
      </c>
      <c r="I1676" t="str">
        <f>VLOOKUP(Tabela2[[#This Row],[PAIS]],'[1]nome do paixs'!$A:$B,2,0)</f>
        <v>Estados Unidos</v>
      </c>
      <c r="J1676" t="s">
        <v>13</v>
      </c>
    </row>
    <row r="1677" spans="1:10">
      <c r="A1677">
        <v>2022</v>
      </c>
      <c r="B1677">
        <v>5</v>
      </c>
      <c r="C1677">
        <v>8807</v>
      </c>
      <c r="D1677">
        <v>275</v>
      </c>
      <c r="E1677" t="s">
        <v>10</v>
      </c>
      <c r="F1677">
        <v>3424402</v>
      </c>
      <c r="G1677" s="1">
        <v>7296</v>
      </c>
      <c r="H1677" s="2">
        <v>3978852</v>
      </c>
      <c r="I1677" t="str">
        <f>VLOOKUP(Tabela2[[#This Row],[PAIS]],'[1]nome do paixs'!$A:$B,2,0)</f>
        <v>França</v>
      </c>
      <c r="J1677" t="s">
        <v>13</v>
      </c>
    </row>
    <row r="1678" spans="1:10">
      <c r="A1678">
        <v>2022</v>
      </c>
      <c r="B1678">
        <v>11</v>
      </c>
      <c r="C1678">
        <v>8807</v>
      </c>
      <c r="D1678">
        <v>741</v>
      </c>
      <c r="E1678" t="s">
        <v>10</v>
      </c>
      <c r="F1678">
        <v>3424402</v>
      </c>
      <c r="G1678" s="1">
        <v>2</v>
      </c>
      <c r="H1678" s="2">
        <v>3142</v>
      </c>
      <c r="I1678" t="str">
        <f>VLOOKUP(Tabela2[[#This Row],[PAIS]],'[1]nome do paixs'!$A:$B,2,0)</f>
        <v>Singapura</v>
      </c>
      <c r="J1678" t="s">
        <v>13</v>
      </c>
    </row>
    <row r="1679" spans="1:10">
      <c r="A1679">
        <v>2022</v>
      </c>
      <c r="B1679">
        <v>4</v>
      </c>
      <c r="C1679">
        <v>8807</v>
      </c>
      <c r="D1679">
        <v>249</v>
      </c>
      <c r="E1679" t="s">
        <v>10</v>
      </c>
      <c r="F1679">
        <v>3424402</v>
      </c>
      <c r="G1679" s="1">
        <v>87</v>
      </c>
      <c r="H1679" s="2">
        <v>38894</v>
      </c>
      <c r="I1679" t="str">
        <f>VLOOKUP(Tabela2[[#This Row],[PAIS]],'[1]nome do paixs'!$A:$B,2,0)</f>
        <v>Estados Unidos</v>
      </c>
      <c r="J1679" t="s">
        <v>13</v>
      </c>
    </row>
    <row r="1680" spans="1:10">
      <c r="A1680">
        <v>2022</v>
      </c>
      <c r="B1680">
        <v>3</v>
      </c>
      <c r="C1680">
        <v>8803</v>
      </c>
      <c r="D1680">
        <v>275</v>
      </c>
      <c r="E1680" t="s">
        <v>10</v>
      </c>
      <c r="F1680">
        <v>3424402</v>
      </c>
      <c r="G1680" s="1">
        <v>9022</v>
      </c>
      <c r="H1680" s="2">
        <v>5185700</v>
      </c>
      <c r="I1680" t="str">
        <f>VLOOKUP(Tabela2[[#This Row],[PAIS]],'[1]nome do paixs'!$A:$B,2,0)</f>
        <v>França</v>
      </c>
      <c r="J1680" t="s">
        <v>13</v>
      </c>
    </row>
    <row r="1681" spans="1:10">
      <c r="A1681">
        <v>2022</v>
      </c>
      <c r="B1681">
        <v>4</v>
      </c>
      <c r="C1681">
        <v>8807</v>
      </c>
      <c r="D1681">
        <v>275</v>
      </c>
      <c r="E1681" t="s">
        <v>10</v>
      </c>
      <c r="F1681">
        <v>3424402</v>
      </c>
      <c r="G1681" s="1">
        <v>7241</v>
      </c>
      <c r="H1681" s="2">
        <v>4038584</v>
      </c>
      <c r="I1681" t="str">
        <f>VLOOKUP(Tabela2[[#This Row],[PAIS]],'[1]nome do paixs'!$A:$B,2,0)</f>
        <v>França</v>
      </c>
      <c r="J1681" t="s">
        <v>13</v>
      </c>
    </row>
    <row r="1682" spans="1:10">
      <c r="A1682">
        <v>2022</v>
      </c>
      <c r="B1682">
        <v>2</v>
      </c>
      <c r="C1682">
        <v>8803</v>
      </c>
      <c r="D1682">
        <v>275</v>
      </c>
      <c r="E1682" t="s">
        <v>10</v>
      </c>
      <c r="F1682">
        <v>3424402</v>
      </c>
      <c r="G1682" s="1">
        <v>6166</v>
      </c>
      <c r="H1682" s="2">
        <v>3803198</v>
      </c>
      <c r="I1682" t="str">
        <f>VLOOKUP(Tabela2[[#This Row],[PAIS]],'[1]nome do paixs'!$A:$B,2,0)</f>
        <v>França</v>
      </c>
      <c r="J1682" t="s">
        <v>13</v>
      </c>
    </row>
    <row r="1683" spans="1:10">
      <c r="A1683">
        <v>2022</v>
      </c>
      <c r="B1683">
        <v>9</v>
      </c>
      <c r="C1683">
        <v>8807</v>
      </c>
      <c r="D1683">
        <v>399</v>
      </c>
      <c r="E1683" t="s">
        <v>10</v>
      </c>
      <c r="F1683">
        <v>3424402</v>
      </c>
      <c r="G1683" s="1">
        <v>120</v>
      </c>
      <c r="H1683" s="2">
        <v>119069</v>
      </c>
      <c r="I1683" t="str">
        <f>VLOOKUP(Tabela2[[#This Row],[PAIS]],'[1]nome do paixs'!$A:$B,2,0)</f>
        <v>Japão</v>
      </c>
      <c r="J1683" t="s">
        <v>13</v>
      </c>
    </row>
    <row r="1684" spans="1:10">
      <c r="A1684">
        <v>2022</v>
      </c>
      <c r="B1684">
        <v>11</v>
      </c>
      <c r="C1684">
        <v>8807</v>
      </c>
      <c r="D1684">
        <v>275</v>
      </c>
      <c r="E1684" t="s">
        <v>10</v>
      </c>
      <c r="F1684">
        <v>3424402</v>
      </c>
      <c r="G1684" s="1">
        <v>5587</v>
      </c>
      <c r="H1684" s="2">
        <v>4102149</v>
      </c>
      <c r="I1684" t="str">
        <f>VLOOKUP(Tabela2[[#This Row],[PAIS]],'[1]nome do paixs'!$A:$B,2,0)</f>
        <v>França</v>
      </c>
      <c r="J1684" t="s">
        <v>13</v>
      </c>
    </row>
    <row r="1685" spans="1:10">
      <c r="A1685">
        <v>2022</v>
      </c>
      <c r="B1685">
        <v>4</v>
      </c>
      <c r="C1685">
        <v>8803</v>
      </c>
      <c r="D1685">
        <v>249</v>
      </c>
      <c r="E1685" t="s">
        <v>10</v>
      </c>
      <c r="F1685">
        <v>3424402</v>
      </c>
      <c r="G1685" s="1">
        <v>19</v>
      </c>
      <c r="H1685" s="2">
        <v>2891</v>
      </c>
      <c r="I1685" t="str">
        <f>VLOOKUP(Tabela2[[#This Row],[PAIS]],'[1]nome do paixs'!$A:$B,2,0)</f>
        <v>Estados Unidos</v>
      </c>
      <c r="J1685" t="s">
        <v>13</v>
      </c>
    </row>
    <row r="1686" spans="1:10">
      <c r="A1686">
        <v>2022</v>
      </c>
      <c r="B1686">
        <v>6</v>
      </c>
      <c r="C1686">
        <v>8807</v>
      </c>
      <c r="D1686">
        <v>275</v>
      </c>
      <c r="E1686" t="s">
        <v>10</v>
      </c>
      <c r="F1686">
        <v>3424402</v>
      </c>
      <c r="G1686" s="1">
        <v>6758</v>
      </c>
      <c r="H1686" s="2">
        <v>3934076</v>
      </c>
      <c r="I1686" t="str">
        <f>VLOOKUP(Tabela2[[#This Row],[PAIS]],'[1]nome do paixs'!$A:$B,2,0)</f>
        <v>França</v>
      </c>
      <c r="J1686" t="s">
        <v>13</v>
      </c>
    </row>
    <row r="1687" spans="1:10">
      <c r="A1687">
        <v>2022</v>
      </c>
      <c r="B1687">
        <v>12</v>
      </c>
      <c r="C1687">
        <v>8807</v>
      </c>
      <c r="D1687">
        <v>249</v>
      </c>
      <c r="E1687" t="s">
        <v>10</v>
      </c>
      <c r="F1687">
        <v>3424402</v>
      </c>
      <c r="G1687" s="1">
        <v>121</v>
      </c>
      <c r="H1687" s="2">
        <v>48580</v>
      </c>
      <c r="I1687" t="str">
        <f>VLOOKUP(Tabela2[[#This Row],[PAIS]],'[1]nome do paixs'!$A:$B,2,0)</f>
        <v>Estados Unidos</v>
      </c>
      <c r="J1687" t="s">
        <v>13</v>
      </c>
    </row>
    <row r="1688" spans="1:10">
      <c r="A1688">
        <v>2022</v>
      </c>
      <c r="B1688">
        <v>3</v>
      </c>
      <c r="C1688">
        <v>8803</v>
      </c>
      <c r="D1688">
        <v>249</v>
      </c>
      <c r="E1688" t="s">
        <v>10</v>
      </c>
      <c r="F1688">
        <v>3424402</v>
      </c>
      <c r="G1688" s="1">
        <v>82</v>
      </c>
      <c r="H1688" s="2">
        <v>39113</v>
      </c>
      <c r="I1688" t="str">
        <f>VLOOKUP(Tabela2[[#This Row],[PAIS]],'[1]nome do paixs'!$A:$B,2,0)</f>
        <v>Estados Unidos</v>
      </c>
      <c r="J1688" t="s">
        <v>13</v>
      </c>
    </row>
    <row r="1689" spans="1:10">
      <c r="A1689">
        <v>2022</v>
      </c>
      <c r="B1689">
        <v>6</v>
      </c>
      <c r="C1689">
        <v>8807</v>
      </c>
      <c r="D1689">
        <v>249</v>
      </c>
      <c r="E1689" t="s">
        <v>10</v>
      </c>
      <c r="F1689">
        <v>3424402</v>
      </c>
      <c r="G1689" s="1">
        <v>163</v>
      </c>
      <c r="H1689" s="2">
        <v>64789</v>
      </c>
      <c r="I1689" t="str">
        <f>VLOOKUP(Tabela2[[#This Row],[PAIS]],'[1]nome do paixs'!$A:$B,2,0)</f>
        <v>Estados Unidos</v>
      </c>
      <c r="J1689" t="s">
        <v>13</v>
      </c>
    </row>
    <row r="1690" spans="1:10">
      <c r="A1690">
        <v>2022</v>
      </c>
      <c r="B1690">
        <v>11</v>
      </c>
      <c r="C1690">
        <v>8807</v>
      </c>
      <c r="D1690">
        <v>249</v>
      </c>
      <c r="E1690" t="s">
        <v>10</v>
      </c>
      <c r="F1690">
        <v>3424402</v>
      </c>
      <c r="G1690" s="1">
        <v>113</v>
      </c>
      <c r="H1690" s="2">
        <v>54356</v>
      </c>
      <c r="I1690" t="str">
        <f>VLOOKUP(Tabela2[[#This Row],[PAIS]],'[1]nome do paixs'!$A:$B,2,0)</f>
        <v>Estados Unidos</v>
      </c>
      <c r="J1690" t="s">
        <v>13</v>
      </c>
    </row>
    <row r="1691" spans="1:10">
      <c r="A1691">
        <v>2022</v>
      </c>
      <c r="B1691">
        <v>4</v>
      </c>
      <c r="C1691">
        <v>8803</v>
      </c>
      <c r="D1691">
        <v>275</v>
      </c>
      <c r="E1691" t="s">
        <v>10</v>
      </c>
      <c r="F1691">
        <v>3424402</v>
      </c>
      <c r="G1691" s="1">
        <v>266</v>
      </c>
      <c r="H1691" s="2">
        <v>260763</v>
      </c>
      <c r="I1691" t="str">
        <f>VLOOKUP(Tabela2[[#This Row],[PAIS]],'[1]nome do paixs'!$A:$B,2,0)</f>
        <v>França</v>
      </c>
      <c r="J1691" t="s">
        <v>13</v>
      </c>
    </row>
    <row r="1692" spans="1:10">
      <c r="A1692">
        <v>2022</v>
      </c>
      <c r="B1692">
        <v>7</v>
      </c>
      <c r="C1692">
        <v>8807</v>
      </c>
      <c r="D1692">
        <v>275</v>
      </c>
      <c r="E1692" t="s">
        <v>10</v>
      </c>
      <c r="F1692">
        <v>3424402</v>
      </c>
      <c r="G1692" s="1">
        <v>8417</v>
      </c>
      <c r="H1692" s="2">
        <v>5256483</v>
      </c>
      <c r="I1692" t="str">
        <f>VLOOKUP(Tabela2[[#This Row],[PAIS]],'[1]nome do paixs'!$A:$B,2,0)</f>
        <v>França</v>
      </c>
      <c r="J1692" t="s">
        <v>13</v>
      </c>
    </row>
    <row r="1693" spans="1:10">
      <c r="A1693">
        <v>2022</v>
      </c>
      <c r="B1693">
        <v>1</v>
      </c>
      <c r="C1693">
        <v>8803</v>
      </c>
      <c r="D1693">
        <v>275</v>
      </c>
      <c r="E1693" t="s">
        <v>10</v>
      </c>
      <c r="F1693">
        <v>3424402</v>
      </c>
      <c r="G1693" s="1">
        <v>5505</v>
      </c>
      <c r="H1693" s="2">
        <v>3537028</v>
      </c>
      <c r="I1693" t="str">
        <f>VLOOKUP(Tabela2[[#This Row],[PAIS]],'[1]nome do paixs'!$A:$B,2,0)</f>
        <v>França</v>
      </c>
      <c r="J1693" t="s">
        <v>13</v>
      </c>
    </row>
    <row r="1694" spans="1:10">
      <c r="A1694">
        <v>2022</v>
      </c>
      <c r="B1694">
        <v>10</v>
      </c>
      <c r="C1694">
        <v>8807</v>
      </c>
      <c r="D1694">
        <v>275</v>
      </c>
      <c r="E1694" t="s">
        <v>10</v>
      </c>
      <c r="F1694">
        <v>3424402</v>
      </c>
      <c r="G1694" s="1">
        <v>4149</v>
      </c>
      <c r="H1694" s="2">
        <v>3778483</v>
      </c>
      <c r="I1694" t="str">
        <f>VLOOKUP(Tabela2[[#This Row],[PAIS]],'[1]nome do paixs'!$A:$B,2,0)</f>
        <v>França</v>
      </c>
      <c r="J1694" t="s">
        <v>13</v>
      </c>
    </row>
    <row r="1695" spans="1:10">
      <c r="A1695">
        <v>2022</v>
      </c>
      <c r="B1695">
        <v>7</v>
      </c>
      <c r="C1695">
        <v>8807</v>
      </c>
      <c r="D1695">
        <v>249</v>
      </c>
      <c r="E1695" t="s">
        <v>10</v>
      </c>
      <c r="F1695">
        <v>3424402</v>
      </c>
      <c r="G1695" s="1">
        <v>212</v>
      </c>
      <c r="H1695" s="2">
        <v>90978</v>
      </c>
      <c r="I1695" t="str">
        <f>VLOOKUP(Tabela2[[#This Row],[PAIS]],'[1]nome do paixs'!$A:$B,2,0)</f>
        <v>Estados Unidos</v>
      </c>
      <c r="J1695" t="s">
        <v>13</v>
      </c>
    </row>
    <row r="1696" spans="1:10">
      <c r="A1696">
        <v>2022</v>
      </c>
      <c r="B1696">
        <v>9</v>
      </c>
      <c r="C1696">
        <v>8807</v>
      </c>
      <c r="D1696">
        <v>275</v>
      </c>
      <c r="E1696" t="s">
        <v>10</v>
      </c>
      <c r="F1696">
        <v>3424402</v>
      </c>
      <c r="G1696" s="1">
        <v>6035</v>
      </c>
      <c r="H1696" s="2">
        <v>3967650</v>
      </c>
      <c r="I1696" t="str">
        <f>VLOOKUP(Tabela2[[#This Row],[PAIS]],'[1]nome do paixs'!$A:$B,2,0)</f>
        <v>França</v>
      </c>
      <c r="J1696" t="s">
        <v>13</v>
      </c>
    </row>
    <row r="1697" spans="1:10">
      <c r="A1697">
        <v>2021</v>
      </c>
      <c r="B1697">
        <v>6</v>
      </c>
      <c r="C1697">
        <v>8803</v>
      </c>
      <c r="D1697">
        <v>247</v>
      </c>
      <c r="E1697" t="s">
        <v>10</v>
      </c>
      <c r="F1697">
        <v>3454102</v>
      </c>
      <c r="G1697" s="1">
        <v>1</v>
      </c>
      <c r="H1697" s="2">
        <v>1434</v>
      </c>
      <c r="I1697" t="str">
        <f>VLOOKUP(Tabela2[[#This Row],[PAIS]],'[1]nome do paixs'!$A:$B,2,0)</f>
        <v>Eslováquia</v>
      </c>
      <c r="J1697" t="s">
        <v>11</v>
      </c>
    </row>
    <row r="1698" spans="1:10">
      <c r="A1698">
        <v>2021</v>
      </c>
      <c r="B1698">
        <v>10</v>
      </c>
      <c r="C1698">
        <v>8803</v>
      </c>
      <c r="D1698">
        <v>149</v>
      </c>
      <c r="E1698" t="s">
        <v>10</v>
      </c>
      <c r="F1698">
        <v>3454102</v>
      </c>
      <c r="G1698" s="1">
        <v>0</v>
      </c>
      <c r="H1698" s="2">
        <v>288</v>
      </c>
      <c r="I1698" t="str">
        <f>VLOOKUP(Tabela2[[#This Row],[PAIS]],'[1]nome do paixs'!$A:$B,2,0)</f>
        <v>Canadá</v>
      </c>
      <c r="J1698" t="s">
        <v>11</v>
      </c>
    </row>
    <row r="1699" spans="1:10">
      <c r="A1699">
        <v>2021</v>
      </c>
      <c r="B1699">
        <v>10</v>
      </c>
      <c r="C1699">
        <v>8803</v>
      </c>
      <c r="D1699">
        <v>756</v>
      </c>
      <c r="E1699" t="s">
        <v>10</v>
      </c>
      <c r="F1699">
        <v>3454102</v>
      </c>
      <c r="G1699" s="1">
        <v>0</v>
      </c>
      <c r="H1699" s="2">
        <v>2011</v>
      </c>
      <c r="I1699" t="str">
        <f>VLOOKUP(Tabela2[[#This Row],[PAIS]],'[1]nome do paixs'!$A:$B,2,0)</f>
        <v>África do Sul</v>
      </c>
      <c r="J1699" t="s">
        <v>11</v>
      </c>
    </row>
    <row r="1700" spans="1:10">
      <c r="A1700">
        <v>2021</v>
      </c>
      <c r="B1700">
        <v>4</v>
      </c>
      <c r="C1700">
        <v>8803</v>
      </c>
      <c r="D1700">
        <v>607</v>
      </c>
      <c r="E1700" t="s">
        <v>10</v>
      </c>
      <c r="F1700">
        <v>3454102</v>
      </c>
      <c r="G1700" s="1">
        <v>10</v>
      </c>
      <c r="H1700" s="2">
        <v>25169</v>
      </c>
      <c r="I1700" t="str">
        <f>VLOOKUP(Tabela2[[#This Row],[PAIS]],'[1]nome do paixs'!$A:$B,2,0)</f>
        <v>Portugal</v>
      </c>
      <c r="J1700" t="s">
        <v>11</v>
      </c>
    </row>
    <row r="1701" spans="1:10">
      <c r="A1701">
        <v>2021</v>
      </c>
      <c r="B1701">
        <v>11</v>
      </c>
      <c r="C1701">
        <v>8803</v>
      </c>
      <c r="D1701">
        <v>161</v>
      </c>
      <c r="E1701" t="s">
        <v>10</v>
      </c>
      <c r="F1701">
        <v>3454102</v>
      </c>
      <c r="G1701" s="1">
        <v>5</v>
      </c>
      <c r="H1701" s="2">
        <v>3619</v>
      </c>
      <c r="I1701" t="str">
        <f>VLOOKUP(Tabela2[[#This Row],[PAIS]],'[1]nome do paixs'!$A:$B,2,0)</f>
        <v>Taiwan (Formosa)</v>
      </c>
      <c r="J1701" t="s">
        <v>11</v>
      </c>
    </row>
    <row r="1702" spans="1:10">
      <c r="A1702">
        <v>2021</v>
      </c>
      <c r="B1702">
        <v>4</v>
      </c>
      <c r="C1702">
        <v>8803</v>
      </c>
      <c r="D1702">
        <v>603</v>
      </c>
      <c r="E1702" t="s">
        <v>10</v>
      </c>
      <c r="F1702">
        <v>3454102</v>
      </c>
      <c r="G1702" s="1">
        <v>1</v>
      </c>
      <c r="H1702" s="2">
        <v>3738</v>
      </c>
      <c r="I1702" t="str">
        <f>VLOOKUP(Tabela2[[#This Row],[PAIS]],'[1]nome do paixs'!$A:$B,2,0)</f>
        <v>Polônia</v>
      </c>
      <c r="J1702" t="s">
        <v>11</v>
      </c>
    </row>
    <row r="1703" spans="1:10">
      <c r="A1703">
        <v>2021</v>
      </c>
      <c r="B1703">
        <v>5</v>
      </c>
      <c r="C1703">
        <v>8803</v>
      </c>
      <c r="D1703">
        <v>87</v>
      </c>
      <c r="E1703" t="s">
        <v>10</v>
      </c>
      <c r="F1703">
        <v>3454102</v>
      </c>
      <c r="G1703" s="1">
        <v>29</v>
      </c>
      <c r="H1703" s="2">
        <v>32113</v>
      </c>
      <c r="I1703" t="str">
        <f>VLOOKUP(Tabela2[[#This Row],[PAIS]],'[1]nome do paixs'!$A:$B,2,0)</f>
        <v>Bélgica</v>
      </c>
      <c r="J1703" t="s">
        <v>11</v>
      </c>
    </row>
    <row r="1704" spans="1:10">
      <c r="A1704">
        <v>2021</v>
      </c>
      <c r="B1704">
        <v>12</v>
      </c>
      <c r="C1704">
        <v>8803</v>
      </c>
      <c r="D1704">
        <v>247</v>
      </c>
      <c r="E1704" t="s">
        <v>10</v>
      </c>
      <c r="F1704">
        <v>3454102</v>
      </c>
      <c r="G1704" s="1">
        <v>2</v>
      </c>
      <c r="H1704" s="2">
        <v>3673</v>
      </c>
      <c r="I1704" t="str">
        <f>VLOOKUP(Tabela2[[#This Row],[PAIS]],'[1]nome do paixs'!$A:$B,2,0)</f>
        <v>Eslováquia</v>
      </c>
      <c r="J1704" t="s">
        <v>11</v>
      </c>
    </row>
    <row r="1705" spans="1:10">
      <c r="A1705">
        <v>2021</v>
      </c>
      <c r="B1705">
        <v>1</v>
      </c>
      <c r="C1705">
        <v>8803</v>
      </c>
      <c r="D1705">
        <v>386</v>
      </c>
      <c r="E1705" t="s">
        <v>10</v>
      </c>
      <c r="F1705">
        <v>3454102</v>
      </c>
      <c r="G1705" s="1">
        <v>1</v>
      </c>
      <c r="H1705" s="2">
        <v>7389</v>
      </c>
      <c r="I1705" t="str">
        <f>VLOOKUP(Tabela2[[#This Row],[PAIS]],'[1]nome do paixs'!$A:$B,2,0)</f>
        <v>Itália</v>
      </c>
      <c r="J1705" t="s">
        <v>11</v>
      </c>
    </row>
    <row r="1706" spans="1:10">
      <c r="A1706">
        <v>2021</v>
      </c>
      <c r="B1706">
        <v>7</v>
      </c>
      <c r="C1706">
        <v>8803</v>
      </c>
      <c r="D1706">
        <v>161</v>
      </c>
      <c r="E1706" t="s">
        <v>10</v>
      </c>
      <c r="F1706">
        <v>3454102</v>
      </c>
      <c r="G1706" s="1">
        <v>0</v>
      </c>
      <c r="H1706" s="2">
        <v>424</v>
      </c>
      <c r="I1706" t="str">
        <f>VLOOKUP(Tabela2[[#This Row],[PAIS]],'[1]nome do paixs'!$A:$B,2,0)</f>
        <v>Taiwan (Formosa)</v>
      </c>
      <c r="J1706" t="s">
        <v>11</v>
      </c>
    </row>
    <row r="1707" spans="1:10">
      <c r="A1707">
        <v>2021</v>
      </c>
      <c r="B1707">
        <v>10</v>
      </c>
      <c r="C1707">
        <v>8803</v>
      </c>
      <c r="D1707">
        <v>160</v>
      </c>
      <c r="E1707" t="s">
        <v>10</v>
      </c>
      <c r="F1707">
        <v>3454102</v>
      </c>
      <c r="G1707" s="1">
        <v>27</v>
      </c>
      <c r="H1707" s="2">
        <v>10746</v>
      </c>
      <c r="I1707" t="str">
        <f>VLOOKUP(Tabela2[[#This Row],[PAIS]],'[1]nome do paixs'!$A:$B,2,0)</f>
        <v>China</v>
      </c>
      <c r="J1707" t="s">
        <v>11</v>
      </c>
    </row>
    <row r="1708" spans="1:10">
      <c r="A1708">
        <v>2021</v>
      </c>
      <c r="B1708">
        <v>10</v>
      </c>
      <c r="C1708">
        <v>8803</v>
      </c>
      <c r="D1708">
        <v>493</v>
      </c>
      <c r="E1708" t="s">
        <v>10</v>
      </c>
      <c r="F1708">
        <v>3454102</v>
      </c>
      <c r="G1708" s="1">
        <v>1</v>
      </c>
      <c r="H1708" s="2">
        <v>1312</v>
      </c>
      <c r="I1708" t="str">
        <f>VLOOKUP(Tabela2[[#This Row],[PAIS]],'[1]nome do paixs'!$A:$B,2,0)</f>
        <v>México</v>
      </c>
      <c r="J1708" t="s">
        <v>11</v>
      </c>
    </row>
    <row r="1709" spans="1:10">
      <c r="A1709">
        <v>2021</v>
      </c>
      <c r="B1709">
        <v>12</v>
      </c>
      <c r="C1709">
        <v>8803</v>
      </c>
      <c r="D1709">
        <v>493</v>
      </c>
      <c r="E1709" t="s">
        <v>10</v>
      </c>
      <c r="F1709">
        <v>3454102</v>
      </c>
      <c r="G1709" s="1">
        <v>18</v>
      </c>
      <c r="H1709" s="2">
        <v>51486</v>
      </c>
      <c r="I1709" t="str">
        <f>VLOOKUP(Tabela2[[#This Row],[PAIS]],'[1]nome do paixs'!$A:$B,2,0)</f>
        <v>México</v>
      </c>
      <c r="J1709" t="s">
        <v>11</v>
      </c>
    </row>
    <row r="1710" spans="1:10">
      <c r="A1710">
        <v>2021</v>
      </c>
      <c r="B1710">
        <v>7</v>
      </c>
      <c r="C1710">
        <v>8803</v>
      </c>
      <c r="D1710">
        <v>628</v>
      </c>
      <c r="E1710" t="s">
        <v>10</v>
      </c>
      <c r="F1710">
        <v>3454102</v>
      </c>
      <c r="G1710" s="1">
        <v>1</v>
      </c>
      <c r="H1710" s="2">
        <v>5311</v>
      </c>
      <c r="I1710" t="str">
        <f>VLOOKUP(Tabela2[[#This Row],[PAIS]],'[1]nome do paixs'!$A:$B,2,0)</f>
        <v>Reino Unido</v>
      </c>
      <c r="J1710" t="s">
        <v>11</v>
      </c>
    </row>
    <row r="1711" spans="1:10">
      <c r="A1711">
        <v>2021</v>
      </c>
      <c r="B1711">
        <v>2</v>
      </c>
      <c r="C1711">
        <v>8803</v>
      </c>
      <c r="D1711">
        <v>573</v>
      </c>
      <c r="E1711" t="s">
        <v>10</v>
      </c>
      <c r="F1711">
        <v>3454102</v>
      </c>
      <c r="G1711" s="1">
        <v>2</v>
      </c>
      <c r="H1711" s="2">
        <v>15968</v>
      </c>
      <c r="I1711" t="str">
        <f>VLOOKUP(Tabela2[[#This Row],[PAIS]],'[1]nome do paixs'!$A:$B,2,0)</f>
        <v>Países Baixos (Holanda)</v>
      </c>
      <c r="J1711" t="s">
        <v>11</v>
      </c>
    </row>
    <row r="1712" spans="1:10">
      <c r="A1712">
        <v>2021</v>
      </c>
      <c r="B1712">
        <v>10</v>
      </c>
      <c r="C1712">
        <v>8803</v>
      </c>
      <c r="D1712">
        <v>275</v>
      </c>
      <c r="E1712" t="s">
        <v>10</v>
      </c>
      <c r="F1712">
        <v>3454102</v>
      </c>
      <c r="G1712" s="1">
        <v>191</v>
      </c>
      <c r="H1712" s="2">
        <v>191309</v>
      </c>
      <c r="I1712" t="str">
        <f>VLOOKUP(Tabela2[[#This Row],[PAIS]],'[1]nome do paixs'!$A:$B,2,0)</f>
        <v>França</v>
      </c>
      <c r="J1712" t="s">
        <v>11</v>
      </c>
    </row>
    <row r="1713" spans="1:10">
      <c r="A1713">
        <v>2021</v>
      </c>
      <c r="B1713">
        <v>8</v>
      </c>
      <c r="C1713">
        <v>8803</v>
      </c>
      <c r="D1713">
        <v>399</v>
      </c>
      <c r="E1713" t="s">
        <v>10</v>
      </c>
      <c r="F1713">
        <v>3454102</v>
      </c>
      <c r="G1713" s="1">
        <v>8</v>
      </c>
      <c r="H1713" s="2">
        <v>22154</v>
      </c>
      <c r="I1713" t="str">
        <f>VLOOKUP(Tabela2[[#This Row],[PAIS]],'[1]nome do paixs'!$A:$B,2,0)</f>
        <v>Japão</v>
      </c>
      <c r="J1713" t="s">
        <v>11</v>
      </c>
    </row>
    <row r="1714" spans="1:10">
      <c r="A1714">
        <v>2021</v>
      </c>
      <c r="B1714">
        <v>5</v>
      </c>
      <c r="C1714">
        <v>8803</v>
      </c>
      <c r="D1714">
        <v>493</v>
      </c>
      <c r="E1714" t="s">
        <v>10</v>
      </c>
      <c r="F1714">
        <v>3454102</v>
      </c>
      <c r="G1714" s="1">
        <v>14</v>
      </c>
      <c r="H1714" s="2">
        <v>26316</v>
      </c>
      <c r="I1714" t="str">
        <f>VLOOKUP(Tabela2[[#This Row],[PAIS]],'[1]nome do paixs'!$A:$B,2,0)</f>
        <v>México</v>
      </c>
      <c r="J1714" t="s">
        <v>11</v>
      </c>
    </row>
    <row r="1715" spans="1:10">
      <c r="A1715">
        <v>2021</v>
      </c>
      <c r="B1715">
        <v>11</v>
      </c>
      <c r="C1715">
        <v>8803</v>
      </c>
      <c r="D1715">
        <v>249</v>
      </c>
      <c r="E1715" t="s">
        <v>10</v>
      </c>
      <c r="F1715">
        <v>3454102</v>
      </c>
      <c r="G1715" s="1">
        <v>4966</v>
      </c>
      <c r="H1715" s="2">
        <v>301857</v>
      </c>
      <c r="I1715" t="str">
        <f>VLOOKUP(Tabela2[[#This Row],[PAIS]],'[1]nome do paixs'!$A:$B,2,0)</f>
        <v>Estados Unidos</v>
      </c>
      <c r="J1715" t="s">
        <v>11</v>
      </c>
    </row>
    <row r="1716" spans="1:10">
      <c r="A1716">
        <v>2021</v>
      </c>
      <c r="B1716">
        <v>1</v>
      </c>
      <c r="C1716">
        <v>8803</v>
      </c>
      <c r="D1716">
        <v>603</v>
      </c>
      <c r="E1716" t="s">
        <v>10</v>
      </c>
      <c r="F1716">
        <v>3454102</v>
      </c>
      <c r="G1716" s="1">
        <v>2</v>
      </c>
      <c r="H1716" s="2">
        <v>4631</v>
      </c>
      <c r="I1716" t="str">
        <f>VLOOKUP(Tabela2[[#This Row],[PAIS]],'[1]nome do paixs'!$A:$B,2,0)</f>
        <v>Polônia</v>
      </c>
      <c r="J1716" t="s">
        <v>11</v>
      </c>
    </row>
    <row r="1717" spans="1:10">
      <c r="A1717">
        <v>2021</v>
      </c>
      <c r="B1717">
        <v>2</v>
      </c>
      <c r="C1717">
        <v>8803</v>
      </c>
      <c r="D1717">
        <v>603</v>
      </c>
      <c r="E1717" t="s">
        <v>10</v>
      </c>
      <c r="F1717">
        <v>3454102</v>
      </c>
      <c r="G1717" s="1">
        <v>1</v>
      </c>
      <c r="H1717" s="2">
        <v>2573</v>
      </c>
      <c r="I1717" t="str">
        <f>VLOOKUP(Tabela2[[#This Row],[PAIS]],'[1]nome do paixs'!$A:$B,2,0)</f>
        <v>Polônia</v>
      </c>
      <c r="J1717" t="s">
        <v>11</v>
      </c>
    </row>
    <row r="1718" spans="1:10">
      <c r="A1718">
        <v>2021</v>
      </c>
      <c r="B1718">
        <v>12</v>
      </c>
      <c r="C1718">
        <v>8803</v>
      </c>
      <c r="D1718">
        <v>245</v>
      </c>
      <c r="E1718" t="s">
        <v>10</v>
      </c>
      <c r="F1718">
        <v>3454102</v>
      </c>
      <c r="G1718" s="1">
        <v>0</v>
      </c>
      <c r="H1718" s="2">
        <v>745</v>
      </c>
      <c r="I1718" t="str">
        <f>VLOOKUP(Tabela2[[#This Row],[PAIS]],'[1]nome do paixs'!$A:$B,2,0)</f>
        <v>Espanha</v>
      </c>
      <c r="J1718" t="s">
        <v>11</v>
      </c>
    </row>
    <row r="1719" spans="1:10">
      <c r="A1719">
        <v>2021</v>
      </c>
      <c r="B1719">
        <v>6</v>
      </c>
      <c r="C1719">
        <v>8803</v>
      </c>
      <c r="D1719">
        <v>741</v>
      </c>
      <c r="E1719" t="s">
        <v>10</v>
      </c>
      <c r="F1719">
        <v>3454102</v>
      </c>
      <c r="G1719" s="1">
        <v>0</v>
      </c>
      <c r="H1719" s="2">
        <v>370</v>
      </c>
      <c r="I1719" t="str">
        <f>VLOOKUP(Tabela2[[#This Row],[PAIS]],'[1]nome do paixs'!$A:$B,2,0)</f>
        <v>Singapura</v>
      </c>
      <c r="J1719" t="s">
        <v>11</v>
      </c>
    </row>
    <row r="1720" spans="1:10">
      <c r="A1720">
        <v>2021</v>
      </c>
      <c r="B1720">
        <v>5</v>
      </c>
      <c r="C1720">
        <v>8803</v>
      </c>
      <c r="D1720">
        <v>275</v>
      </c>
      <c r="E1720" t="s">
        <v>10</v>
      </c>
      <c r="F1720">
        <v>3454102</v>
      </c>
      <c r="G1720" s="1">
        <v>133</v>
      </c>
      <c r="H1720" s="2">
        <v>86117</v>
      </c>
      <c r="I1720" t="str">
        <f>VLOOKUP(Tabela2[[#This Row],[PAIS]],'[1]nome do paixs'!$A:$B,2,0)</f>
        <v>França</v>
      </c>
      <c r="J1720" t="s">
        <v>11</v>
      </c>
    </row>
    <row r="1721" spans="1:10">
      <c r="A1721">
        <v>2021</v>
      </c>
      <c r="B1721">
        <v>6</v>
      </c>
      <c r="C1721">
        <v>8803</v>
      </c>
      <c r="D1721">
        <v>573</v>
      </c>
      <c r="E1721" t="s">
        <v>10</v>
      </c>
      <c r="F1721">
        <v>3454102</v>
      </c>
      <c r="G1721" s="1">
        <v>0</v>
      </c>
      <c r="H1721" s="2">
        <v>2190</v>
      </c>
      <c r="I1721" t="str">
        <f>VLOOKUP(Tabela2[[#This Row],[PAIS]],'[1]nome do paixs'!$A:$B,2,0)</f>
        <v>Países Baixos (Holanda)</v>
      </c>
      <c r="J1721" t="s">
        <v>11</v>
      </c>
    </row>
    <row r="1722" spans="1:10">
      <c r="A1722">
        <v>2021</v>
      </c>
      <c r="B1722">
        <v>3</v>
      </c>
      <c r="C1722">
        <v>8803</v>
      </c>
      <c r="D1722">
        <v>160</v>
      </c>
      <c r="E1722" t="s">
        <v>10</v>
      </c>
      <c r="F1722">
        <v>3454102</v>
      </c>
      <c r="G1722" s="1">
        <v>50</v>
      </c>
      <c r="H1722" s="2">
        <v>26996</v>
      </c>
      <c r="I1722" t="str">
        <f>VLOOKUP(Tabela2[[#This Row],[PAIS]],'[1]nome do paixs'!$A:$B,2,0)</f>
        <v>China</v>
      </c>
      <c r="J1722" t="s">
        <v>11</v>
      </c>
    </row>
    <row r="1723" spans="1:10">
      <c r="A1723">
        <v>2021</v>
      </c>
      <c r="B1723">
        <v>6</v>
      </c>
      <c r="C1723">
        <v>8803</v>
      </c>
      <c r="D1723">
        <v>160</v>
      </c>
      <c r="E1723" t="s">
        <v>10</v>
      </c>
      <c r="F1723">
        <v>3454102</v>
      </c>
      <c r="G1723" s="1">
        <v>54</v>
      </c>
      <c r="H1723" s="2">
        <v>29579</v>
      </c>
      <c r="I1723" t="str">
        <f>VLOOKUP(Tabela2[[#This Row],[PAIS]],'[1]nome do paixs'!$A:$B,2,0)</f>
        <v>China</v>
      </c>
      <c r="J1723" t="s">
        <v>11</v>
      </c>
    </row>
    <row r="1724" spans="1:10">
      <c r="A1724">
        <v>2021</v>
      </c>
      <c r="B1724">
        <v>8</v>
      </c>
      <c r="C1724">
        <v>8803</v>
      </c>
      <c r="D1724">
        <v>573</v>
      </c>
      <c r="E1724" t="s">
        <v>10</v>
      </c>
      <c r="F1724">
        <v>3454102</v>
      </c>
      <c r="G1724" s="1">
        <v>4</v>
      </c>
      <c r="H1724" s="2">
        <v>12756</v>
      </c>
      <c r="I1724" t="str">
        <f>VLOOKUP(Tabela2[[#This Row],[PAIS]],'[1]nome do paixs'!$A:$B,2,0)</f>
        <v>Países Baixos (Holanda)</v>
      </c>
      <c r="J1724" t="s">
        <v>11</v>
      </c>
    </row>
    <row r="1725" spans="1:10">
      <c r="A1725">
        <v>2021</v>
      </c>
      <c r="B1725">
        <v>8</v>
      </c>
      <c r="C1725">
        <v>8803</v>
      </c>
      <c r="D1725">
        <v>249</v>
      </c>
      <c r="E1725" t="s">
        <v>10</v>
      </c>
      <c r="F1725">
        <v>3454102</v>
      </c>
      <c r="G1725" s="1">
        <v>379</v>
      </c>
      <c r="H1725" s="2">
        <v>251341</v>
      </c>
      <c r="I1725" t="str">
        <f>VLOOKUP(Tabela2[[#This Row],[PAIS]],'[1]nome do paixs'!$A:$B,2,0)</f>
        <v>Estados Unidos</v>
      </c>
      <c r="J1725" t="s">
        <v>11</v>
      </c>
    </row>
    <row r="1726" spans="1:10">
      <c r="A1726">
        <v>2021</v>
      </c>
      <c r="B1726">
        <v>7</v>
      </c>
      <c r="C1726">
        <v>8803</v>
      </c>
      <c r="D1726">
        <v>603</v>
      </c>
      <c r="E1726" t="s">
        <v>10</v>
      </c>
      <c r="F1726">
        <v>3454102</v>
      </c>
      <c r="G1726" s="1">
        <v>1</v>
      </c>
      <c r="H1726" s="2">
        <v>3551</v>
      </c>
      <c r="I1726" t="str">
        <f>VLOOKUP(Tabela2[[#This Row],[PAIS]],'[1]nome do paixs'!$A:$B,2,0)</f>
        <v>Polônia</v>
      </c>
      <c r="J1726" t="s">
        <v>11</v>
      </c>
    </row>
    <row r="1727" spans="1:10">
      <c r="A1727">
        <v>2021</v>
      </c>
      <c r="B1727">
        <v>4</v>
      </c>
      <c r="C1727">
        <v>8803</v>
      </c>
      <c r="D1727">
        <v>493</v>
      </c>
      <c r="E1727" t="s">
        <v>10</v>
      </c>
      <c r="F1727">
        <v>3454102</v>
      </c>
      <c r="G1727" s="1">
        <v>1</v>
      </c>
      <c r="H1727" s="2">
        <v>3694</v>
      </c>
      <c r="I1727" t="str">
        <f>VLOOKUP(Tabela2[[#This Row],[PAIS]],'[1]nome do paixs'!$A:$B,2,0)</f>
        <v>México</v>
      </c>
      <c r="J1727" t="s">
        <v>11</v>
      </c>
    </row>
    <row r="1728" spans="1:10">
      <c r="A1728">
        <v>2021</v>
      </c>
      <c r="B1728">
        <v>12</v>
      </c>
      <c r="C1728">
        <v>8803</v>
      </c>
      <c r="D1728">
        <v>603</v>
      </c>
      <c r="E1728" t="s">
        <v>10</v>
      </c>
      <c r="F1728">
        <v>3454102</v>
      </c>
      <c r="G1728" s="1">
        <v>3</v>
      </c>
      <c r="H1728" s="2">
        <v>8274</v>
      </c>
      <c r="I1728" t="str">
        <f>VLOOKUP(Tabela2[[#This Row],[PAIS]],'[1]nome do paixs'!$A:$B,2,0)</f>
        <v>Polônia</v>
      </c>
      <c r="J1728" t="s">
        <v>11</v>
      </c>
    </row>
    <row r="1729" spans="1:10">
      <c r="A1729">
        <v>2021</v>
      </c>
      <c r="B1729">
        <v>3</v>
      </c>
      <c r="C1729">
        <v>8803</v>
      </c>
      <c r="D1729">
        <v>87</v>
      </c>
      <c r="E1729" t="s">
        <v>10</v>
      </c>
      <c r="F1729">
        <v>3454102</v>
      </c>
      <c r="G1729" s="1">
        <v>5</v>
      </c>
      <c r="H1729" s="2">
        <v>7941</v>
      </c>
      <c r="I1729" t="str">
        <f>VLOOKUP(Tabela2[[#This Row],[PAIS]],'[1]nome do paixs'!$A:$B,2,0)</f>
        <v>Bélgica</v>
      </c>
      <c r="J1729" t="s">
        <v>11</v>
      </c>
    </row>
    <row r="1730" spans="1:10">
      <c r="A1730">
        <v>2021</v>
      </c>
      <c r="B1730">
        <v>3</v>
      </c>
      <c r="C1730">
        <v>8803</v>
      </c>
      <c r="D1730">
        <v>603</v>
      </c>
      <c r="E1730" t="s">
        <v>10</v>
      </c>
      <c r="F1730">
        <v>3454102</v>
      </c>
      <c r="G1730" s="1">
        <v>2</v>
      </c>
      <c r="H1730" s="2">
        <v>799</v>
      </c>
      <c r="I1730" t="str">
        <f>VLOOKUP(Tabela2[[#This Row],[PAIS]],'[1]nome do paixs'!$A:$B,2,0)</f>
        <v>Polônia</v>
      </c>
      <c r="J1730" t="s">
        <v>11</v>
      </c>
    </row>
    <row r="1731" spans="1:10">
      <c r="A1731">
        <v>2021</v>
      </c>
      <c r="B1731">
        <v>10</v>
      </c>
      <c r="C1731">
        <v>8803</v>
      </c>
      <c r="D1731">
        <v>249</v>
      </c>
      <c r="E1731" t="s">
        <v>10</v>
      </c>
      <c r="F1731">
        <v>3454102</v>
      </c>
      <c r="G1731" s="1">
        <v>744</v>
      </c>
      <c r="H1731" s="2">
        <v>275582</v>
      </c>
      <c r="I1731" t="str">
        <f>VLOOKUP(Tabela2[[#This Row],[PAIS]],'[1]nome do paixs'!$A:$B,2,0)</f>
        <v>Estados Unidos</v>
      </c>
      <c r="J1731" t="s">
        <v>11</v>
      </c>
    </row>
    <row r="1732" spans="1:10">
      <c r="A1732">
        <v>2021</v>
      </c>
      <c r="B1732">
        <v>5</v>
      </c>
      <c r="C1732">
        <v>8803</v>
      </c>
      <c r="D1732">
        <v>249</v>
      </c>
      <c r="E1732" t="s">
        <v>10</v>
      </c>
      <c r="F1732">
        <v>3454102</v>
      </c>
      <c r="G1732" s="1">
        <v>508</v>
      </c>
      <c r="H1732" s="2">
        <v>243073</v>
      </c>
      <c r="I1732" t="str">
        <f>VLOOKUP(Tabela2[[#This Row],[PAIS]],'[1]nome do paixs'!$A:$B,2,0)</f>
        <v>Estados Unidos</v>
      </c>
      <c r="J1732" t="s">
        <v>11</v>
      </c>
    </row>
    <row r="1733" spans="1:10">
      <c r="A1733">
        <v>2021</v>
      </c>
      <c r="B1733">
        <v>12</v>
      </c>
      <c r="C1733">
        <v>8803</v>
      </c>
      <c r="D1733">
        <v>249</v>
      </c>
      <c r="E1733" t="s">
        <v>10</v>
      </c>
      <c r="F1733">
        <v>3454102</v>
      </c>
      <c r="G1733" s="1">
        <v>863</v>
      </c>
      <c r="H1733" s="2">
        <v>368717</v>
      </c>
      <c r="I1733" t="str">
        <f>VLOOKUP(Tabela2[[#This Row],[PAIS]],'[1]nome do paixs'!$A:$B,2,0)</f>
        <v>Estados Unidos</v>
      </c>
      <c r="J1733" t="s">
        <v>11</v>
      </c>
    </row>
    <row r="1734" spans="1:10">
      <c r="A1734">
        <v>2021</v>
      </c>
      <c r="B1734">
        <v>7</v>
      </c>
      <c r="C1734">
        <v>8803</v>
      </c>
      <c r="D1734">
        <v>275</v>
      </c>
      <c r="E1734" t="s">
        <v>10</v>
      </c>
      <c r="F1734">
        <v>3454102</v>
      </c>
      <c r="G1734" s="1">
        <v>313</v>
      </c>
      <c r="H1734" s="2">
        <v>288964</v>
      </c>
      <c r="I1734" t="str">
        <f>VLOOKUP(Tabela2[[#This Row],[PAIS]],'[1]nome do paixs'!$A:$B,2,0)</f>
        <v>França</v>
      </c>
      <c r="J1734" t="s">
        <v>11</v>
      </c>
    </row>
    <row r="1735" spans="1:10">
      <c r="A1735">
        <v>2021</v>
      </c>
      <c r="B1735">
        <v>1</v>
      </c>
      <c r="C1735">
        <v>8803</v>
      </c>
      <c r="D1735">
        <v>275</v>
      </c>
      <c r="E1735" t="s">
        <v>10</v>
      </c>
      <c r="F1735">
        <v>3454102</v>
      </c>
      <c r="G1735" s="1">
        <v>147</v>
      </c>
      <c r="H1735" s="2">
        <v>121682</v>
      </c>
      <c r="I1735" t="str">
        <f>VLOOKUP(Tabela2[[#This Row],[PAIS]],'[1]nome do paixs'!$A:$B,2,0)</f>
        <v>França</v>
      </c>
      <c r="J1735" t="s">
        <v>11</v>
      </c>
    </row>
    <row r="1736" spans="1:10">
      <c r="A1736">
        <v>2021</v>
      </c>
      <c r="B1736">
        <v>9</v>
      </c>
      <c r="C1736">
        <v>8803</v>
      </c>
      <c r="D1736">
        <v>399</v>
      </c>
      <c r="E1736" t="s">
        <v>10</v>
      </c>
      <c r="F1736">
        <v>3454102</v>
      </c>
      <c r="G1736" s="1">
        <v>8</v>
      </c>
      <c r="H1736" s="2">
        <v>22314</v>
      </c>
      <c r="I1736" t="str">
        <f>VLOOKUP(Tabela2[[#This Row],[PAIS]],'[1]nome do paixs'!$A:$B,2,0)</f>
        <v>Japão</v>
      </c>
      <c r="J1736" t="s">
        <v>11</v>
      </c>
    </row>
    <row r="1737" spans="1:10">
      <c r="A1737">
        <v>2021</v>
      </c>
      <c r="B1737">
        <v>10</v>
      </c>
      <c r="C1737">
        <v>8803</v>
      </c>
      <c r="D1737">
        <v>607</v>
      </c>
      <c r="E1737" t="s">
        <v>10</v>
      </c>
      <c r="F1737">
        <v>3454102</v>
      </c>
      <c r="G1737" s="1">
        <v>3</v>
      </c>
      <c r="H1737" s="2">
        <v>9926</v>
      </c>
      <c r="I1737" t="str">
        <f>VLOOKUP(Tabela2[[#This Row],[PAIS]],'[1]nome do paixs'!$A:$B,2,0)</f>
        <v>Portugal</v>
      </c>
      <c r="J1737" t="s">
        <v>11</v>
      </c>
    </row>
    <row r="1738" spans="1:10">
      <c r="A1738">
        <v>2021</v>
      </c>
      <c r="B1738">
        <v>4</v>
      </c>
      <c r="C1738">
        <v>8803</v>
      </c>
      <c r="D1738">
        <v>160</v>
      </c>
      <c r="E1738" t="s">
        <v>10</v>
      </c>
      <c r="F1738">
        <v>3454102</v>
      </c>
      <c r="G1738" s="1">
        <v>34</v>
      </c>
      <c r="H1738" s="2">
        <v>12329</v>
      </c>
      <c r="I1738" t="str">
        <f>VLOOKUP(Tabela2[[#This Row],[PAIS]],'[1]nome do paixs'!$A:$B,2,0)</f>
        <v>China</v>
      </c>
      <c r="J1738" t="s">
        <v>11</v>
      </c>
    </row>
    <row r="1739" spans="1:10">
      <c r="A1739">
        <v>2021</v>
      </c>
      <c r="B1739">
        <v>3</v>
      </c>
      <c r="C1739">
        <v>8803</v>
      </c>
      <c r="D1739">
        <v>249</v>
      </c>
      <c r="E1739" t="s">
        <v>10</v>
      </c>
      <c r="F1739">
        <v>3454102</v>
      </c>
      <c r="G1739" s="1">
        <v>514</v>
      </c>
      <c r="H1739" s="2">
        <v>285241</v>
      </c>
      <c r="I1739" t="str">
        <f>VLOOKUP(Tabela2[[#This Row],[PAIS]],'[1]nome do paixs'!$A:$B,2,0)</f>
        <v>Estados Unidos</v>
      </c>
      <c r="J1739" t="s">
        <v>11</v>
      </c>
    </row>
    <row r="1740" spans="1:10">
      <c r="A1740">
        <v>2021</v>
      </c>
      <c r="B1740">
        <v>5</v>
      </c>
      <c r="C1740">
        <v>8803</v>
      </c>
      <c r="D1740">
        <v>791</v>
      </c>
      <c r="E1740" t="s">
        <v>10</v>
      </c>
      <c r="F1740">
        <v>3454102</v>
      </c>
      <c r="G1740" s="1">
        <v>0</v>
      </c>
      <c r="H1740" s="2">
        <v>488</v>
      </c>
      <c r="I1740" t="str">
        <f>VLOOKUP(Tabela2[[#This Row],[PAIS]],'[1]nome do paixs'!$A:$B,2,0)</f>
        <v>Tcheca, República</v>
      </c>
      <c r="J1740" t="s">
        <v>11</v>
      </c>
    </row>
    <row r="1741" spans="1:10">
      <c r="A1741">
        <v>2021</v>
      </c>
      <c r="B1741">
        <v>6</v>
      </c>
      <c r="C1741">
        <v>8803</v>
      </c>
      <c r="D1741">
        <v>603</v>
      </c>
      <c r="E1741" t="s">
        <v>10</v>
      </c>
      <c r="F1741">
        <v>3454102</v>
      </c>
      <c r="G1741" s="1">
        <v>1</v>
      </c>
      <c r="H1741" s="2">
        <v>1503</v>
      </c>
      <c r="I1741" t="str">
        <f>VLOOKUP(Tabela2[[#This Row],[PAIS]],'[1]nome do paixs'!$A:$B,2,0)</f>
        <v>Polônia</v>
      </c>
      <c r="J1741" t="s">
        <v>11</v>
      </c>
    </row>
    <row r="1742" spans="1:10">
      <c r="A1742">
        <v>2021</v>
      </c>
      <c r="B1742">
        <v>5</v>
      </c>
      <c r="C1742">
        <v>8803</v>
      </c>
      <c r="D1742">
        <v>607</v>
      </c>
      <c r="E1742" t="s">
        <v>10</v>
      </c>
      <c r="F1742">
        <v>3454102</v>
      </c>
      <c r="G1742" s="1">
        <v>2</v>
      </c>
      <c r="H1742" s="2">
        <v>621</v>
      </c>
      <c r="I1742" t="str">
        <f>VLOOKUP(Tabela2[[#This Row],[PAIS]],'[1]nome do paixs'!$A:$B,2,0)</f>
        <v>Portugal</v>
      </c>
      <c r="J1742" t="s">
        <v>11</v>
      </c>
    </row>
    <row r="1743" spans="1:10">
      <c r="A1743">
        <v>2021</v>
      </c>
      <c r="B1743">
        <v>4</v>
      </c>
      <c r="C1743">
        <v>8803</v>
      </c>
      <c r="D1743">
        <v>275</v>
      </c>
      <c r="E1743" t="s">
        <v>10</v>
      </c>
      <c r="F1743">
        <v>3454102</v>
      </c>
      <c r="G1743" s="1">
        <v>225</v>
      </c>
      <c r="H1743" s="2">
        <v>130775</v>
      </c>
      <c r="I1743" t="str">
        <f>VLOOKUP(Tabela2[[#This Row],[PAIS]],'[1]nome do paixs'!$A:$B,2,0)</f>
        <v>França</v>
      </c>
      <c r="J1743" t="s">
        <v>11</v>
      </c>
    </row>
    <row r="1744" spans="1:10">
      <c r="A1744">
        <v>2021</v>
      </c>
      <c r="B1744">
        <v>1</v>
      </c>
      <c r="C1744">
        <v>8803</v>
      </c>
      <c r="D1744">
        <v>249</v>
      </c>
      <c r="E1744" t="s">
        <v>10</v>
      </c>
      <c r="F1744">
        <v>3454102</v>
      </c>
      <c r="G1744" s="1">
        <v>1479</v>
      </c>
      <c r="H1744" s="2">
        <v>268758</v>
      </c>
      <c r="I1744" t="str">
        <f>VLOOKUP(Tabela2[[#This Row],[PAIS]],'[1]nome do paixs'!$A:$B,2,0)</f>
        <v>Estados Unidos</v>
      </c>
      <c r="J1744" t="s">
        <v>11</v>
      </c>
    </row>
    <row r="1745" spans="1:10">
      <c r="A1745">
        <v>2021</v>
      </c>
      <c r="B1745">
        <v>6</v>
      </c>
      <c r="C1745">
        <v>8803</v>
      </c>
      <c r="D1745">
        <v>87</v>
      </c>
      <c r="E1745" t="s">
        <v>10</v>
      </c>
      <c r="F1745">
        <v>3454102</v>
      </c>
      <c r="G1745" s="1">
        <v>6</v>
      </c>
      <c r="H1745" s="2">
        <v>8294</v>
      </c>
      <c r="I1745" t="str">
        <f>VLOOKUP(Tabela2[[#This Row],[PAIS]],'[1]nome do paixs'!$A:$B,2,0)</f>
        <v>Bélgica</v>
      </c>
      <c r="J1745" t="s">
        <v>11</v>
      </c>
    </row>
    <row r="1746" spans="1:10">
      <c r="A1746">
        <v>2021</v>
      </c>
      <c r="B1746">
        <v>12</v>
      </c>
      <c r="C1746">
        <v>8803</v>
      </c>
      <c r="D1746">
        <v>87</v>
      </c>
      <c r="E1746" t="s">
        <v>10</v>
      </c>
      <c r="F1746">
        <v>3454102</v>
      </c>
      <c r="G1746" s="1">
        <v>3</v>
      </c>
      <c r="H1746" s="2">
        <v>5978</v>
      </c>
      <c r="I1746" t="str">
        <f>VLOOKUP(Tabela2[[#This Row],[PAIS]],'[1]nome do paixs'!$A:$B,2,0)</f>
        <v>Bélgica</v>
      </c>
      <c r="J1746" t="s">
        <v>11</v>
      </c>
    </row>
    <row r="1747" spans="1:10">
      <c r="A1747">
        <v>2021</v>
      </c>
      <c r="B1747">
        <v>3</v>
      </c>
      <c r="C1747">
        <v>8803</v>
      </c>
      <c r="D1747">
        <v>161</v>
      </c>
      <c r="E1747" t="s">
        <v>10</v>
      </c>
      <c r="F1747">
        <v>3454102</v>
      </c>
      <c r="G1747" s="1">
        <v>0</v>
      </c>
      <c r="H1747" s="2">
        <v>238</v>
      </c>
      <c r="I1747" t="str">
        <f>VLOOKUP(Tabela2[[#This Row],[PAIS]],'[1]nome do paixs'!$A:$B,2,0)</f>
        <v>Taiwan (Formosa)</v>
      </c>
      <c r="J1747" t="s">
        <v>11</v>
      </c>
    </row>
    <row r="1748" spans="1:10">
      <c r="A1748">
        <v>2021</v>
      </c>
      <c r="B1748">
        <v>12</v>
      </c>
      <c r="C1748">
        <v>8803</v>
      </c>
      <c r="D1748">
        <v>756</v>
      </c>
      <c r="E1748" t="s">
        <v>10</v>
      </c>
      <c r="F1748">
        <v>3454102</v>
      </c>
      <c r="G1748" s="1">
        <v>3</v>
      </c>
      <c r="H1748" s="2">
        <v>4707</v>
      </c>
      <c r="I1748" t="str">
        <f>VLOOKUP(Tabela2[[#This Row],[PAIS]],'[1]nome do paixs'!$A:$B,2,0)</f>
        <v>África do Sul</v>
      </c>
      <c r="J1748" t="s">
        <v>11</v>
      </c>
    </row>
    <row r="1749" spans="1:10">
      <c r="A1749">
        <v>2021</v>
      </c>
      <c r="B1749">
        <v>11</v>
      </c>
      <c r="C1749">
        <v>8803</v>
      </c>
      <c r="D1749">
        <v>607</v>
      </c>
      <c r="E1749" t="s">
        <v>10</v>
      </c>
      <c r="F1749">
        <v>3454102</v>
      </c>
      <c r="G1749" s="1">
        <v>0</v>
      </c>
      <c r="H1749" s="2">
        <v>53</v>
      </c>
      <c r="I1749" t="str">
        <f>VLOOKUP(Tabela2[[#This Row],[PAIS]],'[1]nome do paixs'!$A:$B,2,0)</f>
        <v>Portugal</v>
      </c>
      <c r="J1749" t="s">
        <v>11</v>
      </c>
    </row>
    <row r="1750" spans="1:10">
      <c r="A1750">
        <v>2021</v>
      </c>
      <c r="B1750">
        <v>7</v>
      </c>
      <c r="C1750">
        <v>8803</v>
      </c>
      <c r="D1750">
        <v>607</v>
      </c>
      <c r="E1750" t="s">
        <v>10</v>
      </c>
      <c r="F1750">
        <v>3454102</v>
      </c>
      <c r="G1750" s="1">
        <v>3</v>
      </c>
      <c r="H1750" s="2">
        <v>11125</v>
      </c>
      <c r="I1750" t="str">
        <f>VLOOKUP(Tabela2[[#This Row],[PAIS]],'[1]nome do paixs'!$A:$B,2,0)</f>
        <v>Portugal</v>
      </c>
      <c r="J1750" t="s">
        <v>11</v>
      </c>
    </row>
    <row r="1751" spans="1:10">
      <c r="A1751">
        <v>2021</v>
      </c>
      <c r="B1751">
        <v>12</v>
      </c>
      <c r="C1751">
        <v>8803</v>
      </c>
      <c r="D1751">
        <v>741</v>
      </c>
      <c r="E1751" t="s">
        <v>10</v>
      </c>
      <c r="F1751">
        <v>3454102</v>
      </c>
      <c r="G1751" s="1">
        <v>3</v>
      </c>
      <c r="H1751" s="2">
        <v>2292</v>
      </c>
      <c r="I1751" t="str">
        <f>VLOOKUP(Tabela2[[#This Row],[PAIS]],'[1]nome do paixs'!$A:$B,2,0)</f>
        <v>Singapura</v>
      </c>
      <c r="J1751" t="s">
        <v>11</v>
      </c>
    </row>
    <row r="1752" spans="1:10">
      <c r="A1752">
        <v>2021</v>
      </c>
      <c r="B1752">
        <v>7</v>
      </c>
      <c r="C1752">
        <v>8803</v>
      </c>
      <c r="D1752">
        <v>741</v>
      </c>
      <c r="E1752" t="s">
        <v>10</v>
      </c>
      <c r="F1752">
        <v>3454102</v>
      </c>
      <c r="G1752" s="1">
        <v>0</v>
      </c>
      <c r="H1752" s="2">
        <v>999</v>
      </c>
      <c r="I1752" t="str">
        <f>VLOOKUP(Tabela2[[#This Row],[PAIS]],'[1]nome do paixs'!$A:$B,2,0)</f>
        <v>Singapura</v>
      </c>
      <c r="J1752" t="s">
        <v>11</v>
      </c>
    </row>
    <row r="1753" spans="1:10">
      <c r="A1753">
        <v>2021</v>
      </c>
      <c r="B1753">
        <v>11</v>
      </c>
      <c r="C1753">
        <v>8803</v>
      </c>
      <c r="D1753">
        <v>87</v>
      </c>
      <c r="E1753" t="s">
        <v>10</v>
      </c>
      <c r="F1753">
        <v>3454102</v>
      </c>
      <c r="G1753" s="1">
        <v>7</v>
      </c>
      <c r="H1753" s="2">
        <v>14593</v>
      </c>
      <c r="I1753" t="str">
        <f>VLOOKUP(Tabela2[[#This Row],[PAIS]],'[1]nome do paixs'!$A:$B,2,0)</f>
        <v>Bélgica</v>
      </c>
      <c r="J1753" t="s">
        <v>11</v>
      </c>
    </row>
    <row r="1754" spans="1:10">
      <c r="A1754">
        <v>2021</v>
      </c>
      <c r="B1754">
        <v>11</v>
      </c>
      <c r="C1754">
        <v>8803</v>
      </c>
      <c r="D1754">
        <v>160</v>
      </c>
      <c r="E1754" t="s">
        <v>10</v>
      </c>
      <c r="F1754">
        <v>3454102</v>
      </c>
      <c r="G1754" s="1">
        <v>26</v>
      </c>
      <c r="H1754" s="2">
        <v>19778</v>
      </c>
      <c r="I1754" t="str">
        <f>VLOOKUP(Tabela2[[#This Row],[PAIS]],'[1]nome do paixs'!$A:$B,2,0)</f>
        <v>China</v>
      </c>
      <c r="J1754" t="s">
        <v>11</v>
      </c>
    </row>
    <row r="1755" spans="1:10">
      <c r="A1755">
        <v>2021</v>
      </c>
      <c r="B1755">
        <v>10</v>
      </c>
      <c r="C1755">
        <v>8803</v>
      </c>
      <c r="D1755">
        <v>161</v>
      </c>
      <c r="E1755" t="s">
        <v>10</v>
      </c>
      <c r="F1755">
        <v>3454102</v>
      </c>
      <c r="G1755" s="1">
        <v>17</v>
      </c>
      <c r="H1755" s="2">
        <v>33282</v>
      </c>
      <c r="I1755" t="str">
        <f>VLOOKUP(Tabela2[[#This Row],[PAIS]],'[1]nome do paixs'!$A:$B,2,0)</f>
        <v>Taiwan (Formosa)</v>
      </c>
      <c r="J1755" t="s">
        <v>11</v>
      </c>
    </row>
    <row r="1756" spans="1:10">
      <c r="A1756">
        <v>2021</v>
      </c>
      <c r="B1756">
        <v>10</v>
      </c>
      <c r="C1756">
        <v>8803</v>
      </c>
      <c r="D1756">
        <v>628</v>
      </c>
      <c r="E1756" t="s">
        <v>10</v>
      </c>
      <c r="F1756">
        <v>3454102</v>
      </c>
      <c r="G1756" s="1">
        <v>2</v>
      </c>
      <c r="H1756" s="2">
        <v>1482</v>
      </c>
      <c r="I1756" t="str">
        <f>VLOOKUP(Tabela2[[#This Row],[PAIS]],'[1]nome do paixs'!$A:$B,2,0)</f>
        <v>Reino Unido</v>
      </c>
      <c r="J1756" t="s">
        <v>11</v>
      </c>
    </row>
    <row r="1757" spans="1:10">
      <c r="A1757">
        <v>2021</v>
      </c>
      <c r="B1757">
        <v>3</v>
      </c>
      <c r="C1757">
        <v>8803</v>
      </c>
      <c r="D1757">
        <v>275</v>
      </c>
      <c r="E1757" t="s">
        <v>10</v>
      </c>
      <c r="F1757">
        <v>3454102</v>
      </c>
      <c r="G1757" s="1">
        <v>141</v>
      </c>
      <c r="H1757" s="2">
        <v>102826</v>
      </c>
      <c r="I1757" t="str">
        <f>VLOOKUP(Tabela2[[#This Row],[PAIS]],'[1]nome do paixs'!$A:$B,2,0)</f>
        <v>França</v>
      </c>
      <c r="J1757" t="s">
        <v>11</v>
      </c>
    </row>
    <row r="1758" spans="1:10">
      <c r="A1758">
        <v>2021</v>
      </c>
      <c r="B1758">
        <v>6</v>
      </c>
      <c r="C1758">
        <v>8803</v>
      </c>
      <c r="D1758">
        <v>249</v>
      </c>
      <c r="E1758" t="s">
        <v>10</v>
      </c>
      <c r="F1758">
        <v>3454102</v>
      </c>
      <c r="G1758" s="1">
        <v>874</v>
      </c>
      <c r="H1758" s="2">
        <v>1121763</v>
      </c>
      <c r="I1758" t="str">
        <f>VLOOKUP(Tabela2[[#This Row],[PAIS]],'[1]nome do paixs'!$A:$B,2,0)</f>
        <v>Estados Unidos</v>
      </c>
      <c r="J1758" t="s">
        <v>11</v>
      </c>
    </row>
    <row r="1759" spans="1:10">
      <c r="A1759">
        <v>2021</v>
      </c>
      <c r="B1759">
        <v>2</v>
      </c>
      <c r="C1759">
        <v>8803</v>
      </c>
      <c r="D1759">
        <v>249</v>
      </c>
      <c r="E1759" t="s">
        <v>10</v>
      </c>
      <c r="F1759">
        <v>3454102</v>
      </c>
      <c r="G1759" s="1">
        <v>3618</v>
      </c>
      <c r="H1759" s="2">
        <v>163540</v>
      </c>
      <c r="I1759" t="str">
        <f>VLOOKUP(Tabela2[[#This Row],[PAIS]],'[1]nome do paixs'!$A:$B,2,0)</f>
        <v>Estados Unidos</v>
      </c>
      <c r="J1759" t="s">
        <v>11</v>
      </c>
    </row>
    <row r="1760" spans="1:10">
      <c r="A1760">
        <v>2021</v>
      </c>
      <c r="B1760">
        <v>5</v>
      </c>
      <c r="C1760">
        <v>8803</v>
      </c>
      <c r="D1760">
        <v>573</v>
      </c>
      <c r="E1760" t="s">
        <v>10</v>
      </c>
      <c r="F1760">
        <v>3454102</v>
      </c>
      <c r="G1760" s="1">
        <v>0</v>
      </c>
      <c r="H1760" s="2">
        <v>132</v>
      </c>
      <c r="I1760" t="str">
        <f>VLOOKUP(Tabela2[[#This Row],[PAIS]],'[1]nome do paixs'!$A:$B,2,0)</f>
        <v>Países Baixos (Holanda)</v>
      </c>
      <c r="J1760" t="s">
        <v>11</v>
      </c>
    </row>
    <row r="1761" spans="1:10">
      <c r="A1761">
        <v>2021</v>
      </c>
      <c r="B1761">
        <v>8</v>
      </c>
      <c r="C1761">
        <v>8803</v>
      </c>
      <c r="D1761">
        <v>87</v>
      </c>
      <c r="E1761" t="s">
        <v>10</v>
      </c>
      <c r="F1761">
        <v>3454102</v>
      </c>
      <c r="G1761" s="1">
        <v>38</v>
      </c>
      <c r="H1761" s="2">
        <v>82277</v>
      </c>
      <c r="I1761" t="str">
        <f>VLOOKUP(Tabela2[[#This Row],[PAIS]],'[1]nome do paixs'!$A:$B,2,0)</f>
        <v>Bélgica</v>
      </c>
      <c r="J1761" t="s">
        <v>11</v>
      </c>
    </row>
    <row r="1762" spans="1:10">
      <c r="A1762">
        <v>2021</v>
      </c>
      <c r="B1762">
        <v>12</v>
      </c>
      <c r="C1762">
        <v>8803</v>
      </c>
      <c r="D1762">
        <v>160</v>
      </c>
      <c r="E1762" t="s">
        <v>10</v>
      </c>
      <c r="F1762">
        <v>3454102</v>
      </c>
      <c r="G1762" s="1">
        <v>7</v>
      </c>
      <c r="H1762" s="2">
        <v>2647</v>
      </c>
      <c r="I1762" t="str">
        <f>VLOOKUP(Tabela2[[#This Row],[PAIS]],'[1]nome do paixs'!$A:$B,2,0)</f>
        <v>China</v>
      </c>
      <c r="J1762" t="s">
        <v>11</v>
      </c>
    </row>
    <row r="1763" spans="1:10">
      <c r="A1763">
        <v>2021</v>
      </c>
      <c r="B1763">
        <v>3</v>
      </c>
      <c r="C1763">
        <v>8803</v>
      </c>
      <c r="D1763">
        <v>741</v>
      </c>
      <c r="E1763" t="s">
        <v>10</v>
      </c>
      <c r="F1763">
        <v>3454102</v>
      </c>
      <c r="G1763" s="1">
        <v>103</v>
      </c>
      <c r="H1763" s="2">
        <v>22429</v>
      </c>
      <c r="I1763" t="str">
        <f>VLOOKUP(Tabela2[[#This Row],[PAIS]],'[1]nome do paixs'!$A:$B,2,0)</f>
        <v>Singapura</v>
      </c>
      <c r="J1763" t="s">
        <v>11</v>
      </c>
    </row>
    <row r="1764" spans="1:10">
      <c r="A1764">
        <v>2021</v>
      </c>
      <c r="B1764">
        <v>9</v>
      </c>
      <c r="C1764">
        <v>8803</v>
      </c>
      <c r="D1764">
        <v>756</v>
      </c>
      <c r="E1764" t="s">
        <v>10</v>
      </c>
      <c r="F1764">
        <v>3454102</v>
      </c>
      <c r="G1764" s="1">
        <v>3</v>
      </c>
      <c r="H1764" s="2">
        <v>1781</v>
      </c>
      <c r="I1764" t="str">
        <f>VLOOKUP(Tabela2[[#This Row],[PAIS]],'[1]nome do paixs'!$A:$B,2,0)</f>
        <v>África do Sul</v>
      </c>
      <c r="J1764" t="s">
        <v>11</v>
      </c>
    </row>
    <row r="1765" spans="1:10">
      <c r="A1765">
        <v>2021</v>
      </c>
      <c r="B1765">
        <v>3</v>
      </c>
      <c r="C1765">
        <v>8803</v>
      </c>
      <c r="D1765">
        <v>493</v>
      </c>
      <c r="E1765" t="s">
        <v>10</v>
      </c>
      <c r="F1765">
        <v>3454102</v>
      </c>
      <c r="G1765" s="1">
        <v>12</v>
      </c>
      <c r="H1765" s="2">
        <v>25296</v>
      </c>
      <c r="I1765" t="str">
        <f>VLOOKUP(Tabela2[[#This Row],[PAIS]],'[1]nome do paixs'!$A:$B,2,0)</f>
        <v>México</v>
      </c>
      <c r="J1765" t="s">
        <v>11</v>
      </c>
    </row>
    <row r="1766" spans="1:10">
      <c r="A1766">
        <v>2021</v>
      </c>
      <c r="B1766">
        <v>1</v>
      </c>
      <c r="C1766">
        <v>8803</v>
      </c>
      <c r="D1766">
        <v>741</v>
      </c>
      <c r="E1766" t="s">
        <v>10</v>
      </c>
      <c r="F1766">
        <v>3454102</v>
      </c>
      <c r="G1766" s="1">
        <v>2</v>
      </c>
      <c r="H1766" s="2">
        <v>7129</v>
      </c>
      <c r="I1766" t="str">
        <f>VLOOKUP(Tabela2[[#This Row],[PAIS]],'[1]nome do paixs'!$A:$B,2,0)</f>
        <v>Singapura</v>
      </c>
      <c r="J1766" t="s">
        <v>11</v>
      </c>
    </row>
    <row r="1767" spans="1:10">
      <c r="A1767">
        <v>2021</v>
      </c>
      <c r="B1767">
        <v>7</v>
      </c>
      <c r="C1767">
        <v>8803</v>
      </c>
      <c r="D1767">
        <v>160</v>
      </c>
      <c r="E1767" t="s">
        <v>10</v>
      </c>
      <c r="F1767">
        <v>3454102</v>
      </c>
      <c r="G1767" s="1">
        <v>78</v>
      </c>
      <c r="H1767" s="2">
        <v>61688</v>
      </c>
      <c r="I1767" t="str">
        <f>VLOOKUP(Tabela2[[#This Row],[PAIS]],'[1]nome do paixs'!$A:$B,2,0)</f>
        <v>China</v>
      </c>
      <c r="J1767" t="s">
        <v>11</v>
      </c>
    </row>
    <row r="1768" spans="1:10">
      <c r="A1768">
        <v>2021</v>
      </c>
      <c r="B1768">
        <v>4</v>
      </c>
      <c r="C1768">
        <v>8803</v>
      </c>
      <c r="D1768">
        <v>756</v>
      </c>
      <c r="E1768" t="s">
        <v>10</v>
      </c>
      <c r="F1768">
        <v>3454102</v>
      </c>
      <c r="G1768" s="1">
        <v>0</v>
      </c>
      <c r="H1768" s="2">
        <v>1404</v>
      </c>
      <c r="I1768" t="str">
        <f>VLOOKUP(Tabela2[[#This Row],[PAIS]],'[1]nome do paixs'!$A:$B,2,0)</f>
        <v>África do Sul</v>
      </c>
      <c r="J1768" t="s">
        <v>11</v>
      </c>
    </row>
    <row r="1769" spans="1:10">
      <c r="A1769">
        <v>2021</v>
      </c>
      <c r="B1769">
        <v>6</v>
      </c>
      <c r="C1769">
        <v>8803</v>
      </c>
      <c r="D1769">
        <v>628</v>
      </c>
      <c r="E1769" t="s">
        <v>10</v>
      </c>
      <c r="F1769">
        <v>3454102</v>
      </c>
      <c r="G1769" s="1">
        <v>7</v>
      </c>
      <c r="H1769" s="2">
        <v>7118</v>
      </c>
      <c r="I1769" t="str">
        <f>VLOOKUP(Tabela2[[#This Row],[PAIS]],'[1]nome do paixs'!$A:$B,2,0)</f>
        <v>Reino Unido</v>
      </c>
      <c r="J1769" t="s">
        <v>11</v>
      </c>
    </row>
    <row r="1770" spans="1:10">
      <c r="A1770">
        <v>2021</v>
      </c>
      <c r="B1770">
        <v>6</v>
      </c>
      <c r="C1770">
        <v>8803</v>
      </c>
      <c r="D1770">
        <v>493</v>
      </c>
      <c r="E1770" t="s">
        <v>10</v>
      </c>
      <c r="F1770">
        <v>3454102</v>
      </c>
      <c r="G1770" s="1">
        <v>4</v>
      </c>
      <c r="H1770" s="2">
        <v>5538</v>
      </c>
      <c r="I1770" t="str">
        <f>VLOOKUP(Tabela2[[#This Row],[PAIS]],'[1]nome do paixs'!$A:$B,2,0)</f>
        <v>México</v>
      </c>
      <c r="J1770" t="s">
        <v>11</v>
      </c>
    </row>
    <row r="1771" spans="1:10">
      <c r="A1771">
        <v>2021</v>
      </c>
      <c r="B1771">
        <v>5</v>
      </c>
      <c r="C1771">
        <v>8803</v>
      </c>
      <c r="D1771">
        <v>741</v>
      </c>
      <c r="E1771" t="s">
        <v>10</v>
      </c>
      <c r="F1771">
        <v>3454102</v>
      </c>
      <c r="G1771" s="1">
        <v>11</v>
      </c>
      <c r="H1771" s="2">
        <v>8356</v>
      </c>
      <c r="I1771" t="str">
        <f>VLOOKUP(Tabela2[[#This Row],[PAIS]],'[1]nome do paixs'!$A:$B,2,0)</f>
        <v>Singapura</v>
      </c>
      <c r="J1771" t="s">
        <v>11</v>
      </c>
    </row>
    <row r="1772" spans="1:10">
      <c r="A1772">
        <v>2021</v>
      </c>
      <c r="B1772">
        <v>8</v>
      </c>
      <c r="C1772">
        <v>8803</v>
      </c>
      <c r="D1772">
        <v>756</v>
      </c>
      <c r="E1772" t="s">
        <v>10</v>
      </c>
      <c r="F1772">
        <v>3454102</v>
      </c>
      <c r="G1772" s="1">
        <v>0</v>
      </c>
      <c r="H1772" s="2">
        <v>2352</v>
      </c>
      <c r="I1772" t="str">
        <f>VLOOKUP(Tabela2[[#This Row],[PAIS]],'[1]nome do paixs'!$A:$B,2,0)</f>
        <v>África do Sul</v>
      </c>
      <c r="J1772" t="s">
        <v>11</v>
      </c>
    </row>
    <row r="1773" spans="1:10">
      <c r="A1773">
        <v>2021</v>
      </c>
      <c r="B1773">
        <v>11</v>
      </c>
      <c r="C1773">
        <v>8803</v>
      </c>
      <c r="D1773">
        <v>603</v>
      </c>
      <c r="E1773" t="s">
        <v>10</v>
      </c>
      <c r="F1773">
        <v>3454102</v>
      </c>
      <c r="G1773" s="1">
        <v>1</v>
      </c>
      <c r="H1773" s="2">
        <v>684</v>
      </c>
      <c r="I1773" t="str">
        <f>VLOOKUP(Tabela2[[#This Row],[PAIS]],'[1]nome do paixs'!$A:$B,2,0)</f>
        <v>Polônia</v>
      </c>
      <c r="J1773" t="s">
        <v>11</v>
      </c>
    </row>
    <row r="1774" spans="1:10">
      <c r="A1774">
        <v>2021</v>
      </c>
      <c r="B1774">
        <v>8</v>
      </c>
      <c r="C1774">
        <v>8803</v>
      </c>
      <c r="D1774">
        <v>160</v>
      </c>
      <c r="E1774" t="s">
        <v>10</v>
      </c>
      <c r="F1774">
        <v>3454102</v>
      </c>
      <c r="G1774" s="1">
        <v>3</v>
      </c>
      <c r="H1774" s="2">
        <v>8029</v>
      </c>
      <c r="I1774" t="str">
        <f>VLOOKUP(Tabela2[[#This Row],[PAIS]],'[1]nome do paixs'!$A:$B,2,0)</f>
        <v>China</v>
      </c>
      <c r="J1774" t="s">
        <v>11</v>
      </c>
    </row>
    <row r="1775" spans="1:10">
      <c r="A1775">
        <v>2021</v>
      </c>
      <c r="B1775">
        <v>1</v>
      </c>
      <c r="C1775">
        <v>8803</v>
      </c>
      <c r="D1775">
        <v>538</v>
      </c>
      <c r="E1775" t="s">
        <v>10</v>
      </c>
      <c r="F1775">
        <v>3454102</v>
      </c>
      <c r="G1775" s="1">
        <v>1</v>
      </c>
      <c r="H1775" s="2">
        <v>266</v>
      </c>
      <c r="I1775" t="str">
        <f>VLOOKUP(Tabela2[[#This Row],[PAIS]],'[1]nome do paixs'!$A:$B,2,0)</f>
        <v>Noruega</v>
      </c>
      <c r="J1775" t="s">
        <v>11</v>
      </c>
    </row>
    <row r="1776" spans="1:10">
      <c r="A1776">
        <v>2021</v>
      </c>
      <c r="B1776">
        <v>11</v>
      </c>
      <c r="C1776">
        <v>8803</v>
      </c>
      <c r="D1776">
        <v>741</v>
      </c>
      <c r="E1776" t="s">
        <v>10</v>
      </c>
      <c r="F1776">
        <v>3454102</v>
      </c>
      <c r="G1776" s="1">
        <v>4</v>
      </c>
      <c r="H1776" s="2">
        <v>8096</v>
      </c>
      <c r="I1776" t="str">
        <f>VLOOKUP(Tabela2[[#This Row],[PAIS]],'[1]nome do paixs'!$A:$B,2,0)</f>
        <v>Singapura</v>
      </c>
      <c r="J1776" t="s">
        <v>11</v>
      </c>
    </row>
    <row r="1777" spans="1:10">
      <c r="A1777">
        <v>2021</v>
      </c>
      <c r="B1777">
        <v>12</v>
      </c>
      <c r="C1777">
        <v>8803</v>
      </c>
      <c r="D1777">
        <v>169</v>
      </c>
      <c r="E1777" t="s">
        <v>10</v>
      </c>
      <c r="F1777">
        <v>3454102</v>
      </c>
      <c r="G1777" s="1">
        <v>7</v>
      </c>
      <c r="H1777" s="2">
        <v>4274</v>
      </c>
      <c r="I1777" t="str">
        <f>VLOOKUP(Tabela2[[#This Row],[PAIS]],'[1]nome do paixs'!$A:$B,2,0)</f>
        <v>Colômbia</v>
      </c>
      <c r="J1777" t="s">
        <v>11</v>
      </c>
    </row>
    <row r="1778" spans="1:10">
      <c r="A1778">
        <v>2021</v>
      </c>
      <c r="B1778">
        <v>9</v>
      </c>
      <c r="C1778">
        <v>8803</v>
      </c>
      <c r="D1778">
        <v>87</v>
      </c>
      <c r="E1778" t="s">
        <v>10</v>
      </c>
      <c r="F1778">
        <v>3454102</v>
      </c>
      <c r="G1778" s="1">
        <v>0</v>
      </c>
      <c r="H1778" s="2">
        <v>1232</v>
      </c>
      <c r="I1778" t="str">
        <f>VLOOKUP(Tabela2[[#This Row],[PAIS]],'[1]nome do paixs'!$A:$B,2,0)</f>
        <v>Bélgica</v>
      </c>
      <c r="J1778" t="s">
        <v>11</v>
      </c>
    </row>
    <row r="1779" spans="1:10">
      <c r="A1779">
        <v>2021</v>
      </c>
      <c r="B1779">
        <v>2</v>
      </c>
      <c r="C1779">
        <v>8803</v>
      </c>
      <c r="D1779">
        <v>160</v>
      </c>
      <c r="E1779" t="s">
        <v>10</v>
      </c>
      <c r="F1779">
        <v>3454102</v>
      </c>
      <c r="G1779" s="1">
        <v>44</v>
      </c>
      <c r="H1779" s="2">
        <v>17893</v>
      </c>
      <c r="I1779" t="str">
        <f>VLOOKUP(Tabela2[[#This Row],[PAIS]],'[1]nome do paixs'!$A:$B,2,0)</f>
        <v>China</v>
      </c>
      <c r="J1779" t="s">
        <v>11</v>
      </c>
    </row>
    <row r="1780" spans="1:10">
      <c r="A1780">
        <v>2021</v>
      </c>
      <c r="B1780">
        <v>5</v>
      </c>
      <c r="C1780">
        <v>8803</v>
      </c>
      <c r="D1780">
        <v>603</v>
      </c>
      <c r="E1780" t="s">
        <v>10</v>
      </c>
      <c r="F1780">
        <v>3454102</v>
      </c>
      <c r="G1780" s="1">
        <v>0</v>
      </c>
      <c r="H1780" s="2">
        <v>747</v>
      </c>
      <c r="I1780" t="str">
        <f>VLOOKUP(Tabela2[[#This Row],[PAIS]],'[1]nome do paixs'!$A:$B,2,0)</f>
        <v>Polônia</v>
      </c>
      <c r="J1780" t="s">
        <v>11</v>
      </c>
    </row>
    <row r="1781" spans="1:10">
      <c r="A1781">
        <v>2021</v>
      </c>
      <c r="B1781">
        <v>2</v>
      </c>
      <c r="C1781">
        <v>8803</v>
      </c>
      <c r="D1781">
        <v>275</v>
      </c>
      <c r="E1781" t="s">
        <v>10</v>
      </c>
      <c r="F1781">
        <v>3454102</v>
      </c>
      <c r="G1781" s="1">
        <v>217</v>
      </c>
      <c r="H1781" s="2">
        <v>185090</v>
      </c>
      <c r="I1781" t="str">
        <f>VLOOKUP(Tabela2[[#This Row],[PAIS]],'[1]nome do paixs'!$A:$B,2,0)</f>
        <v>França</v>
      </c>
      <c r="J1781" t="s">
        <v>11</v>
      </c>
    </row>
    <row r="1782" spans="1:10">
      <c r="A1782">
        <v>2021</v>
      </c>
      <c r="B1782">
        <v>9</v>
      </c>
      <c r="C1782">
        <v>8803</v>
      </c>
      <c r="D1782">
        <v>249</v>
      </c>
      <c r="E1782" t="s">
        <v>10</v>
      </c>
      <c r="F1782">
        <v>3454102</v>
      </c>
      <c r="G1782" s="1">
        <v>587</v>
      </c>
      <c r="H1782" s="2">
        <v>272692</v>
      </c>
      <c r="I1782" t="str">
        <f>VLOOKUP(Tabela2[[#This Row],[PAIS]],'[1]nome do paixs'!$A:$B,2,0)</f>
        <v>Estados Unidos</v>
      </c>
      <c r="J1782" t="s">
        <v>11</v>
      </c>
    </row>
    <row r="1783" spans="1:10">
      <c r="A1783">
        <v>2021</v>
      </c>
      <c r="B1783">
        <v>8</v>
      </c>
      <c r="C1783">
        <v>8803</v>
      </c>
      <c r="D1783">
        <v>741</v>
      </c>
      <c r="E1783" t="s">
        <v>10</v>
      </c>
      <c r="F1783">
        <v>3454102</v>
      </c>
      <c r="G1783" s="1">
        <v>2</v>
      </c>
      <c r="H1783" s="2">
        <v>1497</v>
      </c>
      <c r="I1783" t="str">
        <f>VLOOKUP(Tabela2[[#This Row],[PAIS]],'[1]nome do paixs'!$A:$B,2,0)</f>
        <v>Singapura</v>
      </c>
      <c r="J1783" t="s">
        <v>11</v>
      </c>
    </row>
    <row r="1784" spans="1:10">
      <c r="A1784">
        <v>2021</v>
      </c>
      <c r="B1784">
        <v>6</v>
      </c>
      <c r="C1784">
        <v>8803</v>
      </c>
      <c r="D1784">
        <v>275</v>
      </c>
      <c r="E1784" t="s">
        <v>10</v>
      </c>
      <c r="F1784">
        <v>3454102</v>
      </c>
      <c r="G1784" s="1">
        <v>68</v>
      </c>
      <c r="H1784" s="2">
        <v>63518</v>
      </c>
      <c r="I1784" t="str">
        <f>VLOOKUP(Tabela2[[#This Row],[PAIS]],'[1]nome do paixs'!$A:$B,2,0)</f>
        <v>França</v>
      </c>
      <c r="J1784" t="s">
        <v>11</v>
      </c>
    </row>
    <row r="1785" spans="1:10">
      <c r="A1785">
        <v>2021</v>
      </c>
      <c r="B1785">
        <v>4</v>
      </c>
      <c r="C1785">
        <v>8803</v>
      </c>
      <c r="D1785">
        <v>249</v>
      </c>
      <c r="E1785" t="s">
        <v>10</v>
      </c>
      <c r="F1785">
        <v>3454102</v>
      </c>
      <c r="G1785" s="1">
        <v>614</v>
      </c>
      <c r="H1785" s="2">
        <v>266633</v>
      </c>
      <c r="I1785" t="str">
        <f>VLOOKUP(Tabela2[[#This Row],[PAIS]],'[1]nome do paixs'!$A:$B,2,0)</f>
        <v>Estados Unidos</v>
      </c>
      <c r="J1785" t="s">
        <v>11</v>
      </c>
    </row>
    <row r="1786" spans="1:10">
      <c r="A1786">
        <v>2021</v>
      </c>
      <c r="B1786">
        <v>7</v>
      </c>
      <c r="C1786">
        <v>8803</v>
      </c>
      <c r="D1786">
        <v>493</v>
      </c>
      <c r="E1786" t="s">
        <v>10</v>
      </c>
      <c r="F1786">
        <v>3454102</v>
      </c>
      <c r="G1786" s="1">
        <v>0</v>
      </c>
      <c r="H1786" s="2">
        <v>2175</v>
      </c>
      <c r="I1786" t="str">
        <f>VLOOKUP(Tabela2[[#This Row],[PAIS]],'[1]nome do paixs'!$A:$B,2,0)</f>
        <v>México</v>
      </c>
      <c r="J1786" t="s">
        <v>11</v>
      </c>
    </row>
    <row r="1787" spans="1:10">
      <c r="A1787">
        <v>2021</v>
      </c>
      <c r="B1787">
        <v>9</v>
      </c>
      <c r="C1787">
        <v>8803</v>
      </c>
      <c r="D1787">
        <v>275</v>
      </c>
      <c r="E1787" t="s">
        <v>10</v>
      </c>
      <c r="F1787">
        <v>3454102</v>
      </c>
      <c r="G1787" s="1">
        <v>217</v>
      </c>
      <c r="H1787" s="2">
        <v>138326</v>
      </c>
      <c r="I1787" t="str">
        <f>VLOOKUP(Tabela2[[#This Row],[PAIS]],'[1]nome do paixs'!$A:$B,2,0)</f>
        <v>França</v>
      </c>
      <c r="J1787" t="s">
        <v>11</v>
      </c>
    </row>
    <row r="1788" spans="1:10">
      <c r="A1788">
        <v>2021</v>
      </c>
      <c r="B1788">
        <v>8</v>
      </c>
      <c r="C1788">
        <v>8803</v>
      </c>
      <c r="D1788">
        <v>275</v>
      </c>
      <c r="E1788" t="s">
        <v>10</v>
      </c>
      <c r="F1788">
        <v>3454102</v>
      </c>
      <c r="G1788" s="1">
        <v>267</v>
      </c>
      <c r="H1788" s="2">
        <v>270968</v>
      </c>
      <c r="I1788" t="str">
        <f>VLOOKUP(Tabela2[[#This Row],[PAIS]],'[1]nome do paixs'!$A:$B,2,0)</f>
        <v>França</v>
      </c>
      <c r="J1788" t="s">
        <v>11</v>
      </c>
    </row>
    <row r="1789" spans="1:10">
      <c r="A1789">
        <v>2021</v>
      </c>
      <c r="B1789">
        <v>1</v>
      </c>
      <c r="C1789">
        <v>8803</v>
      </c>
      <c r="D1789">
        <v>628</v>
      </c>
      <c r="E1789" t="s">
        <v>10</v>
      </c>
      <c r="F1789">
        <v>3454102</v>
      </c>
      <c r="G1789" s="1">
        <v>0</v>
      </c>
      <c r="H1789" s="2">
        <v>400</v>
      </c>
      <c r="I1789" t="str">
        <f>VLOOKUP(Tabela2[[#This Row],[PAIS]],'[1]nome do paixs'!$A:$B,2,0)</f>
        <v>Reino Unido</v>
      </c>
      <c r="J1789" t="s">
        <v>11</v>
      </c>
    </row>
    <row r="1790" spans="1:10">
      <c r="A1790">
        <v>2021</v>
      </c>
      <c r="B1790">
        <v>10</v>
      </c>
      <c r="C1790">
        <v>8803</v>
      </c>
      <c r="D1790">
        <v>247</v>
      </c>
      <c r="E1790" t="s">
        <v>10</v>
      </c>
      <c r="F1790">
        <v>3454102</v>
      </c>
      <c r="G1790" s="1">
        <v>2</v>
      </c>
      <c r="H1790" s="2">
        <v>3673</v>
      </c>
      <c r="I1790" t="str">
        <f>VLOOKUP(Tabela2[[#This Row],[PAIS]],'[1]nome do paixs'!$A:$B,2,0)</f>
        <v>Eslováquia</v>
      </c>
      <c r="J1790" t="s">
        <v>11</v>
      </c>
    </row>
    <row r="1791" spans="1:10">
      <c r="A1791">
        <v>2021</v>
      </c>
      <c r="B1791">
        <v>1</v>
      </c>
      <c r="C1791">
        <v>8803</v>
      </c>
      <c r="D1791">
        <v>160</v>
      </c>
      <c r="E1791" t="s">
        <v>10</v>
      </c>
      <c r="F1791">
        <v>3454102</v>
      </c>
      <c r="G1791" s="1">
        <v>16</v>
      </c>
      <c r="H1791" s="2">
        <v>11247</v>
      </c>
      <c r="I1791" t="str">
        <f>VLOOKUP(Tabela2[[#This Row],[PAIS]],'[1]nome do paixs'!$A:$B,2,0)</f>
        <v>China</v>
      </c>
      <c r="J1791" t="s">
        <v>11</v>
      </c>
    </row>
    <row r="1792" spans="1:10">
      <c r="A1792">
        <v>2021</v>
      </c>
      <c r="B1792">
        <v>6</v>
      </c>
      <c r="C1792">
        <v>8803</v>
      </c>
      <c r="D1792">
        <v>245</v>
      </c>
      <c r="E1792" t="s">
        <v>10</v>
      </c>
      <c r="F1792">
        <v>3454102</v>
      </c>
      <c r="G1792" s="1">
        <v>5</v>
      </c>
      <c r="H1792" s="2">
        <v>9981</v>
      </c>
      <c r="I1792" t="str">
        <f>VLOOKUP(Tabela2[[#This Row],[PAIS]],'[1]nome do paixs'!$A:$B,2,0)</f>
        <v>Espanha</v>
      </c>
      <c r="J1792" t="s">
        <v>11</v>
      </c>
    </row>
    <row r="1793" spans="1:10">
      <c r="A1793">
        <v>2021</v>
      </c>
      <c r="B1793">
        <v>12</v>
      </c>
      <c r="C1793">
        <v>8803</v>
      </c>
      <c r="D1793">
        <v>275</v>
      </c>
      <c r="E1793" t="s">
        <v>10</v>
      </c>
      <c r="F1793">
        <v>3454102</v>
      </c>
      <c r="G1793" s="1">
        <v>4</v>
      </c>
      <c r="H1793" s="2">
        <v>2564</v>
      </c>
      <c r="I1793" t="str">
        <f>VLOOKUP(Tabela2[[#This Row],[PAIS]],'[1]nome do paixs'!$A:$B,2,0)</f>
        <v>França</v>
      </c>
      <c r="J1793" t="s">
        <v>11</v>
      </c>
    </row>
    <row r="1794" spans="1:10">
      <c r="A1794">
        <v>2021</v>
      </c>
      <c r="B1794">
        <v>7</v>
      </c>
      <c r="C1794">
        <v>8803</v>
      </c>
      <c r="D1794">
        <v>249</v>
      </c>
      <c r="E1794" t="s">
        <v>10</v>
      </c>
      <c r="F1794">
        <v>3454102</v>
      </c>
      <c r="G1794" s="1">
        <v>380</v>
      </c>
      <c r="H1794" s="2">
        <v>194478</v>
      </c>
      <c r="I1794" t="str">
        <f>VLOOKUP(Tabela2[[#This Row],[PAIS]],'[1]nome do paixs'!$A:$B,2,0)</f>
        <v>Estados Unidos</v>
      </c>
      <c r="J1794" t="s">
        <v>11</v>
      </c>
    </row>
    <row r="1795" spans="1:10">
      <c r="A1795">
        <v>2021</v>
      </c>
      <c r="B1795">
        <v>4</v>
      </c>
      <c r="C1795">
        <v>8803</v>
      </c>
      <c r="D1795">
        <v>72</v>
      </c>
      <c r="E1795" t="s">
        <v>10</v>
      </c>
      <c r="F1795">
        <v>3454102</v>
      </c>
      <c r="G1795" s="1">
        <v>8</v>
      </c>
      <c r="H1795" s="2">
        <v>12107</v>
      </c>
      <c r="I1795" t="str">
        <f>VLOOKUP(Tabela2[[#This Row],[PAIS]],'[1]nome do paixs'!$A:$B,2,0)</f>
        <v>Áustria</v>
      </c>
      <c r="J1795" t="s">
        <v>11</v>
      </c>
    </row>
    <row r="1796" spans="1:10">
      <c r="A1796">
        <v>2021</v>
      </c>
      <c r="B1796">
        <v>9</v>
      </c>
      <c r="C1796">
        <v>8803</v>
      </c>
      <c r="D1796">
        <v>160</v>
      </c>
      <c r="E1796" t="s">
        <v>10</v>
      </c>
      <c r="F1796">
        <v>3454102</v>
      </c>
      <c r="G1796" s="1">
        <v>17</v>
      </c>
      <c r="H1796" s="2">
        <v>12252</v>
      </c>
      <c r="I1796" t="str">
        <f>VLOOKUP(Tabela2[[#This Row],[PAIS]],'[1]nome do paixs'!$A:$B,2,0)</f>
        <v>China</v>
      </c>
      <c r="J1796" t="s">
        <v>11</v>
      </c>
    </row>
    <row r="1797" spans="1:10">
      <c r="A1797">
        <v>2021</v>
      </c>
      <c r="B1797">
        <v>5</v>
      </c>
      <c r="C1797">
        <v>8803</v>
      </c>
      <c r="D1797">
        <v>160</v>
      </c>
      <c r="E1797" t="s">
        <v>10</v>
      </c>
      <c r="F1797">
        <v>3454102</v>
      </c>
      <c r="G1797" s="1">
        <v>35</v>
      </c>
      <c r="H1797" s="2">
        <v>66809</v>
      </c>
      <c r="I1797" t="str">
        <f>VLOOKUP(Tabela2[[#This Row],[PAIS]],'[1]nome do paixs'!$A:$B,2,0)</f>
        <v>China</v>
      </c>
      <c r="J1797" t="s">
        <v>11</v>
      </c>
    </row>
    <row r="1798" spans="1:10">
      <c r="A1798">
        <v>2021</v>
      </c>
      <c r="B1798">
        <v>4</v>
      </c>
      <c r="C1798">
        <v>8803</v>
      </c>
      <c r="D1798">
        <v>87</v>
      </c>
      <c r="E1798" t="s">
        <v>10</v>
      </c>
      <c r="F1798">
        <v>3454102</v>
      </c>
      <c r="G1798" s="1">
        <v>0</v>
      </c>
      <c r="H1798" s="2">
        <v>423</v>
      </c>
      <c r="I1798" t="str">
        <f>VLOOKUP(Tabela2[[#This Row],[PAIS]],'[1]nome do paixs'!$A:$B,2,0)</f>
        <v>Bélgica</v>
      </c>
      <c r="J1798" t="s">
        <v>11</v>
      </c>
    </row>
    <row r="1799" spans="1:10">
      <c r="A1799">
        <v>2021</v>
      </c>
      <c r="B1799">
        <v>6</v>
      </c>
      <c r="C1799">
        <v>8803</v>
      </c>
      <c r="D1799">
        <v>607</v>
      </c>
      <c r="E1799" t="s">
        <v>10</v>
      </c>
      <c r="F1799">
        <v>3454102</v>
      </c>
      <c r="G1799" s="1">
        <v>0</v>
      </c>
      <c r="H1799" s="2">
        <v>39</v>
      </c>
      <c r="I1799" t="str">
        <f>VLOOKUP(Tabela2[[#This Row],[PAIS]],'[1]nome do paixs'!$A:$B,2,0)</f>
        <v>Portugal</v>
      </c>
      <c r="J1799" t="s">
        <v>11</v>
      </c>
    </row>
    <row r="1800" spans="1:10">
      <c r="A1800">
        <v>2021</v>
      </c>
      <c r="B1800">
        <v>9</v>
      </c>
      <c r="C1800">
        <v>8803</v>
      </c>
      <c r="D1800">
        <v>741</v>
      </c>
      <c r="E1800" t="s">
        <v>10</v>
      </c>
      <c r="F1800">
        <v>3454102</v>
      </c>
      <c r="G1800" s="1">
        <v>2</v>
      </c>
      <c r="H1800" s="2">
        <v>3781</v>
      </c>
      <c r="I1800" t="str">
        <f>VLOOKUP(Tabela2[[#This Row],[PAIS]],'[1]nome do paixs'!$A:$B,2,0)</f>
        <v>Singapura</v>
      </c>
      <c r="J1800" t="s">
        <v>11</v>
      </c>
    </row>
    <row r="1801" spans="1:10">
      <c r="A1801">
        <v>2021</v>
      </c>
      <c r="B1801">
        <v>5</v>
      </c>
      <c r="C1801">
        <v>8803</v>
      </c>
      <c r="D1801">
        <v>399</v>
      </c>
      <c r="E1801" t="s">
        <v>10</v>
      </c>
      <c r="F1801">
        <v>3454102</v>
      </c>
      <c r="G1801" s="1">
        <v>0</v>
      </c>
      <c r="H1801" s="2">
        <v>75334</v>
      </c>
      <c r="I1801" t="str">
        <f>VLOOKUP(Tabela2[[#This Row],[PAIS]],'[1]nome do paixs'!$A:$B,2,0)</f>
        <v>Japão</v>
      </c>
      <c r="J1801" t="s">
        <v>11</v>
      </c>
    </row>
    <row r="1802" spans="1:10">
      <c r="A1802">
        <v>2021</v>
      </c>
      <c r="B1802">
        <v>11</v>
      </c>
      <c r="C1802">
        <v>8803</v>
      </c>
      <c r="D1802">
        <v>245</v>
      </c>
      <c r="E1802" t="s">
        <v>10</v>
      </c>
      <c r="F1802">
        <v>3454102</v>
      </c>
      <c r="G1802" s="1">
        <v>3</v>
      </c>
      <c r="H1802" s="2">
        <v>5480</v>
      </c>
      <c r="I1802" t="str">
        <f>VLOOKUP(Tabela2[[#This Row],[PAIS]],'[1]nome do paixs'!$A:$B,2,0)</f>
        <v>Espanha</v>
      </c>
      <c r="J1802" t="s">
        <v>11</v>
      </c>
    </row>
    <row r="1803" spans="1:10">
      <c r="A1803">
        <v>2021</v>
      </c>
      <c r="B1803">
        <v>7</v>
      </c>
      <c r="C1803">
        <v>8803</v>
      </c>
      <c r="D1803">
        <v>756</v>
      </c>
      <c r="E1803" t="s">
        <v>10</v>
      </c>
      <c r="F1803">
        <v>3454102</v>
      </c>
      <c r="G1803" s="1">
        <v>1</v>
      </c>
      <c r="H1803" s="2">
        <v>2789</v>
      </c>
      <c r="I1803" t="str">
        <f>VLOOKUP(Tabela2[[#This Row],[PAIS]],'[1]nome do paixs'!$A:$B,2,0)</f>
        <v>África do Sul</v>
      </c>
      <c r="J1803" t="s">
        <v>11</v>
      </c>
    </row>
    <row r="1804" spans="1:10">
      <c r="A1804">
        <v>2021</v>
      </c>
      <c r="B1804">
        <v>12</v>
      </c>
      <c r="C1804">
        <v>8803</v>
      </c>
      <c r="D1804">
        <v>676</v>
      </c>
      <c r="E1804" t="s">
        <v>10</v>
      </c>
      <c r="F1804">
        <v>3454102</v>
      </c>
      <c r="G1804" s="1">
        <v>0</v>
      </c>
      <c r="H1804" s="2">
        <v>1372</v>
      </c>
      <c r="I1804" t="str">
        <f>VLOOKUP(Tabela2[[#This Row],[PAIS]],'[1]nome do paixs'!$A:$B,2,0)</f>
        <v>Rússia</v>
      </c>
      <c r="J1804" t="s">
        <v>11</v>
      </c>
    </row>
    <row r="1805" spans="1:10">
      <c r="A1805">
        <v>2021</v>
      </c>
      <c r="B1805">
        <v>11</v>
      </c>
      <c r="C1805">
        <v>8803</v>
      </c>
      <c r="D1805">
        <v>756</v>
      </c>
      <c r="E1805" t="s">
        <v>10</v>
      </c>
      <c r="F1805">
        <v>3454102</v>
      </c>
      <c r="G1805" s="1">
        <v>30</v>
      </c>
      <c r="H1805" s="2">
        <v>26434</v>
      </c>
      <c r="I1805" t="str">
        <f>VLOOKUP(Tabela2[[#This Row],[PAIS]],'[1]nome do paixs'!$A:$B,2,0)</f>
        <v>África do Sul</v>
      </c>
      <c r="J1805" t="s">
        <v>11</v>
      </c>
    </row>
    <row r="1806" spans="1:10">
      <c r="A1806">
        <v>2021</v>
      </c>
      <c r="B1806">
        <v>1</v>
      </c>
      <c r="C1806">
        <v>8803</v>
      </c>
      <c r="D1806">
        <v>87</v>
      </c>
      <c r="E1806" t="s">
        <v>10</v>
      </c>
      <c r="F1806">
        <v>3454102</v>
      </c>
      <c r="G1806" s="1">
        <v>2</v>
      </c>
      <c r="H1806" s="2">
        <v>3027</v>
      </c>
      <c r="I1806" t="str">
        <f>VLOOKUP(Tabela2[[#This Row],[PAIS]],'[1]nome do paixs'!$A:$B,2,0)</f>
        <v>Bélgica</v>
      </c>
      <c r="J1806" t="s">
        <v>11</v>
      </c>
    </row>
    <row r="1807" spans="1:10">
      <c r="A1807">
        <v>2021</v>
      </c>
      <c r="B1807">
        <v>4</v>
      </c>
      <c r="C1807">
        <v>8803</v>
      </c>
      <c r="D1807">
        <v>676</v>
      </c>
      <c r="E1807" t="s">
        <v>10</v>
      </c>
      <c r="F1807">
        <v>3454102</v>
      </c>
      <c r="G1807" s="1">
        <v>0</v>
      </c>
      <c r="H1807" s="2">
        <v>2102</v>
      </c>
      <c r="I1807" t="str">
        <f>VLOOKUP(Tabela2[[#This Row],[PAIS]],'[1]nome do paixs'!$A:$B,2,0)</f>
        <v>Rússia</v>
      </c>
      <c r="J1807" t="s">
        <v>11</v>
      </c>
    </row>
    <row r="1808" spans="1:10">
      <c r="A1808">
        <v>2021</v>
      </c>
      <c r="B1808">
        <v>8</v>
      </c>
      <c r="C1808">
        <v>8803</v>
      </c>
      <c r="D1808">
        <v>493</v>
      </c>
      <c r="E1808" t="s">
        <v>10</v>
      </c>
      <c r="F1808">
        <v>3454102</v>
      </c>
      <c r="G1808" s="1">
        <v>2</v>
      </c>
      <c r="H1808" s="2">
        <v>761</v>
      </c>
      <c r="I1808" t="str">
        <f>VLOOKUP(Tabela2[[#This Row],[PAIS]],'[1]nome do paixs'!$A:$B,2,0)</f>
        <v>México</v>
      </c>
      <c r="J1808" t="s">
        <v>11</v>
      </c>
    </row>
    <row r="1809" spans="1:10">
      <c r="A1809">
        <v>2021</v>
      </c>
      <c r="B1809">
        <v>10</v>
      </c>
      <c r="C1809">
        <v>8803</v>
      </c>
      <c r="D1809">
        <v>741</v>
      </c>
      <c r="E1809" t="s">
        <v>10</v>
      </c>
      <c r="F1809">
        <v>3454102</v>
      </c>
      <c r="G1809" s="1">
        <v>5</v>
      </c>
      <c r="H1809" s="2">
        <v>1525</v>
      </c>
      <c r="I1809" t="str">
        <f>VLOOKUP(Tabela2[[#This Row],[PAIS]],'[1]nome do paixs'!$A:$B,2,0)</f>
        <v>Singapura</v>
      </c>
      <c r="J1809" t="s">
        <v>11</v>
      </c>
    </row>
    <row r="1810" spans="1:10">
      <c r="A1810">
        <v>2021</v>
      </c>
      <c r="B1810">
        <v>4</v>
      </c>
      <c r="C1810">
        <v>8803</v>
      </c>
      <c r="D1810">
        <v>741</v>
      </c>
      <c r="E1810" t="s">
        <v>10</v>
      </c>
      <c r="F1810">
        <v>3454102</v>
      </c>
      <c r="G1810" s="1">
        <v>1</v>
      </c>
      <c r="H1810" s="2">
        <v>961</v>
      </c>
      <c r="I1810" t="str">
        <f>VLOOKUP(Tabela2[[#This Row],[PAIS]],'[1]nome do paixs'!$A:$B,2,0)</f>
        <v>Singapura</v>
      </c>
      <c r="J1810" t="s">
        <v>11</v>
      </c>
    </row>
    <row r="1811" spans="1:10">
      <c r="A1811">
        <v>2021</v>
      </c>
      <c r="B1811">
        <v>2</v>
      </c>
      <c r="C1811">
        <v>8803</v>
      </c>
      <c r="D1811">
        <v>741</v>
      </c>
      <c r="E1811" t="s">
        <v>10</v>
      </c>
      <c r="F1811">
        <v>3454102</v>
      </c>
      <c r="G1811" s="1">
        <v>9</v>
      </c>
      <c r="H1811" s="2">
        <v>6591</v>
      </c>
      <c r="I1811" t="str">
        <f>VLOOKUP(Tabela2[[#This Row],[PAIS]],'[1]nome do paixs'!$A:$B,2,0)</f>
        <v>Singapura</v>
      </c>
      <c r="J1811" t="s">
        <v>11</v>
      </c>
    </row>
    <row r="1812" spans="1:10">
      <c r="A1812">
        <v>2021</v>
      </c>
      <c r="B1812">
        <v>11</v>
      </c>
      <c r="C1812">
        <v>8803</v>
      </c>
      <c r="D1812">
        <v>275</v>
      </c>
      <c r="E1812" t="s">
        <v>10</v>
      </c>
      <c r="F1812">
        <v>3454102</v>
      </c>
      <c r="G1812" s="1">
        <v>88</v>
      </c>
      <c r="H1812" s="2">
        <v>110091</v>
      </c>
      <c r="I1812" t="str">
        <f>VLOOKUP(Tabela2[[#This Row],[PAIS]],'[1]nome do paixs'!$A:$B,2,0)</f>
        <v>França</v>
      </c>
      <c r="J1812" t="s">
        <v>11</v>
      </c>
    </row>
    <row r="1813" spans="1:10">
      <c r="A1813">
        <v>2021</v>
      </c>
      <c r="B1813">
        <v>10</v>
      </c>
      <c r="C1813">
        <v>8803</v>
      </c>
      <c r="D1813">
        <v>87</v>
      </c>
      <c r="E1813" t="s">
        <v>10</v>
      </c>
      <c r="F1813">
        <v>3454102</v>
      </c>
      <c r="G1813" s="1">
        <v>3</v>
      </c>
      <c r="H1813" s="2">
        <v>4860</v>
      </c>
      <c r="I1813" t="str">
        <f>VLOOKUP(Tabela2[[#This Row],[PAIS]],'[1]nome do paixs'!$A:$B,2,0)</f>
        <v>Bélgica</v>
      </c>
      <c r="J1813" t="s">
        <v>11</v>
      </c>
    </row>
    <row r="1814" spans="1:10">
      <c r="A1814">
        <v>2021</v>
      </c>
      <c r="B1814">
        <v>6</v>
      </c>
      <c r="C1814">
        <v>8803</v>
      </c>
      <c r="D1814">
        <v>756</v>
      </c>
      <c r="E1814" t="s">
        <v>10</v>
      </c>
      <c r="F1814">
        <v>3454102</v>
      </c>
      <c r="G1814" s="1">
        <v>3</v>
      </c>
      <c r="H1814" s="2">
        <v>9161</v>
      </c>
      <c r="I1814" t="str">
        <f>VLOOKUP(Tabela2[[#This Row],[PAIS]],'[1]nome do paixs'!$A:$B,2,0)</f>
        <v>África do Sul</v>
      </c>
      <c r="J1814" t="s">
        <v>11</v>
      </c>
    </row>
    <row r="1815" spans="1:10">
      <c r="A1815">
        <v>2021</v>
      </c>
      <c r="B1815">
        <v>7</v>
      </c>
      <c r="C1815">
        <v>8803</v>
      </c>
      <c r="D1815">
        <v>23</v>
      </c>
      <c r="E1815" t="s">
        <v>10</v>
      </c>
      <c r="F1815">
        <v>3449904</v>
      </c>
      <c r="G1815" s="1">
        <v>391</v>
      </c>
      <c r="H1815" s="2">
        <v>408123</v>
      </c>
      <c r="I1815" t="str">
        <f>VLOOKUP(Tabela2[[#This Row],[PAIS]],'[1]nome do paixs'!$A:$B,2,0)</f>
        <v>Alemanha</v>
      </c>
      <c r="J1815" t="s">
        <v>12</v>
      </c>
    </row>
    <row r="1816" spans="1:10">
      <c r="A1816">
        <v>2021</v>
      </c>
      <c r="B1816">
        <v>10</v>
      </c>
      <c r="C1816">
        <v>8803</v>
      </c>
      <c r="D1816">
        <v>158</v>
      </c>
      <c r="E1816" t="s">
        <v>10</v>
      </c>
      <c r="F1816">
        <v>3449904</v>
      </c>
      <c r="G1816" s="1">
        <v>0</v>
      </c>
      <c r="H1816" s="2">
        <v>1388</v>
      </c>
      <c r="I1816" t="str">
        <f>VLOOKUP(Tabela2[[#This Row],[PAIS]],'[1]nome do paixs'!$A:$B,2,0)</f>
        <v>Chile</v>
      </c>
      <c r="J1816" t="s">
        <v>12</v>
      </c>
    </row>
    <row r="1817" spans="1:10">
      <c r="A1817">
        <v>2021</v>
      </c>
      <c r="B1817">
        <v>5</v>
      </c>
      <c r="C1817">
        <v>8803</v>
      </c>
      <c r="D1817">
        <v>386</v>
      </c>
      <c r="E1817" t="s">
        <v>10</v>
      </c>
      <c r="F1817">
        <v>3449904</v>
      </c>
      <c r="G1817" s="1">
        <v>152</v>
      </c>
      <c r="H1817" s="2">
        <v>63651</v>
      </c>
      <c r="I1817" t="str">
        <f>VLOOKUP(Tabela2[[#This Row],[PAIS]],'[1]nome do paixs'!$A:$B,2,0)</f>
        <v>Itália</v>
      </c>
      <c r="J1817" t="s">
        <v>12</v>
      </c>
    </row>
    <row r="1818" spans="1:10">
      <c r="A1818">
        <v>2021</v>
      </c>
      <c r="B1818">
        <v>11</v>
      </c>
      <c r="C1818">
        <v>8803</v>
      </c>
      <c r="D1818">
        <v>493</v>
      </c>
      <c r="E1818" t="s">
        <v>10</v>
      </c>
      <c r="F1818">
        <v>3449904</v>
      </c>
      <c r="G1818" s="1">
        <v>4</v>
      </c>
      <c r="H1818" s="2">
        <v>2751</v>
      </c>
      <c r="I1818" t="str">
        <f>VLOOKUP(Tabela2[[#This Row],[PAIS]],'[1]nome do paixs'!$A:$B,2,0)</f>
        <v>México</v>
      </c>
      <c r="J1818" t="s">
        <v>12</v>
      </c>
    </row>
    <row r="1819" spans="1:10">
      <c r="A1819">
        <v>2021</v>
      </c>
      <c r="B1819">
        <v>12</v>
      </c>
      <c r="C1819">
        <v>8803</v>
      </c>
      <c r="D1819">
        <v>767</v>
      </c>
      <c r="E1819" t="s">
        <v>10</v>
      </c>
      <c r="F1819">
        <v>3449904</v>
      </c>
      <c r="G1819" s="1">
        <v>150</v>
      </c>
      <c r="H1819" s="2">
        <v>107477</v>
      </c>
      <c r="I1819" t="str">
        <f>VLOOKUP(Tabela2[[#This Row],[PAIS]],'[1]nome do paixs'!$A:$B,2,0)</f>
        <v>Suíça</v>
      </c>
      <c r="J1819" t="s">
        <v>12</v>
      </c>
    </row>
    <row r="1820" spans="1:10">
      <c r="A1820">
        <v>2021</v>
      </c>
      <c r="B1820">
        <v>7</v>
      </c>
      <c r="C1820">
        <v>8803</v>
      </c>
      <c r="D1820">
        <v>741</v>
      </c>
      <c r="E1820" t="s">
        <v>10</v>
      </c>
      <c r="F1820">
        <v>3449904</v>
      </c>
      <c r="G1820" s="1">
        <v>4</v>
      </c>
      <c r="H1820" s="2">
        <v>6911</v>
      </c>
      <c r="I1820" t="str">
        <f>VLOOKUP(Tabela2[[#This Row],[PAIS]],'[1]nome do paixs'!$A:$B,2,0)</f>
        <v>Singapura</v>
      </c>
      <c r="J1820" t="s">
        <v>12</v>
      </c>
    </row>
    <row r="1821" spans="1:10">
      <c r="A1821">
        <v>2021</v>
      </c>
      <c r="B1821">
        <v>4</v>
      </c>
      <c r="C1821">
        <v>8803</v>
      </c>
      <c r="D1821">
        <v>607</v>
      </c>
      <c r="E1821" t="s">
        <v>10</v>
      </c>
      <c r="F1821">
        <v>3449904</v>
      </c>
      <c r="G1821" s="1">
        <v>91</v>
      </c>
      <c r="H1821" s="2">
        <v>79492</v>
      </c>
      <c r="I1821" t="str">
        <f>VLOOKUP(Tabela2[[#This Row],[PAIS]],'[1]nome do paixs'!$A:$B,2,0)</f>
        <v>Portugal</v>
      </c>
      <c r="J1821" t="s">
        <v>12</v>
      </c>
    </row>
    <row r="1822" spans="1:10">
      <c r="A1822">
        <v>2021</v>
      </c>
      <c r="B1822">
        <v>11</v>
      </c>
      <c r="C1822">
        <v>8803</v>
      </c>
      <c r="D1822">
        <v>245</v>
      </c>
      <c r="E1822" t="s">
        <v>10</v>
      </c>
      <c r="F1822">
        <v>3449904</v>
      </c>
      <c r="G1822" s="1">
        <v>2947</v>
      </c>
      <c r="H1822" s="2">
        <v>1112623</v>
      </c>
      <c r="I1822" t="str">
        <f>VLOOKUP(Tabela2[[#This Row],[PAIS]],'[1]nome do paixs'!$A:$B,2,0)</f>
        <v>Espanha</v>
      </c>
      <c r="J1822" t="s">
        <v>12</v>
      </c>
    </row>
    <row r="1823" spans="1:10">
      <c r="A1823">
        <v>2021</v>
      </c>
      <c r="B1823">
        <v>9</v>
      </c>
      <c r="C1823">
        <v>8803</v>
      </c>
      <c r="D1823">
        <v>160</v>
      </c>
      <c r="E1823" t="s">
        <v>10</v>
      </c>
      <c r="F1823">
        <v>3449904</v>
      </c>
      <c r="G1823" s="1">
        <v>15</v>
      </c>
      <c r="H1823" s="2">
        <v>21234</v>
      </c>
      <c r="I1823" t="str">
        <f>VLOOKUP(Tabela2[[#This Row],[PAIS]],'[1]nome do paixs'!$A:$B,2,0)</f>
        <v>China</v>
      </c>
      <c r="J1823" t="s">
        <v>12</v>
      </c>
    </row>
    <row r="1824" spans="1:10">
      <c r="A1824">
        <v>2021</v>
      </c>
      <c r="B1824">
        <v>5</v>
      </c>
      <c r="C1824">
        <v>8803</v>
      </c>
      <c r="D1824">
        <v>23</v>
      </c>
      <c r="E1824" t="s">
        <v>10</v>
      </c>
      <c r="F1824">
        <v>3449904</v>
      </c>
      <c r="G1824" s="1">
        <v>793</v>
      </c>
      <c r="H1824" s="2">
        <v>599583</v>
      </c>
      <c r="I1824" t="str">
        <f>VLOOKUP(Tabela2[[#This Row],[PAIS]],'[1]nome do paixs'!$A:$B,2,0)</f>
        <v>Alemanha</v>
      </c>
      <c r="J1824" t="s">
        <v>12</v>
      </c>
    </row>
    <row r="1825" spans="1:10">
      <c r="A1825">
        <v>2021</v>
      </c>
      <c r="B1825">
        <v>11</v>
      </c>
      <c r="C1825">
        <v>8803</v>
      </c>
      <c r="D1825">
        <v>399</v>
      </c>
      <c r="E1825" t="s">
        <v>10</v>
      </c>
      <c r="F1825">
        <v>3449904</v>
      </c>
      <c r="G1825" s="1">
        <v>1</v>
      </c>
      <c r="H1825" s="2">
        <v>2590</v>
      </c>
      <c r="I1825" t="str">
        <f>VLOOKUP(Tabela2[[#This Row],[PAIS]],'[1]nome do paixs'!$A:$B,2,0)</f>
        <v>Japão</v>
      </c>
      <c r="J1825" t="s">
        <v>12</v>
      </c>
    </row>
    <row r="1826" spans="1:10">
      <c r="A1826">
        <v>2021</v>
      </c>
      <c r="B1826">
        <v>6</v>
      </c>
      <c r="C1826">
        <v>8803</v>
      </c>
      <c r="D1826">
        <v>245</v>
      </c>
      <c r="E1826" t="s">
        <v>10</v>
      </c>
      <c r="F1826">
        <v>3449904</v>
      </c>
      <c r="G1826" s="1">
        <v>5528</v>
      </c>
      <c r="H1826" s="2">
        <v>3824491</v>
      </c>
      <c r="I1826" t="str">
        <f>VLOOKUP(Tabela2[[#This Row],[PAIS]],'[1]nome do paixs'!$A:$B,2,0)</f>
        <v>Espanha</v>
      </c>
      <c r="J1826" t="s">
        <v>12</v>
      </c>
    </row>
    <row r="1827" spans="1:10">
      <c r="A1827">
        <v>2021</v>
      </c>
      <c r="B1827">
        <v>8</v>
      </c>
      <c r="C1827">
        <v>8803</v>
      </c>
      <c r="D1827">
        <v>275</v>
      </c>
      <c r="E1827" t="s">
        <v>10</v>
      </c>
      <c r="F1827">
        <v>3449904</v>
      </c>
      <c r="G1827" s="1">
        <v>429</v>
      </c>
      <c r="H1827" s="2">
        <v>810076</v>
      </c>
      <c r="I1827" t="str">
        <f>VLOOKUP(Tabela2[[#This Row],[PAIS]],'[1]nome do paixs'!$A:$B,2,0)</f>
        <v>França</v>
      </c>
      <c r="J1827" t="s">
        <v>12</v>
      </c>
    </row>
    <row r="1828" spans="1:10">
      <c r="A1828">
        <v>2021</v>
      </c>
      <c r="B1828">
        <v>7</v>
      </c>
      <c r="C1828">
        <v>8803</v>
      </c>
      <c r="D1828">
        <v>767</v>
      </c>
      <c r="E1828" t="s">
        <v>10</v>
      </c>
      <c r="F1828">
        <v>3449904</v>
      </c>
      <c r="G1828" s="1">
        <v>2</v>
      </c>
      <c r="H1828" s="2">
        <v>53806</v>
      </c>
      <c r="I1828" t="str">
        <f>VLOOKUP(Tabela2[[#This Row],[PAIS]],'[1]nome do paixs'!$A:$B,2,0)</f>
        <v>Suíça</v>
      </c>
      <c r="J1828" t="s">
        <v>12</v>
      </c>
    </row>
    <row r="1829" spans="1:10">
      <c r="A1829">
        <v>2021</v>
      </c>
      <c r="B1829">
        <v>11</v>
      </c>
      <c r="C1829">
        <v>8803</v>
      </c>
      <c r="D1829">
        <v>603</v>
      </c>
      <c r="E1829" t="s">
        <v>10</v>
      </c>
      <c r="F1829">
        <v>3449904</v>
      </c>
      <c r="G1829" s="1">
        <v>1</v>
      </c>
      <c r="H1829" s="2">
        <v>3018</v>
      </c>
      <c r="I1829" t="str">
        <f>VLOOKUP(Tabela2[[#This Row],[PAIS]],'[1]nome do paixs'!$A:$B,2,0)</f>
        <v>Polônia</v>
      </c>
      <c r="J1829" t="s">
        <v>12</v>
      </c>
    </row>
    <row r="1830" spans="1:10">
      <c r="A1830">
        <v>2021</v>
      </c>
      <c r="B1830">
        <v>12</v>
      </c>
      <c r="C1830">
        <v>8803</v>
      </c>
      <c r="D1830">
        <v>493</v>
      </c>
      <c r="E1830" t="s">
        <v>10</v>
      </c>
      <c r="F1830">
        <v>3449904</v>
      </c>
      <c r="G1830" s="1">
        <v>9</v>
      </c>
      <c r="H1830" s="2">
        <v>6115</v>
      </c>
      <c r="I1830" t="str">
        <f>VLOOKUP(Tabela2[[#This Row],[PAIS]],'[1]nome do paixs'!$A:$B,2,0)</f>
        <v>México</v>
      </c>
      <c r="J1830" t="s">
        <v>12</v>
      </c>
    </row>
    <row r="1831" spans="1:10">
      <c r="A1831">
        <v>2021</v>
      </c>
      <c r="B1831">
        <v>1</v>
      </c>
      <c r="C1831">
        <v>8803</v>
      </c>
      <c r="D1831">
        <v>153</v>
      </c>
      <c r="E1831" t="s">
        <v>10</v>
      </c>
      <c r="F1831">
        <v>3449904</v>
      </c>
      <c r="G1831" s="1">
        <v>5</v>
      </c>
      <c r="H1831" s="2">
        <v>67290</v>
      </c>
      <c r="I1831" t="str">
        <f>VLOOKUP(Tabela2[[#This Row],[PAIS]],'[1]nome do paixs'!$A:$B,2,0)</f>
        <v>Cazaquistão</v>
      </c>
      <c r="J1831" t="s">
        <v>12</v>
      </c>
    </row>
    <row r="1832" spans="1:10">
      <c r="A1832">
        <v>2021</v>
      </c>
      <c r="B1832">
        <v>10</v>
      </c>
      <c r="C1832">
        <v>8803</v>
      </c>
      <c r="D1832">
        <v>87</v>
      </c>
      <c r="E1832" t="s">
        <v>10</v>
      </c>
      <c r="F1832">
        <v>3449904</v>
      </c>
      <c r="G1832" s="1">
        <v>4709</v>
      </c>
      <c r="H1832" s="2">
        <v>2190564</v>
      </c>
      <c r="I1832" t="str">
        <f>VLOOKUP(Tabela2[[#This Row],[PAIS]],'[1]nome do paixs'!$A:$B,2,0)</f>
        <v>Bélgica</v>
      </c>
      <c r="J1832" t="s">
        <v>12</v>
      </c>
    </row>
    <row r="1833" spans="1:10">
      <c r="A1833">
        <v>2021</v>
      </c>
      <c r="B1833">
        <v>3</v>
      </c>
      <c r="C1833">
        <v>8803</v>
      </c>
      <c r="D1833">
        <v>275</v>
      </c>
      <c r="E1833" t="s">
        <v>10</v>
      </c>
      <c r="F1833">
        <v>3449904</v>
      </c>
      <c r="G1833" s="1">
        <v>458</v>
      </c>
      <c r="H1833" s="2">
        <v>717573</v>
      </c>
      <c r="I1833" t="str">
        <f>VLOOKUP(Tabela2[[#This Row],[PAIS]],'[1]nome do paixs'!$A:$B,2,0)</f>
        <v>França</v>
      </c>
      <c r="J1833" t="s">
        <v>12</v>
      </c>
    </row>
    <row r="1834" spans="1:10">
      <c r="A1834">
        <v>2021</v>
      </c>
      <c r="B1834">
        <v>8</v>
      </c>
      <c r="C1834">
        <v>8803</v>
      </c>
      <c r="D1834">
        <v>87</v>
      </c>
      <c r="E1834" t="s">
        <v>10</v>
      </c>
      <c r="F1834">
        <v>3449904</v>
      </c>
      <c r="G1834" s="1">
        <v>5885</v>
      </c>
      <c r="H1834" s="2">
        <v>3055871</v>
      </c>
      <c r="I1834" t="str">
        <f>VLOOKUP(Tabela2[[#This Row],[PAIS]],'[1]nome do paixs'!$A:$B,2,0)</f>
        <v>Bélgica</v>
      </c>
      <c r="J1834" t="s">
        <v>12</v>
      </c>
    </row>
    <row r="1835" spans="1:10">
      <c r="A1835">
        <v>2021</v>
      </c>
      <c r="B1835">
        <v>11</v>
      </c>
      <c r="C1835">
        <v>8803</v>
      </c>
      <c r="D1835">
        <v>528</v>
      </c>
      <c r="E1835" t="s">
        <v>10</v>
      </c>
      <c r="F1835">
        <v>3449904</v>
      </c>
      <c r="G1835" s="1">
        <v>8</v>
      </c>
      <c r="H1835" s="2">
        <v>14240</v>
      </c>
      <c r="I1835" t="str">
        <f>VLOOKUP(Tabela2[[#This Row],[PAIS]],'[1]nome do paixs'!$A:$B,2,0)</f>
        <v>Nigéria</v>
      </c>
      <c r="J1835" t="s">
        <v>12</v>
      </c>
    </row>
    <row r="1836" spans="1:10">
      <c r="A1836">
        <v>2021</v>
      </c>
      <c r="B1836">
        <v>10</v>
      </c>
      <c r="C1836">
        <v>8803</v>
      </c>
      <c r="D1836">
        <v>676</v>
      </c>
      <c r="E1836" t="s">
        <v>10</v>
      </c>
      <c r="F1836">
        <v>3449904</v>
      </c>
      <c r="G1836" s="1">
        <v>0</v>
      </c>
      <c r="H1836" s="2">
        <v>3012</v>
      </c>
      <c r="I1836" t="str">
        <f>VLOOKUP(Tabela2[[#This Row],[PAIS]],'[1]nome do paixs'!$A:$B,2,0)</f>
        <v>Rússia</v>
      </c>
      <c r="J1836" t="s">
        <v>12</v>
      </c>
    </row>
    <row r="1837" spans="1:10">
      <c r="A1837">
        <v>2021</v>
      </c>
      <c r="B1837">
        <v>2</v>
      </c>
      <c r="C1837">
        <v>8803</v>
      </c>
      <c r="D1837">
        <v>169</v>
      </c>
      <c r="E1837" t="s">
        <v>10</v>
      </c>
      <c r="F1837">
        <v>3449904</v>
      </c>
      <c r="G1837" s="1">
        <v>0</v>
      </c>
      <c r="H1837" s="2">
        <v>233</v>
      </c>
      <c r="I1837" t="str">
        <f>VLOOKUP(Tabela2[[#This Row],[PAIS]],'[1]nome do paixs'!$A:$B,2,0)</f>
        <v>Colômbia</v>
      </c>
      <c r="J1837" t="s">
        <v>12</v>
      </c>
    </row>
    <row r="1838" spans="1:10">
      <c r="A1838">
        <v>2021</v>
      </c>
      <c r="B1838">
        <v>10</v>
      </c>
      <c r="C1838">
        <v>8803</v>
      </c>
      <c r="D1838">
        <v>267</v>
      </c>
      <c r="E1838" t="s">
        <v>10</v>
      </c>
      <c r="F1838">
        <v>3449904</v>
      </c>
      <c r="G1838" s="1">
        <v>100</v>
      </c>
      <c r="H1838" s="2">
        <v>98634</v>
      </c>
      <c r="I1838" t="str">
        <f>VLOOKUP(Tabela2[[#This Row],[PAIS]],'[1]nome do paixs'!$A:$B,2,0)</f>
        <v>Filipinas</v>
      </c>
      <c r="J1838" t="s">
        <v>12</v>
      </c>
    </row>
    <row r="1839" spans="1:10">
      <c r="A1839">
        <v>2021</v>
      </c>
      <c r="B1839">
        <v>2</v>
      </c>
      <c r="C1839">
        <v>8803</v>
      </c>
      <c r="D1839">
        <v>275</v>
      </c>
      <c r="E1839" t="s">
        <v>10</v>
      </c>
      <c r="F1839">
        <v>3449904</v>
      </c>
      <c r="G1839" s="1">
        <v>42</v>
      </c>
      <c r="H1839" s="2">
        <v>71583</v>
      </c>
      <c r="I1839" t="str">
        <f>VLOOKUP(Tabela2[[#This Row],[PAIS]],'[1]nome do paixs'!$A:$B,2,0)</f>
        <v>França</v>
      </c>
      <c r="J1839" t="s">
        <v>12</v>
      </c>
    </row>
    <row r="1840" spans="1:10">
      <c r="A1840">
        <v>2021</v>
      </c>
      <c r="B1840">
        <v>1</v>
      </c>
      <c r="C1840">
        <v>8803</v>
      </c>
      <c r="D1840">
        <v>756</v>
      </c>
      <c r="E1840" t="s">
        <v>10</v>
      </c>
      <c r="F1840">
        <v>3449904</v>
      </c>
      <c r="G1840" s="1">
        <v>0</v>
      </c>
      <c r="H1840" s="2">
        <v>1790</v>
      </c>
      <c r="I1840" t="str">
        <f>VLOOKUP(Tabela2[[#This Row],[PAIS]],'[1]nome do paixs'!$A:$B,2,0)</f>
        <v>África do Sul</v>
      </c>
      <c r="J1840" t="s">
        <v>12</v>
      </c>
    </row>
    <row r="1841" spans="1:10">
      <c r="A1841">
        <v>2021</v>
      </c>
      <c r="B1841">
        <v>6</v>
      </c>
      <c r="C1841">
        <v>8803</v>
      </c>
      <c r="D1841">
        <v>158</v>
      </c>
      <c r="E1841" t="s">
        <v>10</v>
      </c>
      <c r="F1841">
        <v>3449904</v>
      </c>
      <c r="G1841" s="1">
        <v>41</v>
      </c>
      <c r="H1841" s="2">
        <v>342478</v>
      </c>
      <c r="I1841" t="str">
        <f>VLOOKUP(Tabela2[[#This Row],[PAIS]],'[1]nome do paixs'!$A:$B,2,0)</f>
        <v>Chile</v>
      </c>
      <c r="J1841" t="s">
        <v>12</v>
      </c>
    </row>
    <row r="1842" spans="1:10">
      <c r="A1842">
        <v>2021</v>
      </c>
      <c r="B1842">
        <v>5</v>
      </c>
      <c r="C1842">
        <v>8803</v>
      </c>
      <c r="D1842">
        <v>158</v>
      </c>
      <c r="E1842" t="s">
        <v>10</v>
      </c>
      <c r="F1842">
        <v>3449904</v>
      </c>
      <c r="G1842" s="1">
        <v>29</v>
      </c>
      <c r="H1842" s="2">
        <v>71271</v>
      </c>
      <c r="I1842" t="str">
        <f>VLOOKUP(Tabela2[[#This Row],[PAIS]],'[1]nome do paixs'!$A:$B,2,0)</f>
        <v>Chile</v>
      </c>
      <c r="J1842" t="s">
        <v>12</v>
      </c>
    </row>
    <row r="1843" spans="1:10">
      <c r="A1843">
        <v>2021</v>
      </c>
      <c r="B1843">
        <v>10</v>
      </c>
      <c r="C1843">
        <v>8803</v>
      </c>
      <c r="D1843">
        <v>628</v>
      </c>
      <c r="E1843" t="s">
        <v>10</v>
      </c>
      <c r="F1843">
        <v>3449904</v>
      </c>
      <c r="G1843" s="1">
        <v>4</v>
      </c>
      <c r="H1843" s="2">
        <v>4844</v>
      </c>
      <c r="I1843" t="str">
        <f>VLOOKUP(Tabela2[[#This Row],[PAIS]],'[1]nome do paixs'!$A:$B,2,0)</f>
        <v>Reino Unido</v>
      </c>
      <c r="J1843" t="s">
        <v>12</v>
      </c>
    </row>
    <row r="1844" spans="1:10">
      <c r="A1844">
        <v>2021</v>
      </c>
      <c r="B1844">
        <v>8</v>
      </c>
      <c r="C1844">
        <v>8803</v>
      </c>
      <c r="D1844">
        <v>607</v>
      </c>
      <c r="E1844" t="s">
        <v>10</v>
      </c>
      <c r="F1844">
        <v>3449904</v>
      </c>
      <c r="G1844" s="1">
        <v>43</v>
      </c>
      <c r="H1844" s="2">
        <v>28975</v>
      </c>
      <c r="I1844" t="str">
        <f>VLOOKUP(Tabela2[[#This Row],[PAIS]],'[1]nome do paixs'!$A:$B,2,0)</f>
        <v>Portugal</v>
      </c>
      <c r="J1844" t="s">
        <v>12</v>
      </c>
    </row>
    <row r="1845" spans="1:10">
      <c r="A1845">
        <v>2021</v>
      </c>
      <c r="B1845">
        <v>7</v>
      </c>
      <c r="C1845">
        <v>8803</v>
      </c>
      <c r="D1845">
        <v>158</v>
      </c>
      <c r="E1845" t="s">
        <v>10</v>
      </c>
      <c r="F1845">
        <v>3449904</v>
      </c>
      <c r="G1845" s="1">
        <v>21</v>
      </c>
      <c r="H1845" s="2">
        <v>70330</v>
      </c>
      <c r="I1845" t="str">
        <f>VLOOKUP(Tabela2[[#This Row],[PAIS]],'[1]nome do paixs'!$A:$B,2,0)</f>
        <v>Chile</v>
      </c>
      <c r="J1845" t="s">
        <v>12</v>
      </c>
    </row>
    <row r="1846" spans="1:10">
      <c r="A1846">
        <v>2021</v>
      </c>
      <c r="B1846">
        <v>4</v>
      </c>
      <c r="C1846">
        <v>8803</v>
      </c>
      <c r="D1846">
        <v>23</v>
      </c>
      <c r="E1846" t="s">
        <v>10</v>
      </c>
      <c r="F1846">
        <v>3449904</v>
      </c>
      <c r="G1846" s="1">
        <v>355</v>
      </c>
      <c r="H1846" s="2">
        <v>283982</v>
      </c>
      <c r="I1846" t="str">
        <f>VLOOKUP(Tabela2[[#This Row],[PAIS]],'[1]nome do paixs'!$A:$B,2,0)</f>
        <v>Alemanha</v>
      </c>
      <c r="J1846" t="s">
        <v>12</v>
      </c>
    </row>
    <row r="1847" spans="1:10">
      <c r="A1847">
        <v>2021</v>
      </c>
      <c r="B1847">
        <v>2</v>
      </c>
      <c r="C1847">
        <v>8803</v>
      </c>
      <c r="D1847">
        <v>383</v>
      </c>
      <c r="E1847" t="s">
        <v>10</v>
      </c>
      <c r="F1847">
        <v>3449904</v>
      </c>
      <c r="G1847" s="1">
        <v>0</v>
      </c>
      <c r="H1847" s="2">
        <v>14280</v>
      </c>
      <c r="I1847" t="str">
        <f>VLOOKUP(Tabela2[[#This Row],[PAIS]],'[1]nome do paixs'!$A:$B,2,0)</f>
        <v>Israel</v>
      </c>
      <c r="J1847" t="s">
        <v>12</v>
      </c>
    </row>
    <row r="1848" spans="1:10">
      <c r="A1848">
        <v>2021</v>
      </c>
      <c r="B1848">
        <v>2</v>
      </c>
      <c r="C1848">
        <v>8803</v>
      </c>
      <c r="D1848">
        <v>386</v>
      </c>
      <c r="E1848" t="s">
        <v>10</v>
      </c>
      <c r="F1848">
        <v>3449904</v>
      </c>
      <c r="G1848" s="1">
        <v>243</v>
      </c>
      <c r="H1848" s="2">
        <v>158288</v>
      </c>
      <c r="I1848" t="str">
        <f>VLOOKUP(Tabela2[[#This Row],[PAIS]],'[1]nome do paixs'!$A:$B,2,0)</f>
        <v>Itália</v>
      </c>
      <c r="J1848" t="s">
        <v>12</v>
      </c>
    </row>
    <row r="1849" spans="1:10">
      <c r="A1849">
        <v>2021</v>
      </c>
      <c r="B1849">
        <v>1</v>
      </c>
      <c r="C1849">
        <v>8803</v>
      </c>
      <c r="D1849">
        <v>455</v>
      </c>
      <c r="E1849" t="s">
        <v>10</v>
      </c>
      <c r="F1849">
        <v>3449904</v>
      </c>
      <c r="G1849" s="1">
        <v>1</v>
      </c>
      <c r="H1849" s="2">
        <v>527</v>
      </c>
      <c r="I1849" t="str">
        <f>VLOOKUP(Tabela2[[#This Row],[PAIS]],'[1]nome do paixs'!$A:$B,2,0)</f>
        <v>Malásia</v>
      </c>
      <c r="J1849" t="s">
        <v>12</v>
      </c>
    </row>
    <row r="1850" spans="1:10">
      <c r="A1850">
        <v>2021</v>
      </c>
      <c r="B1850">
        <v>8</v>
      </c>
      <c r="C1850">
        <v>8803</v>
      </c>
      <c r="D1850">
        <v>69</v>
      </c>
      <c r="E1850" t="s">
        <v>10</v>
      </c>
      <c r="F1850">
        <v>3449904</v>
      </c>
      <c r="G1850" s="1">
        <v>0</v>
      </c>
      <c r="H1850" s="2">
        <v>27137</v>
      </c>
      <c r="I1850" t="str">
        <f>VLOOKUP(Tabela2[[#This Row],[PAIS]],'[1]nome do paixs'!$A:$B,2,0)</f>
        <v>Austrália</v>
      </c>
      <c r="J1850" t="s">
        <v>12</v>
      </c>
    </row>
    <row r="1851" spans="1:10">
      <c r="A1851">
        <v>2021</v>
      </c>
      <c r="B1851">
        <v>8</v>
      </c>
      <c r="C1851">
        <v>8803</v>
      </c>
      <c r="D1851">
        <v>741</v>
      </c>
      <c r="E1851" t="s">
        <v>10</v>
      </c>
      <c r="F1851">
        <v>3449904</v>
      </c>
      <c r="G1851" s="1">
        <v>1</v>
      </c>
      <c r="H1851" s="2">
        <v>723</v>
      </c>
      <c r="I1851" t="str">
        <f>VLOOKUP(Tabela2[[#This Row],[PAIS]],'[1]nome do paixs'!$A:$B,2,0)</f>
        <v>Singapura</v>
      </c>
      <c r="J1851" t="s">
        <v>12</v>
      </c>
    </row>
    <row r="1852" spans="1:10">
      <c r="A1852">
        <v>2021</v>
      </c>
      <c r="B1852">
        <v>1</v>
      </c>
      <c r="C1852">
        <v>8803</v>
      </c>
      <c r="D1852">
        <v>169</v>
      </c>
      <c r="E1852" t="s">
        <v>10</v>
      </c>
      <c r="F1852">
        <v>3449904</v>
      </c>
      <c r="G1852" s="1">
        <v>12</v>
      </c>
      <c r="H1852" s="2">
        <v>48592</v>
      </c>
      <c r="I1852" t="str">
        <f>VLOOKUP(Tabela2[[#This Row],[PAIS]],'[1]nome do paixs'!$A:$B,2,0)</f>
        <v>Colômbia</v>
      </c>
      <c r="J1852" t="s">
        <v>12</v>
      </c>
    </row>
    <row r="1853" spans="1:10">
      <c r="A1853">
        <v>2021</v>
      </c>
      <c r="B1853">
        <v>7</v>
      </c>
      <c r="C1853">
        <v>8803</v>
      </c>
      <c r="D1853">
        <v>87</v>
      </c>
      <c r="E1853" t="s">
        <v>10</v>
      </c>
      <c r="F1853">
        <v>3449904</v>
      </c>
      <c r="G1853" s="1">
        <v>5146</v>
      </c>
      <c r="H1853" s="2">
        <v>2324592</v>
      </c>
      <c r="I1853" t="str">
        <f>VLOOKUP(Tabela2[[#This Row],[PAIS]],'[1]nome do paixs'!$A:$B,2,0)</f>
        <v>Bélgica</v>
      </c>
      <c r="J1853" t="s">
        <v>12</v>
      </c>
    </row>
    <row r="1854" spans="1:10">
      <c r="A1854">
        <v>2021</v>
      </c>
      <c r="B1854">
        <v>6</v>
      </c>
      <c r="C1854">
        <v>8803</v>
      </c>
      <c r="D1854">
        <v>845</v>
      </c>
      <c r="E1854" t="s">
        <v>10</v>
      </c>
      <c r="F1854">
        <v>3449904</v>
      </c>
      <c r="G1854" s="1">
        <v>6</v>
      </c>
      <c r="H1854" s="2">
        <v>3096</v>
      </c>
      <c r="I1854" t="str">
        <f>VLOOKUP(Tabela2[[#This Row],[PAIS]],'[1]nome do paixs'!$A:$B,2,0)</f>
        <v>Uruguai</v>
      </c>
      <c r="J1854" t="s">
        <v>12</v>
      </c>
    </row>
    <row r="1855" spans="1:10">
      <c r="A1855">
        <v>2021</v>
      </c>
      <c r="B1855">
        <v>8</v>
      </c>
      <c r="C1855">
        <v>8803</v>
      </c>
      <c r="D1855">
        <v>169</v>
      </c>
      <c r="E1855" t="s">
        <v>10</v>
      </c>
      <c r="F1855">
        <v>3449904</v>
      </c>
      <c r="G1855" s="1">
        <v>3</v>
      </c>
      <c r="H1855" s="2">
        <v>7484</v>
      </c>
      <c r="I1855" t="str">
        <f>VLOOKUP(Tabela2[[#This Row],[PAIS]],'[1]nome do paixs'!$A:$B,2,0)</f>
        <v>Colômbia</v>
      </c>
      <c r="J1855" t="s">
        <v>12</v>
      </c>
    </row>
    <row r="1856" spans="1:10">
      <c r="A1856">
        <v>2021</v>
      </c>
      <c r="B1856">
        <v>8</v>
      </c>
      <c r="C1856">
        <v>8803</v>
      </c>
      <c r="D1856">
        <v>23</v>
      </c>
      <c r="E1856" t="s">
        <v>10</v>
      </c>
      <c r="F1856">
        <v>3449904</v>
      </c>
      <c r="G1856" s="1">
        <v>543</v>
      </c>
      <c r="H1856" s="2">
        <v>425832</v>
      </c>
      <c r="I1856" t="str">
        <f>VLOOKUP(Tabela2[[#This Row],[PAIS]],'[1]nome do paixs'!$A:$B,2,0)</f>
        <v>Alemanha</v>
      </c>
      <c r="J1856" t="s">
        <v>12</v>
      </c>
    </row>
    <row r="1857" spans="1:10">
      <c r="A1857">
        <v>2021</v>
      </c>
      <c r="B1857">
        <v>7</v>
      </c>
      <c r="C1857">
        <v>8803</v>
      </c>
      <c r="D1857">
        <v>249</v>
      </c>
      <c r="E1857" t="s">
        <v>10</v>
      </c>
      <c r="F1857">
        <v>3449904</v>
      </c>
      <c r="G1857" s="1">
        <v>5912</v>
      </c>
      <c r="H1857" s="2">
        <v>4839411</v>
      </c>
      <c r="I1857" t="str">
        <f>VLOOKUP(Tabela2[[#This Row],[PAIS]],'[1]nome do paixs'!$A:$B,2,0)</f>
        <v>Estados Unidos</v>
      </c>
      <c r="J1857" t="s">
        <v>12</v>
      </c>
    </row>
    <row r="1858" spans="1:10">
      <c r="A1858">
        <v>2021</v>
      </c>
      <c r="B1858">
        <v>2</v>
      </c>
      <c r="C1858">
        <v>8803</v>
      </c>
      <c r="D1858">
        <v>573</v>
      </c>
      <c r="E1858" t="s">
        <v>10</v>
      </c>
      <c r="F1858">
        <v>3449904</v>
      </c>
      <c r="G1858" s="1">
        <v>3</v>
      </c>
      <c r="H1858" s="2">
        <v>2229</v>
      </c>
      <c r="I1858" t="str">
        <f>VLOOKUP(Tabela2[[#This Row],[PAIS]],'[1]nome do paixs'!$A:$B,2,0)</f>
        <v>Países Baixos (Holanda)</v>
      </c>
      <c r="J1858" t="s">
        <v>12</v>
      </c>
    </row>
    <row r="1859" spans="1:10">
      <c r="A1859">
        <v>2021</v>
      </c>
      <c r="B1859">
        <v>3</v>
      </c>
      <c r="C1859">
        <v>8803</v>
      </c>
      <c r="D1859">
        <v>741</v>
      </c>
      <c r="E1859" t="s">
        <v>10</v>
      </c>
      <c r="F1859">
        <v>3449904</v>
      </c>
      <c r="G1859" s="1">
        <v>5</v>
      </c>
      <c r="H1859" s="2">
        <v>3092</v>
      </c>
      <c r="I1859" t="str">
        <f>VLOOKUP(Tabela2[[#This Row],[PAIS]],'[1]nome do paixs'!$A:$B,2,0)</f>
        <v>Singapura</v>
      </c>
      <c r="J1859" t="s">
        <v>12</v>
      </c>
    </row>
    <row r="1860" spans="1:10">
      <c r="A1860">
        <v>2021</v>
      </c>
      <c r="B1860">
        <v>6</v>
      </c>
      <c r="C1860">
        <v>8803</v>
      </c>
      <c r="D1860">
        <v>275</v>
      </c>
      <c r="E1860" t="s">
        <v>10</v>
      </c>
      <c r="F1860">
        <v>3449904</v>
      </c>
      <c r="G1860" s="1">
        <v>238</v>
      </c>
      <c r="H1860" s="2">
        <v>229945</v>
      </c>
      <c r="I1860" t="str">
        <f>VLOOKUP(Tabela2[[#This Row],[PAIS]],'[1]nome do paixs'!$A:$B,2,0)</f>
        <v>França</v>
      </c>
      <c r="J1860" t="s">
        <v>12</v>
      </c>
    </row>
    <row r="1861" spans="1:10">
      <c r="A1861">
        <v>2021</v>
      </c>
      <c r="B1861">
        <v>7</v>
      </c>
      <c r="C1861">
        <v>8803</v>
      </c>
      <c r="D1861">
        <v>275</v>
      </c>
      <c r="E1861" t="s">
        <v>10</v>
      </c>
      <c r="F1861">
        <v>3449904</v>
      </c>
      <c r="G1861" s="1">
        <v>924</v>
      </c>
      <c r="H1861" s="2">
        <v>986533</v>
      </c>
      <c r="I1861" t="str">
        <f>VLOOKUP(Tabela2[[#This Row],[PAIS]],'[1]nome do paixs'!$A:$B,2,0)</f>
        <v>França</v>
      </c>
      <c r="J1861" t="s">
        <v>12</v>
      </c>
    </row>
    <row r="1862" spans="1:10">
      <c r="A1862">
        <v>2021</v>
      </c>
      <c r="B1862">
        <v>1</v>
      </c>
      <c r="C1862">
        <v>8803</v>
      </c>
      <c r="D1862">
        <v>573</v>
      </c>
      <c r="E1862" t="s">
        <v>10</v>
      </c>
      <c r="F1862">
        <v>3449904</v>
      </c>
      <c r="G1862" s="1">
        <v>0</v>
      </c>
      <c r="H1862" s="2">
        <v>851</v>
      </c>
      <c r="I1862" t="str">
        <f>VLOOKUP(Tabela2[[#This Row],[PAIS]],'[1]nome do paixs'!$A:$B,2,0)</f>
        <v>Países Baixos (Holanda)</v>
      </c>
      <c r="J1862" t="s">
        <v>12</v>
      </c>
    </row>
    <row r="1863" spans="1:10">
      <c r="A1863">
        <v>2021</v>
      </c>
      <c r="B1863">
        <v>9</v>
      </c>
      <c r="C1863">
        <v>8803</v>
      </c>
      <c r="D1863">
        <v>275</v>
      </c>
      <c r="E1863" t="s">
        <v>10</v>
      </c>
      <c r="F1863">
        <v>3449904</v>
      </c>
      <c r="G1863" s="1">
        <v>447</v>
      </c>
      <c r="H1863" s="2">
        <v>476589</v>
      </c>
      <c r="I1863" t="str">
        <f>VLOOKUP(Tabela2[[#This Row],[PAIS]],'[1]nome do paixs'!$A:$B,2,0)</f>
        <v>França</v>
      </c>
      <c r="J1863" t="s">
        <v>12</v>
      </c>
    </row>
    <row r="1864" spans="1:10">
      <c r="A1864">
        <v>2021</v>
      </c>
      <c r="B1864">
        <v>4</v>
      </c>
      <c r="C1864">
        <v>8803</v>
      </c>
      <c r="D1864">
        <v>603</v>
      </c>
      <c r="E1864" t="s">
        <v>10</v>
      </c>
      <c r="F1864">
        <v>3449904</v>
      </c>
      <c r="G1864" s="1">
        <v>2</v>
      </c>
      <c r="H1864" s="2">
        <v>1139</v>
      </c>
      <c r="I1864" t="str">
        <f>VLOOKUP(Tabela2[[#This Row],[PAIS]],'[1]nome do paixs'!$A:$B,2,0)</f>
        <v>Polônia</v>
      </c>
      <c r="J1864" t="s">
        <v>12</v>
      </c>
    </row>
    <row r="1865" spans="1:10">
      <c r="A1865">
        <v>2021</v>
      </c>
      <c r="B1865">
        <v>4</v>
      </c>
      <c r="C1865">
        <v>8803</v>
      </c>
      <c r="D1865">
        <v>767</v>
      </c>
      <c r="E1865" t="s">
        <v>10</v>
      </c>
      <c r="F1865">
        <v>3449904</v>
      </c>
      <c r="G1865" s="1">
        <v>0</v>
      </c>
      <c r="H1865" s="2">
        <v>12781</v>
      </c>
      <c r="I1865" t="str">
        <f>VLOOKUP(Tabela2[[#This Row],[PAIS]],'[1]nome do paixs'!$A:$B,2,0)</f>
        <v>Suíça</v>
      </c>
      <c r="J1865" t="s">
        <v>12</v>
      </c>
    </row>
    <row r="1866" spans="1:10">
      <c r="A1866">
        <v>2021</v>
      </c>
      <c r="B1866">
        <v>11</v>
      </c>
      <c r="C1866">
        <v>8803</v>
      </c>
      <c r="D1866">
        <v>244</v>
      </c>
      <c r="E1866" t="s">
        <v>10</v>
      </c>
      <c r="F1866">
        <v>3449904</v>
      </c>
      <c r="G1866" s="1">
        <v>50</v>
      </c>
      <c r="H1866" s="2">
        <v>8261</v>
      </c>
      <c r="I1866" t="str">
        <f>VLOOKUP(Tabela2[[#This Row],[PAIS]],'[1]nome do paixs'!$A:$B,2,0)</f>
        <v>Emirados Árabes Unidos</v>
      </c>
      <c r="J1866" t="s">
        <v>12</v>
      </c>
    </row>
    <row r="1867" spans="1:10">
      <c r="A1867">
        <v>2021</v>
      </c>
      <c r="B1867">
        <v>6</v>
      </c>
      <c r="C1867">
        <v>8803</v>
      </c>
      <c r="D1867">
        <v>169</v>
      </c>
      <c r="E1867" t="s">
        <v>10</v>
      </c>
      <c r="F1867">
        <v>3449904</v>
      </c>
      <c r="G1867" s="1">
        <v>1</v>
      </c>
      <c r="H1867" s="2">
        <v>9658</v>
      </c>
      <c r="I1867" t="str">
        <f>VLOOKUP(Tabela2[[#This Row],[PAIS]],'[1]nome do paixs'!$A:$B,2,0)</f>
        <v>Colômbia</v>
      </c>
      <c r="J1867" t="s">
        <v>12</v>
      </c>
    </row>
    <row r="1868" spans="1:10">
      <c r="A1868">
        <v>2021</v>
      </c>
      <c r="B1868">
        <v>7</v>
      </c>
      <c r="C1868">
        <v>8803</v>
      </c>
      <c r="D1868">
        <v>160</v>
      </c>
      <c r="E1868" t="s">
        <v>10</v>
      </c>
      <c r="F1868">
        <v>3449904</v>
      </c>
      <c r="G1868" s="1">
        <v>8</v>
      </c>
      <c r="H1868" s="2">
        <v>8996</v>
      </c>
      <c r="I1868" t="str">
        <f>VLOOKUP(Tabela2[[#This Row],[PAIS]],'[1]nome do paixs'!$A:$B,2,0)</f>
        <v>China</v>
      </c>
      <c r="J1868" t="s">
        <v>12</v>
      </c>
    </row>
    <row r="1869" spans="1:10">
      <c r="A1869">
        <v>2021</v>
      </c>
      <c r="B1869">
        <v>10</v>
      </c>
      <c r="C1869">
        <v>8803</v>
      </c>
      <c r="D1869">
        <v>244</v>
      </c>
      <c r="E1869" t="s">
        <v>10</v>
      </c>
      <c r="F1869">
        <v>3449904</v>
      </c>
      <c r="G1869" s="1">
        <v>40</v>
      </c>
      <c r="H1869" s="2">
        <v>2816</v>
      </c>
      <c r="I1869" t="str">
        <f>VLOOKUP(Tabela2[[#This Row],[PAIS]],'[1]nome do paixs'!$A:$B,2,0)</f>
        <v>Emirados Árabes Unidos</v>
      </c>
      <c r="J1869" t="s">
        <v>12</v>
      </c>
    </row>
    <row r="1870" spans="1:10">
      <c r="A1870">
        <v>2021</v>
      </c>
      <c r="B1870">
        <v>4</v>
      </c>
      <c r="C1870">
        <v>8803</v>
      </c>
      <c r="D1870">
        <v>245</v>
      </c>
      <c r="E1870" t="s">
        <v>10</v>
      </c>
      <c r="F1870">
        <v>3449904</v>
      </c>
      <c r="G1870" s="1">
        <v>3786</v>
      </c>
      <c r="H1870" s="2">
        <v>1977572</v>
      </c>
      <c r="I1870" t="str">
        <f>VLOOKUP(Tabela2[[#This Row],[PAIS]],'[1]nome do paixs'!$A:$B,2,0)</f>
        <v>Espanha</v>
      </c>
      <c r="J1870" t="s">
        <v>12</v>
      </c>
    </row>
    <row r="1871" spans="1:10">
      <c r="A1871">
        <v>2021</v>
      </c>
      <c r="B1871">
        <v>3</v>
      </c>
      <c r="C1871">
        <v>8803</v>
      </c>
      <c r="D1871">
        <v>756</v>
      </c>
      <c r="E1871" t="s">
        <v>10</v>
      </c>
      <c r="F1871">
        <v>3449904</v>
      </c>
      <c r="G1871" s="1">
        <v>1</v>
      </c>
      <c r="H1871" s="2">
        <v>611</v>
      </c>
      <c r="I1871" t="str">
        <f>VLOOKUP(Tabela2[[#This Row],[PAIS]],'[1]nome do paixs'!$A:$B,2,0)</f>
        <v>África do Sul</v>
      </c>
      <c r="J1871" t="s">
        <v>12</v>
      </c>
    </row>
    <row r="1872" spans="1:10">
      <c r="A1872">
        <v>2021</v>
      </c>
      <c r="B1872">
        <v>1</v>
      </c>
      <c r="C1872">
        <v>8803</v>
      </c>
      <c r="D1872">
        <v>607</v>
      </c>
      <c r="E1872" t="s">
        <v>10</v>
      </c>
      <c r="F1872">
        <v>3449904</v>
      </c>
      <c r="G1872" s="1">
        <v>41</v>
      </c>
      <c r="H1872" s="2">
        <v>35561</v>
      </c>
      <c r="I1872" t="str">
        <f>VLOOKUP(Tabela2[[#This Row],[PAIS]],'[1]nome do paixs'!$A:$B,2,0)</f>
        <v>Portugal</v>
      </c>
      <c r="J1872" t="s">
        <v>12</v>
      </c>
    </row>
    <row r="1873" spans="1:10">
      <c r="A1873">
        <v>2021</v>
      </c>
      <c r="B1873">
        <v>2</v>
      </c>
      <c r="C1873">
        <v>8803</v>
      </c>
      <c r="D1873">
        <v>249</v>
      </c>
      <c r="E1873" t="s">
        <v>10</v>
      </c>
      <c r="F1873">
        <v>3449904</v>
      </c>
      <c r="G1873" s="1">
        <v>5022</v>
      </c>
      <c r="H1873" s="2">
        <v>4764360</v>
      </c>
      <c r="I1873" t="str">
        <f>VLOOKUP(Tabela2[[#This Row],[PAIS]],'[1]nome do paixs'!$A:$B,2,0)</f>
        <v>Estados Unidos</v>
      </c>
      <c r="J1873" t="s">
        <v>12</v>
      </c>
    </row>
    <row r="1874" spans="1:10">
      <c r="A1874">
        <v>2021</v>
      </c>
      <c r="B1874">
        <v>9</v>
      </c>
      <c r="C1874">
        <v>8803</v>
      </c>
      <c r="D1874">
        <v>87</v>
      </c>
      <c r="E1874" t="s">
        <v>10</v>
      </c>
      <c r="F1874">
        <v>3449904</v>
      </c>
      <c r="G1874" s="1">
        <v>4956</v>
      </c>
      <c r="H1874" s="2">
        <v>2296132</v>
      </c>
      <c r="I1874" t="str">
        <f>VLOOKUP(Tabela2[[#This Row],[PAIS]],'[1]nome do paixs'!$A:$B,2,0)</f>
        <v>Bélgica</v>
      </c>
      <c r="J1874" t="s">
        <v>12</v>
      </c>
    </row>
    <row r="1875" spans="1:10">
      <c r="A1875">
        <v>2021</v>
      </c>
      <c r="B1875">
        <v>3</v>
      </c>
      <c r="C1875">
        <v>8803</v>
      </c>
      <c r="D1875">
        <v>23</v>
      </c>
      <c r="E1875" t="s">
        <v>10</v>
      </c>
      <c r="F1875">
        <v>3449904</v>
      </c>
      <c r="G1875" s="1">
        <v>236</v>
      </c>
      <c r="H1875" s="2">
        <v>256830</v>
      </c>
      <c r="I1875" t="str">
        <f>VLOOKUP(Tabela2[[#This Row],[PAIS]],'[1]nome do paixs'!$A:$B,2,0)</f>
        <v>Alemanha</v>
      </c>
      <c r="J1875" t="s">
        <v>12</v>
      </c>
    </row>
    <row r="1876" spans="1:10">
      <c r="A1876">
        <v>2021</v>
      </c>
      <c r="B1876">
        <v>6</v>
      </c>
      <c r="C1876">
        <v>8803</v>
      </c>
      <c r="D1876">
        <v>23</v>
      </c>
      <c r="E1876" t="s">
        <v>10</v>
      </c>
      <c r="F1876">
        <v>3449904</v>
      </c>
      <c r="G1876" s="1">
        <v>505</v>
      </c>
      <c r="H1876" s="2">
        <v>415656</v>
      </c>
      <c r="I1876" t="str">
        <f>VLOOKUP(Tabela2[[#This Row],[PAIS]],'[1]nome do paixs'!$A:$B,2,0)</f>
        <v>Alemanha</v>
      </c>
      <c r="J1876" t="s">
        <v>12</v>
      </c>
    </row>
    <row r="1877" spans="1:10">
      <c r="A1877">
        <v>2021</v>
      </c>
      <c r="B1877">
        <v>12</v>
      </c>
      <c r="C1877">
        <v>8803</v>
      </c>
      <c r="D1877">
        <v>23</v>
      </c>
      <c r="E1877" t="s">
        <v>10</v>
      </c>
      <c r="F1877">
        <v>3449904</v>
      </c>
      <c r="G1877" s="1">
        <v>660</v>
      </c>
      <c r="H1877" s="2">
        <v>559380</v>
      </c>
      <c r="I1877" t="str">
        <f>VLOOKUP(Tabela2[[#This Row],[PAIS]],'[1]nome do paixs'!$A:$B,2,0)</f>
        <v>Alemanha</v>
      </c>
      <c r="J1877" t="s">
        <v>12</v>
      </c>
    </row>
    <row r="1878" spans="1:10">
      <c r="A1878">
        <v>2021</v>
      </c>
      <c r="B1878">
        <v>2</v>
      </c>
      <c r="C1878">
        <v>8803</v>
      </c>
      <c r="D1878">
        <v>741</v>
      </c>
      <c r="E1878" t="s">
        <v>10</v>
      </c>
      <c r="F1878">
        <v>3449904</v>
      </c>
      <c r="G1878" s="1">
        <v>1</v>
      </c>
      <c r="H1878" s="2">
        <v>9030</v>
      </c>
      <c r="I1878" t="str">
        <f>VLOOKUP(Tabela2[[#This Row],[PAIS]],'[1]nome do paixs'!$A:$B,2,0)</f>
        <v>Singapura</v>
      </c>
      <c r="J1878" t="s">
        <v>12</v>
      </c>
    </row>
    <row r="1879" spans="1:10">
      <c r="A1879">
        <v>2021</v>
      </c>
      <c r="B1879">
        <v>10</v>
      </c>
      <c r="C1879">
        <v>8803</v>
      </c>
      <c r="D1879">
        <v>275</v>
      </c>
      <c r="E1879" t="s">
        <v>10</v>
      </c>
      <c r="F1879">
        <v>3449904</v>
      </c>
      <c r="G1879" s="1">
        <v>351</v>
      </c>
      <c r="H1879" s="2">
        <v>358247</v>
      </c>
      <c r="I1879" t="str">
        <f>VLOOKUP(Tabela2[[#This Row],[PAIS]],'[1]nome do paixs'!$A:$B,2,0)</f>
        <v>França</v>
      </c>
      <c r="J1879" t="s">
        <v>12</v>
      </c>
    </row>
    <row r="1880" spans="1:10">
      <c r="A1880">
        <v>2021</v>
      </c>
      <c r="B1880">
        <v>7</v>
      </c>
      <c r="C1880">
        <v>8803</v>
      </c>
      <c r="D1880">
        <v>607</v>
      </c>
      <c r="E1880" t="s">
        <v>10</v>
      </c>
      <c r="F1880">
        <v>3449904</v>
      </c>
      <c r="G1880" s="1">
        <v>45</v>
      </c>
      <c r="H1880" s="2">
        <v>39193</v>
      </c>
      <c r="I1880" t="str">
        <f>VLOOKUP(Tabela2[[#This Row],[PAIS]],'[1]nome do paixs'!$A:$B,2,0)</f>
        <v>Portugal</v>
      </c>
      <c r="J1880" t="s">
        <v>12</v>
      </c>
    </row>
    <row r="1881" spans="1:10">
      <c r="A1881">
        <v>2021</v>
      </c>
      <c r="B1881">
        <v>1</v>
      </c>
      <c r="C1881">
        <v>8803</v>
      </c>
      <c r="D1881">
        <v>249</v>
      </c>
      <c r="E1881" t="s">
        <v>10</v>
      </c>
      <c r="F1881">
        <v>3449904</v>
      </c>
      <c r="G1881" s="1">
        <v>3404</v>
      </c>
      <c r="H1881" s="2">
        <v>2822787</v>
      </c>
      <c r="I1881" t="str">
        <f>VLOOKUP(Tabela2[[#This Row],[PAIS]],'[1]nome do paixs'!$A:$B,2,0)</f>
        <v>Estados Unidos</v>
      </c>
      <c r="J1881" t="s">
        <v>12</v>
      </c>
    </row>
    <row r="1882" spans="1:10">
      <c r="A1882">
        <v>2021</v>
      </c>
      <c r="B1882">
        <v>11</v>
      </c>
      <c r="C1882">
        <v>8803</v>
      </c>
      <c r="D1882">
        <v>87</v>
      </c>
      <c r="E1882" t="s">
        <v>10</v>
      </c>
      <c r="F1882">
        <v>3449904</v>
      </c>
      <c r="G1882" s="1">
        <v>5177</v>
      </c>
      <c r="H1882" s="2">
        <v>2401837</v>
      </c>
      <c r="I1882" t="str">
        <f>VLOOKUP(Tabela2[[#This Row],[PAIS]],'[1]nome do paixs'!$A:$B,2,0)</f>
        <v>Bélgica</v>
      </c>
      <c r="J1882" t="s">
        <v>12</v>
      </c>
    </row>
    <row r="1883" spans="1:10">
      <c r="A1883">
        <v>2021</v>
      </c>
      <c r="B1883">
        <v>1</v>
      </c>
      <c r="C1883">
        <v>8803</v>
      </c>
      <c r="D1883">
        <v>158</v>
      </c>
      <c r="E1883" t="s">
        <v>10</v>
      </c>
      <c r="F1883">
        <v>3449904</v>
      </c>
      <c r="G1883" s="1">
        <v>0</v>
      </c>
      <c r="H1883" s="2">
        <v>20784</v>
      </c>
      <c r="I1883" t="str">
        <f>VLOOKUP(Tabela2[[#This Row],[PAIS]],'[1]nome do paixs'!$A:$B,2,0)</f>
        <v>Chile</v>
      </c>
      <c r="J1883" t="s">
        <v>12</v>
      </c>
    </row>
    <row r="1884" spans="1:10">
      <c r="A1884">
        <v>2021</v>
      </c>
      <c r="B1884">
        <v>1</v>
      </c>
      <c r="C1884">
        <v>8803</v>
      </c>
      <c r="D1884">
        <v>741</v>
      </c>
      <c r="E1884" t="s">
        <v>10</v>
      </c>
      <c r="F1884">
        <v>3449904</v>
      </c>
      <c r="G1884" s="1">
        <v>1</v>
      </c>
      <c r="H1884" s="2">
        <v>1752</v>
      </c>
      <c r="I1884" t="str">
        <f>VLOOKUP(Tabela2[[#This Row],[PAIS]],'[1]nome do paixs'!$A:$B,2,0)</f>
        <v>Singapura</v>
      </c>
      <c r="J1884" t="s">
        <v>12</v>
      </c>
    </row>
    <row r="1885" spans="1:10">
      <c r="A1885">
        <v>2021</v>
      </c>
      <c r="B1885">
        <v>1</v>
      </c>
      <c r="C1885">
        <v>8803</v>
      </c>
      <c r="D1885">
        <v>603</v>
      </c>
      <c r="E1885" t="s">
        <v>10</v>
      </c>
      <c r="F1885">
        <v>3449904</v>
      </c>
      <c r="G1885" s="1">
        <v>13</v>
      </c>
      <c r="H1885" s="2">
        <v>140807</v>
      </c>
      <c r="I1885" t="str">
        <f>VLOOKUP(Tabela2[[#This Row],[PAIS]],'[1]nome do paixs'!$A:$B,2,0)</f>
        <v>Polônia</v>
      </c>
      <c r="J1885" t="s">
        <v>12</v>
      </c>
    </row>
    <row r="1886" spans="1:10">
      <c r="A1886">
        <v>2021</v>
      </c>
      <c r="B1886">
        <v>8</v>
      </c>
      <c r="C1886">
        <v>8803</v>
      </c>
      <c r="D1886">
        <v>603</v>
      </c>
      <c r="E1886" t="s">
        <v>10</v>
      </c>
      <c r="F1886">
        <v>3449904</v>
      </c>
      <c r="G1886" s="1">
        <v>1</v>
      </c>
      <c r="H1886" s="2">
        <v>2635</v>
      </c>
      <c r="I1886" t="str">
        <f>VLOOKUP(Tabela2[[#This Row],[PAIS]],'[1]nome do paixs'!$A:$B,2,0)</f>
        <v>Polônia</v>
      </c>
      <c r="J1886" t="s">
        <v>12</v>
      </c>
    </row>
    <row r="1887" spans="1:10">
      <c r="A1887">
        <v>2021</v>
      </c>
      <c r="B1887">
        <v>4</v>
      </c>
      <c r="C1887">
        <v>8803</v>
      </c>
      <c r="D1887">
        <v>399</v>
      </c>
      <c r="E1887" t="s">
        <v>10</v>
      </c>
      <c r="F1887">
        <v>3449904</v>
      </c>
      <c r="G1887" s="1">
        <v>0</v>
      </c>
      <c r="H1887" s="2">
        <v>51324</v>
      </c>
      <c r="I1887" t="str">
        <f>VLOOKUP(Tabela2[[#This Row],[PAIS]],'[1]nome do paixs'!$A:$B,2,0)</f>
        <v>Japão</v>
      </c>
      <c r="J1887" t="s">
        <v>12</v>
      </c>
    </row>
    <row r="1888" spans="1:10">
      <c r="A1888">
        <v>2021</v>
      </c>
      <c r="B1888">
        <v>2</v>
      </c>
      <c r="C1888">
        <v>8803</v>
      </c>
      <c r="D1888">
        <v>603</v>
      </c>
      <c r="E1888" t="s">
        <v>10</v>
      </c>
      <c r="F1888">
        <v>3449904</v>
      </c>
      <c r="G1888" s="1">
        <v>4</v>
      </c>
      <c r="H1888" s="2">
        <v>6680</v>
      </c>
      <c r="I1888" t="str">
        <f>VLOOKUP(Tabela2[[#This Row],[PAIS]],'[1]nome do paixs'!$A:$B,2,0)</f>
        <v>Polônia</v>
      </c>
      <c r="J1888" t="s">
        <v>12</v>
      </c>
    </row>
    <row r="1889" spans="1:10">
      <c r="A1889">
        <v>2021</v>
      </c>
      <c r="B1889">
        <v>1</v>
      </c>
      <c r="C1889">
        <v>8803</v>
      </c>
      <c r="D1889">
        <v>244</v>
      </c>
      <c r="E1889" t="s">
        <v>10</v>
      </c>
      <c r="F1889">
        <v>3449904</v>
      </c>
      <c r="G1889" s="1">
        <v>2</v>
      </c>
      <c r="H1889" s="2">
        <v>1194</v>
      </c>
      <c r="I1889" t="str">
        <f>VLOOKUP(Tabela2[[#This Row],[PAIS]],'[1]nome do paixs'!$A:$B,2,0)</f>
        <v>Emirados Árabes Unidos</v>
      </c>
      <c r="J1889" t="s">
        <v>12</v>
      </c>
    </row>
    <row r="1890" spans="1:10">
      <c r="A1890">
        <v>2021</v>
      </c>
      <c r="B1890">
        <v>5</v>
      </c>
      <c r="C1890">
        <v>8803</v>
      </c>
      <c r="D1890">
        <v>741</v>
      </c>
      <c r="E1890" t="s">
        <v>10</v>
      </c>
      <c r="F1890">
        <v>3449904</v>
      </c>
      <c r="G1890" s="1">
        <v>3</v>
      </c>
      <c r="H1890" s="2">
        <v>1075</v>
      </c>
      <c r="I1890" t="str">
        <f>VLOOKUP(Tabela2[[#This Row],[PAIS]],'[1]nome do paixs'!$A:$B,2,0)</f>
        <v>Singapura</v>
      </c>
      <c r="J1890" t="s">
        <v>12</v>
      </c>
    </row>
    <row r="1891" spans="1:10">
      <c r="A1891">
        <v>2021</v>
      </c>
      <c r="B1891">
        <v>9</v>
      </c>
      <c r="C1891">
        <v>8803</v>
      </c>
      <c r="D1891">
        <v>23</v>
      </c>
      <c r="E1891" t="s">
        <v>10</v>
      </c>
      <c r="F1891">
        <v>3449904</v>
      </c>
      <c r="G1891" s="1">
        <v>388</v>
      </c>
      <c r="H1891" s="2">
        <v>364014</v>
      </c>
      <c r="I1891" t="str">
        <f>VLOOKUP(Tabela2[[#This Row],[PAIS]],'[1]nome do paixs'!$A:$B,2,0)</f>
        <v>Alemanha</v>
      </c>
      <c r="J1891" t="s">
        <v>12</v>
      </c>
    </row>
    <row r="1892" spans="1:10">
      <c r="A1892">
        <v>2021</v>
      </c>
      <c r="B1892">
        <v>1</v>
      </c>
      <c r="C1892">
        <v>8803</v>
      </c>
      <c r="D1892">
        <v>160</v>
      </c>
      <c r="E1892" t="s">
        <v>10</v>
      </c>
      <c r="F1892">
        <v>3449904</v>
      </c>
      <c r="G1892" s="1">
        <v>0</v>
      </c>
      <c r="H1892" s="2">
        <v>870</v>
      </c>
      <c r="I1892" t="str">
        <f>VLOOKUP(Tabela2[[#This Row],[PAIS]],'[1]nome do paixs'!$A:$B,2,0)</f>
        <v>China</v>
      </c>
      <c r="J1892" t="s">
        <v>12</v>
      </c>
    </row>
    <row r="1893" spans="1:10">
      <c r="A1893">
        <v>2021</v>
      </c>
      <c r="B1893">
        <v>1</v>
      </c>
      <c r="C1893">
        <v>8803</v>
      </c>
      <c r="D1893">
        <v>386</v>
      </c>
      <c r="E1893" t="s">
        <v>10</v>
      </c>
      <c r="F1893">
        <v>3449904</v>
      </c>
      <c r="G1893" s="1">
        <v>0</v>
      </c>
      <c r="H1893" s="2">
        <v>10483</v>
      </c>
      <c r="I1893" t="str">
        <f>VLOOKUP(Tabela2[[#This Row],[PAIS]],'[1]nome do paixs'!$A:$B,2,0)</f>
        <v>Itália</v>
      </c>
      <c r="J1893" t="s">
        <v>12</v>
      </c>
    </row>
    <row r="1894" spans="1:10">
      <c r="A1894">
        <v>2021</v>
      </c>
      <c r="B1894">
        <v>7</v>
      </c>
      <c r="C1894">
        <v>8803</v>
      </c>
      <c r="D1894">
        <v>31</v>
      </c>
      <c r="E1894" t="s">
        <v>10</v>
      </c>
      <c r="F1894">
        <v>3449904</v>
      </c>
      <c r="G1894" s="1">
        <v>0</v>
      </c>
      <c r="H1894" s="2">
        <v>575</v>
      </c>
      <c r="I1894" t="str">
        <f>VLOOKUP(Tabela2[[#This Row],[PAIS]],'[1]nome do paixs'!$A:$B,2,0)</f>
        <v>Burkina Faso</v>
      </c>
      <c r="J1894" t="s">
        <v>12</v>
      </c>
    </row>
    <row r="1895" spans="1:10">
      <c r="A1895">
        <v>2021</v>
      </c>
      <c r="B1895">
        <v>10</v>
      </c>
      <c r="C1895">
        <v>8803</v>
      </c>
      <c r="D1895">
        <v>245</v>
      </c>
      <c r="E1895" t="s">
        <v>10</v>
      </c>
      <c r="F1895">
        <v>3449904</v>
      </c>
      <c r="G1895" s="1">
        <v>4325</v>
      </c>
      <c r="H1895" s="2">
        <v>1889111</v>
      </c>
      <c r="I1895" t="str">
        <f>VLOOKUP(Tabela2[[#This Row],[PAIS]],'[1]nome do paixs'!$A:$B,2,0)</f>
        <v>Espanha</v>
      </c>
      <c r="J1895" t="s">
        <v>12</v>
      </c>
    </row>
    <row r="1896" spans="1:10">
      <c r="A1896">
        <v>2021</v>
      </c>
      <c r="B1896">
        <v>3</v>
      </c>
      <c r="C1896">
        <v>8803</v>
      </c>
      <c r="D1896">
        <v>244</v>
      </c>
      <c r="E1896" t="s">
        <v>10</v>
      </c>
      <c r="F1896">
        <v>3449904</v>
      </c>
      <c r="G1896" s="1">
        <v>40</v>
      </c>
      <c r="H1896" s="2">
        <v>5121</v>
      </c>
      <c r="I1896" t="str">
        <f>VLOOKUP(Tabela2[[#This Row],[PAIS]],'[1]nome do paixs'!$A:$B,2,0)</f>
        <v>Emirados Árabes Unidos</v>
      </c>
      <c r="J1896" t="s">
        <v>12</v>
      </c>
    </row>
    <row r="1897" spans="1:10">
      <c r="A1897">
        <v>2021</v>
      </c>
      <c r="B1897">
        <v>9</v>
      </c>
      <c r="C1897">
        <v>8803</v>
      </c>
      <c r="D1897">
        <v>158</v>
      </c>
      <c r="E1897" t="s">
        <v>10</v>
      </c>
      <c r="F1897">
        <v>3449904</v>
      </c>
      <c r="G1897" s="1">
        <v>2</v>
      </c>
      <c r="H1897" s="2">
        <v>10804</v>
      </c>
      <c r="I1897" t="str">
        <f>VLOOKUP(Tabela2[[#This Row],[PAIS]],'[1]nome do paixs'!$A:$B,2,0)</f>
        <v>Chile</v>
      </c>
      <c r="J1897" t="s">
        <v>12</v>
      </c>
    </row>
    <row r="1898" spans="1:10">
      <c r="A1898">
        <v>2021</v>
      </c>
      <c r="B1898">
        <v>9</v>
      </c>
      <c r="C1898">
        <v>8803</v>
      </c>
      <c r="D1898">
        <v>245</v>
      </c>
      <c r="E1898" t="s">
        <v>10</v>
      </c>
      <c r="F1898">
        <v>3449904</v>
      </c>
      <c r="G1898" s="1">
        <v>6008</v>
      </c>
      <c r="H1898" s="2">
        <v>2922121</v>
      </c>
      <c r="I1898" t="str">
        <f>VLOOKUP(Tabela2[[#This Row],[PAIS]],'[1]nome do paixs'!$A:$B,2,0)</f>
        <v>Espanha</v>
      </c>
      <c r="J1898" t="s">
        <v>12</v>
      </c>
    </row>
    <row r="1899" spans="1:10">
      <c r="A1899">
        <v>2021</v>
      </c>
      <c r="B1899">
        <v>7</v>
      </c>
      <c r="C1899">
        <v>8803</v>
      </c>
      <c r="D1899">
        <v>538</v>
      </c>
      <c r="E1899" t="s">
        <v>10</v>
      </c>
      <c r="F1899">
        <v>3449904</v>
      </c>
      <c r="G1899" s="1">
        <v>111</v>
      </c>
      <c r="H1899" s="2">
        <v>42825</v>
      </c>
      <c r="I1899" t="str">
        <f>VLOOKUP(Tabela2[[#This Row],[PAIS]],'[1]nome do paixs'!$A:$B,2,0)</f>
        <v>Noruega</v>
      </c>
      <c r="J1899" t="s">
        <v>12</v>
      </c>
    </row>
    <row r="1900" spans="1:10">
      <c r="A1900">
        <v>2021</v>
      </c>
      <c r="B1900">
        <v>7</v>
      </c>
      <c r="C1900">
        <v>8803</v>
      </c>
      <c r="D1900">
        <v>824</v>
      </c>
      <c r="E1900" t="s">
        <v>10</v>
      </c>
      <c r="F1900">
        <v>3449904</v>
      </c>
      <c r="G1900" s="1">
        <v>1</v>
      </c>
      <c r="H1900" s="2">
        <v>9782</v>
      </c>
      <c r="I1900" t="str">
        <f>VLOOKUP(Tabela2[[#This Row],[PAIS]],'[1]nome do paixs'!$A:$B,2,0)</f>
        <v>Turcomenistão</v>
      </c>
      <c r="J1900" t="s">
        <v>12</v>
      </c>
    </row>
    <row r="1901" spans="1:10">
      <c r="A1901">
        <v>2021</v>
      </c>
      <c r="B1901">
        <v>8</v>
      </c>
      <c r="C1901">
        <v>8803</v>
      </c>
      <c r="D1901">
        <v>464</v>
      </c>
      <c r="E1901" t="s">
        <v>10</v>
      </c>
      <c r="F1901">
        <v>3449904</v>
      </c>
      <c r="G1901" s="1">
        <v>6</v>
      </c>
      <c r="H1901" s="2">
        <v>6744</v>
      </c>
      <c r="I1901" t="str">
        <f>VLOOKUP(Tabela2[[#This Row],[PAIS]],'[1]nome do paixs'!$A:$B,2,0)</f>
        <v>Mali</v>
      </c>
      <c r="J1901" t="s">
        <v>12</v>
      </c>
    </row>
    <row r="1902" spans="1:10">
      <c r="A1902">
        <v>2021</v>
      </c>
      <c r="B1902">
        <v>12</v>
      </c>
      <c r="C1902">
        <v>8803</v>
      </c>
      <c r="D1902">
        <v>607</v>
      </c>
      <c r="E1902" t="s">
        <v>10</v>
      </c>
      <c r="F1902">
        <v>3449904</v>
      </c>
      <c r="G1902" s="1">
        <v>75</v>
      </c>
      <c r="H1902" s="2">
        <v>68767</v>
      </c>
      <c r="I1902" t="str">
        <f>VLOOKUP(Tabela2[[#This Row],[PAIS]],'[1]nome do paixs'!$A:$B,2,0)</f>
        <v>Portugal</v>
      </c>
      <c r="J1902" t="s">
        <v>12</v>
      </c>
    </row>
    <row r="1903" spans="1:10">
      <c r="A1903">
        <v>2021</v>
      </c>
      <c r="B1903">
        <v>11</v>
      </c>
      <c r="C1903">
        <v>8803</v>
      </c>
      <c r="D1903">
        <v>23</v>
      </c>
      <c r="E1903" t="s">
        <v>10</v>
      </c>
      <c r="F1903">
        <v>3449904</v>
      </c>
      <c r="G1903" s="1">
        <v>490</v>
      </c>
      <c r="H1903" s="2">
        <v>416089</v>
      </c>
      <c r="I1903" t="str">
        <f>VLOOKUP(Tabela2[[#This Row],[PAIS]],'[1]nome do paixs'!$A:$B,2,0)</f>
        <v>Alemanha</v>
      </c>
      <c r="J1903" t="s">
        <v>12</v>
      </c>
    </row>
    <row r="1904" spans="1:10">
      <c r="A1904">
        <v>2021</v>
      </c>
      <c r="B1904">
        <v>8</v>
      </c>
      <c r="C1904">
        <v>8803</v>
      </c>
      <c r="D1904">
        <v>767</v>
      </c>
      <c r="E1904" t="s">
        <v>10</v>
      </c>
      <c r="F1904">
        <v>3449904</v>
      </c>
      <c r="G1904" s="1">
        <v>408</v>
      </c>
      <c r="H1904" s="2">
        <v>3681894</v>
      </c>
      <c r="I1904" t="str">
        <f>VLOOKUP(Tabela2[[#This Row],[PAIS]],'[1]nome do paixs'!$A:$B,2,0)</f>
        <v>Suíça</v>
      </c>
      <c r="J1904" t="s">
        <v>12</v>
      </c>
    </row>
    <row r="1905" spans="1:10">
      <c r="A1905">
        <v>2021</v>
      </c>
      <c r="B1905">
        <v>5</v>
      </c>
      <c r="C1905">
        <v>8803</v>
      </c>
      <c r="D1905">
        <v>275</v>
      </c>
      <c r="E1905" t="s">
        <v>10</v>
      </c>
      <c r="F1905">
        <v>3449904</v>
      </c>
      <c r="G1905" s="1">
        <v>866</v>
      </c>
      <c r="H1905" s="2">
        <v>483518</v>
      </c>
      <c r="I1905" t="str">
        <f>VLOOKUP(Tabela2[[#This Row],[PAIS]],'[1]nome do paixs'!$A:$B,2,0)</f>
        <v>França</v>
      </c>
      <c r="J1905" t="s">
        <v>12</v>
      </c>
    </row>
    <row r="1906" spans="1:10">
      <c r="A1906">
        <v>2021</v>
      </c>
      <c r="B1906">
        <v>12</v>
      </c>
      <c r="C1906">
        <v>8803</v>
      </c>
      <c r="D1906">
        <v>275</v>
      </c>
      <c r="E1906" t="s">
        <v>10</v>
      </c>
      <c r="F1906">
        <v>3449904</v>
      </c>
      <c r="G1906" s="1">
        <v>55</v>
      </c>
      <c r="H1906" s="2">
        <v>65585</v>
      </c>
      <c r="I1906" t="str">
        <f>VLOOKUP(Tabela2[[#This Row],[PAIS]],'[1]nome do paixs'!$A:$B,2,0)</f>
        <v>França</v>
      </c>
      <c r="J1906" t="s">
        <v>12</v>
      </c>
    </row>
    <row r="1907" spans="1:10">
      <c r="A1907">
        <v>2021</v>
      </c>
      <c r="B1907">
        <v>12</v>
      </c>
      <c r="C1907">
        <v>8803</v>
      </c>
      <c r="D1907">
        <v>603</v>
      </c>
      <c r="E1907" t="s">
        <v>10</v>
      </c>
      <c r="F1907">
        <v>3449904</v>
      </c>
      <c r="G1907" s="1">
        <v>9</v>
      </c>
      <c r="H1907" s="2">
        <v>18236</v>
      </c>
      <c r="I1907" t="str">
        <f>VLOOKUP(Tabela2[[#This Row],[PAIS]],'[1]nome do paixs'!$A:$B,2,0)</f>
        <v>Polônia</v>
      </c>
      <c r="J1907" t="s">
        <v>12</v>
      </c>
    </row>
    <row r="1908" spans="1:10">
      <c r="A1908">
        <v>2021</v>
      </c>
      <c r="B1908">
        <v>2</v>
      </c>
      <c r="C1908">
        <v>8803</v>
      </c>
      <c r="D1908">
        <v>73</v>
      </c>
      <c r="E1908" t="s">
        <v>10</v>
      </c>
      <c r="F1908">
        <v>3449904</v>
      </c>
      <c r="G1908" s="1">
        <v>0</v>
      </c>
      <c r="H1908" s="2">
        <v>33232</v>
      </c>
      <c r="I1908" t="str">
        <f>VLOOKUP(Tabela2[[#This Row],[PAIS]],'[1]nome do paixs'!$A:$B,2,0)</f>
        <v>Azerbaijão</v>
      </c>
      <c r="J1908" t="s">
        <v>12</v>
      </c>
    </row>
    <row r="1909" spans="1:10">
      <c r="A1909">
        <v>2021</v>
      </c>
      <c r="B1909">
        <v>7</v>
      </c>
      <c r="C1909">
        <v>8803</v>
      </c>
      <c r="D1909">
        <v>244</v>
      </c>
      <c r="E1909" t="s">
        <v>10</v>
      </c>
      <c r="F1909">
        <v>3449904</v>
      </c>
      <c r="G1909" s="1">
        <v>13</v>
      </c>
      <c r="H1909" s="2">
        <v>1672</v>
      </c>
      <c r="I1909" t="str">
        <f>VLOOKUP(Tabela2[[#This Row],[PAIS]],'[1]nome do paixs'!$A:$B,2,0)</f>
        <v>Emirados Árabes Unidos</v>
      </c>
      <c r="J1909" t="s">
        <v>12</v>
      </c>
    </row>
    <row r="1910" spans="1:10">
      <c r="A1910">
        <v>2021</v>
      </c>
      <c r="B1910">
        <v>12</v>
      </c>
      <c r="C1910">
        <v>8803</v>
      </c>
      <c r="D1910">
        <v>741</v>
      </c>
      <c r="E1910" t="s">
        <v>10</v>
      </c>
      <c r="F1910">
        <v>3449904</v>
      </c>
      <c r="G1910" s="1">
        <v>4</v>
      </c>
      <c r="H1910" s="2">
        <v>1041</v>
      </c>
      <c r="I1910" t="str">
        <f>VLOOKUP(Tabela2[[#This Row],[PAIS]],'[1]nome do paixs'!$A:$B,2,0)</f>
        <v>Singapura</v>
      </c>
      <c r="J1910" t="s">
        <v>12</v>
      </c>
    </row>
    <row r="1911" spans="1:10">
      <c r="A1911">
        <v>2021</v>
      </c>
      <c r="B1911">
        <v>4</v>
      </c>
      <c r="C1911">
        <v>8803</v>
      </c>
      <c r="D1911">
        <v>427</v>
      </c>
      <c r="E1911" t="s">
        <v>10</v>
      </c>
      <c r="F1911">
        <v>3449904</v>
      </c>
      <c r="G1911" s="1">
        <v>0</v>
      </c>
      <c r="H1911" s="2">
        <v>240</v>
      </c>
      <c r="I1911" t="str">
        <f>VLOOKUP(Tabela2[[#This Row],[PAIS]],'[1]nome do paixs'!$A:$B,2,0)</f>
        <v>Letônia</v>
      </c>
      <c r="J1911" t="s">
        <v>12</v>
      </c>
    </row>
    <row r="1912" spans="1:10">
      <c r="A1912">
        <v>2021</v>
      </c>
      <c r="B1912">
        <v>12</v>
      </c>
      <c r="C1912">
        <v>8803</v>
      </c>
      <c r="D1912">
        <v>488</v>
      </c>
      <c r="E1912" t="s">
        <v>10</v>
      </c>
      <c r="F1912">
        <v>3449904</v>
      </c>
      <c r="G1912" s="1">
        <v>1</v>
      </c>
      <c r="H1912" s="2">
        <v>3524</v>
      </c>
      <c r="I1912" t="str">
        <f>VLOOKUP(Tabela2[[#This Row],[PAIS]],'[1]nome do paixs'!$A:$B,2,0)</f>
        <v>Mauritânia</v>
      </c>
      <c r="J1912" t="s">
        <v>12</v>
      </c>
    </row>
    <row r="1913" spans="1:10">
      <c r="A1913">
        <v>2021</v>
      </c>
      <c r="B1913">
        <v>8</v>
      </c>
      <c r="C1913">
        <v>8803</v>
      </c>
      <c r="D1913">
        <v>538</v>
      </c>
      <c r="E1913" t="s">
        <v>10</v>
      </c>
      <c r="F1913">
        <v>3449904</v>
      </c>
      <c r="G1913" s="1">
        <v>0</v>
      </c>
      <c r="H1913" s="2">
        <v>1786</v>
      </c>
      <c r="I1913" t="str">
        <f>VLOOKUP(Tabela2[[#This Row],[PAIS]],'[1]nome do paixs'!$A:$B,2,0)</f>
        <v>Noruega</v>
      </c>
      <c r="J1913" t="s">
        <v>12</v>
      </c>
    </row>
    <row r="1914" spans="1:10">
      <c r="A1914">
        <v>2021</v>
      </c>
      <c r="B1914">
        <v>9</v>
      </c>
      <c r="C1914">
        <v>8803</v>
      </c>
      <c r="D1914">
        <v>603</v>
      </c>
      <c r="E1914" t="s">
        <v>10</v>
      </c>
      <c r="F1914">
        <v>3449904</v>
      </c>
      <c r="G1914" s="1">
        <v>1</v>
      </c>
      <c r="H1914" s="2">
        <v>7311</v>
      </c>
      <c r="I1914" t="str">
        <f>VLOOKUP(Tabela2[[#This Row],[PAIS]],'[1]nome do paixs'!$A:$B,2,0)</f>
        <v>Polônia</v>
      </c>
      <c r="J1914" t="s">
        <v>12</v>
      </c>
    </row>
    <row r="1915" spans="1:10">
      <c r="A1915">
        <v>2021</v>
      </c>
      <c r="B1915">
        <v>4</v>
      </c>
      <c r="C1915">
        <v>8803</v>
      </c>
      <c r="D1915">
        <v>676</v>
      </c>
      <c r="E1915" t="s">
        <v>10</v>
      </c>
      <c r="F1915">
        <v>3449904</v>
      </c>
      <c r="G1915" s="1">
        <v>1</v>
      </c>
      <c r="H1915" s="2">
        <v>1333</v>
      </c>
      <c r="I1915" t="str">
        <f>VLOOKUP(Tabela2[[#This Row],[PAIS]],'[1]nome do paixs'!$A:$B,2,0)</f>
        <v>Rússia</v>
      </c>
      <c r="J1915" t="s">
        <v>12</v>
      </c>
    </row>
    <row r="1916" spans="1:10">
      <c r="A1916">
        <v>2021</v>
      </c>
      <c r="B1916">
        <v>9</v>
      </c>
      <c r="C1916">
        <v>8803</v>
      </c>
      <c r="D1916">
        <v>607</v>
      </c>
      <c r="E1916" t="s">
        <v>10</v>
      </c>
      <c r="F1916">
        <v>3449904</v>
      </c>
      <c r="G1916" s="1">
        <v>31</v>
      </c>
      <c r="H1916" s="2">
        <v>35180</v>
      </c>
      <c r="I1916" t="str">
        <f>VLOOKUP(Tabela2[[#This Row],[PAIS]],'[1]nome do paixs'!$A:$B,2,0)</f>
        <v>Portugal</v>
      </c>
      <c r="J1916" t="s">
        <v>12</v>
      </c>
    </row>
    <row r="1917" spans="1:10">
      <c r="A1917">
        <v>2021</v>
      </c>
      <c r="B1917">
        <v>2</v>
      </c>
      <c r="C1917">
        <v>8803</v>
      </c>
      <c r="D1917">
        <v>493</v>
      </c>
      <c r="E1917" t="s">
        <v>10</v>
      </c>
      <c r="F1917">
        <v>3449904</v>
      </c>
      <c r="G1917" s="1">
        <v>0</v>
      </c>
      <c r="H1917" s="2">
        <v>9463</v>
      </c>
      <c r="I1917" t="str">
        <f>VLOOKUP(Tabela2[[#This Row],[PAIS]],'[1]nome do paixs'!$A:$B,2,0)</f>
        <v>México</v>
      </c>
      <c r="J1917" t="s">
        <v>12</v>
      </c>
    </row>
    <row r="1918" spans="1:10">
      <c r="A1918">
        <v>2021</v>
      </c>
      <c r="B1918">
        <v>8</v>
      </c>
      <c r="C1918">
        <v>8803</v>
      </c>
      <c r="D1918">
        <v>455</v>
      </c>
      <c r="E1918" t="s">
        <v>10</v>
      </c>
      <c r="F1918">
        <v>3449904</v>
      </c>
      <c r="G1918" s="1">
        <v>2</v>
      </c>
      <c r="H1918" s="2">
        <v>493</v>
      </c>
      <c r="I1918" t="str">
        <f>VLOOKUP(Tabela2[[#This Row],[PAIS]],'[1]nome do paixs'!$A:$B,2,0)</f>
        <v>Malásia</v>
      </c>
      <c r="J1918" t="s">
        <v>12</v>
      </c>
    </row>
    <row r="1919" spans="1:10">
      <c r="A1919">
        <v>2021</v>
      </c>
      <c r="B1919">
        <v>2</v>
      </c>
      <c r="C1919">
        <v>8803</v>
      </c>
      <c r="D1919">
        <v>160</v>
      </c>
      <c r="E1919" t="s">
        <v>10</v>
      </c>
      <c r="F1919">
        <v>3449904</v>
      </c>
      <c r="G1919" s="1">
        <v>0</v>
      </c>
      <c r="H1919" s="2">
        <v>134</v>
      </c>
      <c r="I1919" t="str">
        <f>VLOOKUP(Tabela2[[#This Row],[PAIS]],'[1]nome do paixs'!$A:$B,2,0)</f>
        <v>China</v>
      </c>
      <c r="J1919" t="s">
        <v>12</v>
      </c>
    </row>
    <row r="1920" spans="1:10">
      <c r="A1920">
        <v>2021</v>
      </c>
      <c r="B1920">
        <v>11</v>
      </c>
      <c r="C1920">
        <v>8803</v>
      </c>
      <c r="D1920">
        <v>160</v>
      </c>
      <c r="E1920" t="s">
        <v>10</v>
      </c>
      <c r="F1920">
        <v>3449904</v>
      </c>
      <c r="G1920" s="1">
        <v>7</v>
      </c>
      <c r="H1920" s="2">
        <v>3950</v>
      </c>
      <c r="I1920" t="str">
        <f>VLOOKUP(Tabela2[[#This Row],[PAIS]],'[1]nome do paixs'!$A:$B,2,0)</f>
        <v>China</v>
      </c>
      <c r="J1920" t="s">
        <v>12</v>
      </c>
    </row>
    <row r="1921" spans="1:10">
      <c r="A1921">
        <v>2021</v>
      </c>
      <c r="B1921">
        <v>3</v>
      </c>
      <c r="C1921">
        <v>8803</v>
      </c>
      <c r="D1921">
        <v>160</v>
      </c>
      <c r="E1921" t="s">
        <v>10</v>
      </c>
      <c r="F1921">
        <v>3449904</v>
      </c>
      <c r="G1921" s="1">
        <v>13</v>
      </c>
      <c r="H1921" s="2">
        <v>44015</v>
      </c>
      <c r="I1921" t="str">
        <f>VLOOKUP(Tabela2[[#This Row],[PAIS]],'[1]nome do paixs'!$A:$B,2,0)</f>
        <v>China</v>
      </c>
      <c r="J1921" t="s">
        <v>12</v>
      </c>
    </row>
    <row r="1922" spans="1:10">
      <c r="A1922">
        <v>2021</v>
      </c>
      <c r="B1922">
        <v>11</v>
      </c>
      <c r="C1922">
        <v>8803</v>
      </c>
      <c r="D1922">
        <v>767</v>
      </c>
      <c r="E1922" t="s">
        <v>10</v>
      </c>
      <c r="F1922">
        <v>3449904</v>
      </c>
      <c r="G1922" s="1">
        <v>32</v>
      </c>
      <c r="H1922" s="2">
        <v>56465</v>
      </c>
      <c r="I1922" t="str">
        <f>VLOOKUP(Tabela2[[#This Row],[PAIS]],'[1]nome do paixs'!$A:$B,2,0)</f>
        <v>Suíça</v>
      </c>
      <c r="J1922" t="s">
        <v>12</v>
      </c>
    </row>
    <row r="1923" spans="1:10">
      <c r="A1923">
        <v>2021</v>
      </c>
      <c r="B1923">
        <v>5</v>
      </c>
      <c r="C1923">
        <v>8803</v>
      </c>
      <c r="D1923">
        <v>87</v>
      </c>
      <c r="E1923" t="s">
        <v>10</v>
      </c>
      <c r="F1923">
        <v>3449904</v>
      </c>
      <c r="G1923" s="1">
        <v>3335</v>
      </c>
      <c r="H1923" s="2">
        <v>1684532</v>
      </c>
      <c r="I1923" t="str">
        <f>VLOOKUP(Tabela2[[#This Row],[PAIS]],'[1]nome do paixs'!$A:$B,2,0)</f>
        <v>Bélgica</v>
      </c>
      <c r="J1923" t="s">
        <v>12</v>
      </c>
    </row>
    <row r="1924" spans="1:10">
      <c r="A1924">
        <v>2021</v>
      </c>
      <c r="B1924">
        <v>2</v>
      </c>
      <c r="C1924">
        <v>8803</v>
      </c>
      <c r="D1924">
        <v>87</v>
      </c>
      <c r="E1924" t="s">
        <v>10</v>
      </c>
      <c r="F1924">
        <v>3449904</v>
      </c>
      <c r="G1924" s="1">
        <v>4588</v>
      </c>
      <c r="H1924" s="2">
        <v>2335968</v>
      </c>
      <c r="I1924" t="str">
        <f>VLOOKUP(Tabela2[[#This Row],[PAIS]],'[1]nome do paixs'!$A:$B,2,0)</f>
        <v>Bélgica</v>
      </c>
      <c r="J1924" t="s">
        <v>12</v>
      </c>
    </row>
    <row r="1925" spans="1:10">
      <c r="A1925">
        <v>2021</v>
      </c>
      <c r="B1925">
        <v>3</v>
      </c>
      <c r="C1925">
        <v>8803</v>
      </c>
      <c r="D1925">
        <v>493</v>
      </c>
      <c r="E1925" t="s">
        <v>10</v>
      </c>
      <c r="F1925">
        <v>3449904</v>
      </c>
      <c r="G1925" s="1">
        <v>0</v>
      </c>
      <c r="H1925" s="2">
        <v>17328</v>
      </c>
      <c r="I1925" t="str">
        <f>VLOOKUP(Tabela2[[#This Row],[PAIS]],'[1]nome do paixs'!$A:$B,2,0)</f>
        <v>México</v>
      </c>
      <c r="J1925" t="s">
        <v>12</v>
      </c>
    </row>
    <row r="1926" spans="1:10">
      <c r="A1926">
        <v>2021</v>
      </c>
      <c r="B1926">
        <v>3</v>
      </c>
      <c r="C1926">
        <v>8803</v>
      </c>
      <c r="D1926">
        <v>767</v>
      </c>
      <c r="E1926" t="s">
        <v>10</v>
      </c>
      <c r="F1926">
        <v>3449904</v>
      </c>
      <c r="G1926" s="1">
        <v>136</v>
      </c>
      <c r="H1926" s="2">
        <v>1227298</v>
      </c>
      <c r="I1926" t="str">
        <f>VLOOKUP(Tabela2[[#This Row],[PAIS]],'[1]nome do paixs'!$A:$B,2,0)</f>
        <v>Suíça</v>
      </c>
      <c r="J1926" t="s">
        <v>12</v>
      </c>
    </row>
    <row r="1927" spans="1:10">
      <c r="A1927">
        <v>2021</v>
      </c>
      <c r="B1927">
        <v>8</v>
      </c>
      <c r="C1927">
        <v>8803</v>
      </c>
      <c r="D1927">
        <v>158</v>
      </c>
      <c r="E1927" t="s">
        <v>10</v>
      </c>
      <c r="F1927">
        <v>3449904</v>
      </c>
      <c r="G1927" s="1">
        <v>0</v>
      </c>
      <c r="H1927" s="2">
        <v>344</v>
      </c>
      <c r="I1927" t="str">
        <f>VLOOKUP(Tabela2[[#This Row],[PAIS]],'[1]nome do paixs'!$A:$B,2,0)</f>
        <v>Chile</v>
      </c>
      <c r="J1927" t="s">
        <v>12</v>
      </c>
    </row>
    <row r="1928" spans="1:10">
      <c r="A1928">
        <v>2021</v>
      </c>
      <c r="B1928">
        <v>8</v>
      </c>
      <c r="C1928">
        <v>8803</v>
      </c>
      <c r="D1928">
        <v>160</v>
      </c>
      <c r="E1928" t="s">
        <v>10</v>
      </c>
      <c r="F1928">
        <v>3449904</v>
      </c>
      <c r="G1928" s="1">
        <v>8</v>
      </c>
      <c r="H1928" s="2">
        <v>330057</v>
      </c>
      <c r="I1928" t="str">
        <f>VLOOKUP(Tabela2[[#This Row],[PAIS]],'[1]nome do paixs'!$A:$B,2,0)</f>
        <v>China</v>
      </c>
      <c r="J1928" t="s">
        <v>12</v>
      </c>
    </row>
    <row r="1929" spans="1:10">
      <c r="A1929">
        <v>2021</v>
      </c>
      <c r="B1929">
        <v>9</v>
      </c>
      <c r="C1929">
        <v>8803</v>
      </c>
      <c r="D1929">
        <v>244</v>
      </c>
      <c r="E1929" t="s">
        <v>10</v>
      </c>
      <c r="F1929">
        <v>3449904</v>
      </c>
      <c r="G1929" s="1">
        <v>10</v>
      </c>
      <c r="H1929" s="2">
        <v>1408</v>
      </c>
      <c r="I1929" t="str">
        <f>VLOOKUP(Tabela2[[#This Row],[PAIS]],'[1]nome do paixs'!$A:$B,2,0)</f>
        <v>Emirados Árabes Unidos</v>
      </c>
      <c r="J1929" t="s">
        <v>12</v>
      </c>
    </row>
    <row r="1930" spans="1:10">
      <c r="A1930">
        <v>2021</v>
      </c>
      <c r="B1930">
        <v>8</v>
      </c>
      <c r="C1930">
        <v>8803</v>
      </c>
      <c r="D1930">
        <v>249</v>
      </c>
      <c r="E1930" t="s">
        <v>10</v>
      </c>
      <c r="F1930">
        <v>3449904</v>
      </c>
      <c r="G1930" s="1">
        <v>6672</v>
      </c>
      <c r="H1930" s="2">
        <v>6181768</v>
      </c>
      <c r="I1930" t="str">
        <f>VLOOKUP(Tabela2[[#This Row],[PAIS]],'[1]nome do paixs'!$A:$B,2,0)</f>
        <v>Estados Unidos</v>
      </c>
      <c r="J1930" t="s">
        <v>12</v>
      </c>
    </row>
    <row r="1931" spans="1:10">
      <c r="A1931">
        <v>2021</v>
      </c>
      <c r="B1931">
        <v>8</v>
      </c>
      <c r="C1931">
        <v>8803</v>
      </c>
      <c r="D1931">
        <v>756</v>
      </c>
      <c r="E1931" t="s">
        <v>10</v>
      </c>
      <c r="F1931">
        <v>3449904</v>
      </c>
      <c r="G1931" s="1">
        <v>0</v>
      </c>
      <c r="H1931" s="2">
        <v>95</v>
      </c>
      <c r="I1931" t="str">
        <f>VLOOKUP(Tabela2[[#This Row],[PAIS]],'[1]nome do paixs'!$A:$B,2,0)</f>
        <v>África do Sul</v>
      </c>
      <c r="J1931" t="s">
        <v>12</v>
      </c>
    </row>
    <row r="1932" spans="1:10">
      <c r="A1932">
        <v>2021</v>
      </c>
      <c r="B1932">
        <v>12</v>
      </c>
      <c r="C1932">
        <v>8803</v>
      </c>
      <c r="D1932">
        <v>455</v>
      </c>
      <c r="E1932" t="s">
        <v>10</v>
      </c>
      <c r="F1932">
        <v>3449904</v>
      </c>
      <c r="G1932" s="1">
        <v>0</v>
      </c>
      <c r="H1932" s="2">
        <v>450</v>
      </c>
      <c r="I1932" t="str">
        <f>VLOOKUP(Tabela2[[#This Row],[PAIS]],'[1]nome do paixs'!$A:$B,2,0)</f>
        <v>Malásia</v>
      </c>
      <c r="J1932" t="s">
        <v>12</v>
      </c>
    </row>
    <row r="1933" spans="1:10">
      <c r="A1933">
        <v>2021</v>
      </c>
      <c r="B1933">
        <v>9</v>
      </c>
      <c r="C1933">
        <v>8803</v>
      </c>
      <c r="D1933">
        <v>741</v>
      </c>
      <c r="E1933" t="s">
        <v>10</v>
      </c>
      <c r="F1933">
        <v>3449904</v>
      </c>
      <c r="G1933" s="1">
        <v>0</v>
      </c>
      <c r="H1933" s="2">
        <v>3783</v>
      </c>
      <c r="I1933" t="str">
        <f>VLOOKUP(Tabela2[[#This Row],[PAIS]],'[1]nome do paixs'!$A:$B,2,0)</f>
        <v>Singapura</v>
      </c>
      <c r="J1933" t="s">
        <v>12</v>
      </c>
    </row>
    <row r="1934" spans="1:10">
      <c r="A1934">
        <v>2021</v>
      </c>
      <c r="B1934">
        <v>11</v>
      </c>
      <c r="C1934">
        <v>8803</v>
      </c>
      <c r="D1934">
        <v>607</v>
      </c>
      <c r="E1934" t="s">
        <v>10</v>
      </c>
      <c r="F1934">
        <v>3449904</v>
      </c>
      <c r="G1934" s="1">
        <v>82</v>
      </c>
      <c r="H1934" s="2">
        <v>107557</v>
      </c>
      <c r="I1934" t="str">
        <f>VLOOKUP(Tabela2[[#This Row],[PAIS]],'[1]nome do paixs'!$A:$B,2,0)</f>
        <v>Portugal</v>
      </c>
      <c r="J1934" t="s">
        <v>12</v>
      </c>
    </row>
    <row r="1935" spans="1:10">
      <c r="A1935">
        <v>2021</v>
      </c>
      <c r="B1935">
        <v>4</v>
      </c>
      <c r="C1935">
        <v>8803</v>
      </c>
      <c r="D1935">
        <v>488</v>
      </c>
      <c r="E1935" t="s">
        <v>10</v>
      </c>
      <c r="F1935">
        <v>3449904</v>
      </c>
      <c r="G1935" s="1">
        <v>4</v>
      </c>
      <c r="H1935" s="2">
        <v>6001</v>
      </c>
      <c r="I1935" t="str">
        <f>VLOOKUP(Tabela2[[#This Row],[PAIS]],'[1]nome do paixs'!$A:$B,2,0)</f>
        <v>Mauritânia</v>
      </c>
      <c r="J1935" t="s">
        <v>12</v>
      </c>
    </row>
    <row r="1936" spans="1:10">
      <c r="A1936">
        <v>2021</v>
      </c>
      <c r="B1936">
        <v>5</v>
      </c>
      <c r="C1936">
        <v>8803</v>
      </c>
      <c r="D1936">
        <v>607</v>
      </c>
      <c r="E1936" t="s">
        <v>10</v>
      </c>
      <c r="F1936">
        <v>3449904</v>
      </c>
      <c r="G1936" s="1">
        <v>42</v>
      </c>
      <c r="H1936" s="2">
        <v>43134</v>
      </c>
      <c r="I1936" t="str">
        <f>VLOOKUP(Tabela2[[#This Row],[PAIS]],'[1]nome do paixs'!$A:$B,2,0)</f>
        <v>Portugal</v>
      </c>
      <c r="J1936" t="s">
        <v>12</v>
      </c>
    </row>
    <row r="1937" spans="1:10">
      <c r="A1937">
        <v>2021</v>
      </c>
      <c r="B1937">
        <v>12</v>
      </c>
      <c r="C1937">
        <v>8803</v>
      </c>
      <c r="D1937">
        <v>244</v>
      </c>
      <c r="E1937" t="s">
        <v>10</v>
      </c>
      <c r="F1937">
        <v>3449904</v>
      </c>
      <c r="G1937" s="1">
        <v>34</v>
      </c>
      <c r="H1937" s="2">
        <v>5088</v>
      </c>
      <c r="I1937" t="str">
        <f>VLOOKUP(Tabela2[[#This Row],[PAIS]],'[1]nome do paixs'!$A:$B,2,0)</f>
        <v>Emirados Árabes Unidos</v>
      </c>
      <c r="J1937" t="s">
        <v>12</v>
      </c>
    </row>
    <row r="1938" spans="1:10">
      <c r="A1938">
        <v>2021</v>
      </c>
      <c r="B1938">
        <v>5</v>
      </c>
      <c r="C1938">
        <v>8803</v>
      </c>
      <c r="D1938">
        <v>160</v>
      </c>
      <c r="E1938" t="s">
        <v>10</v>
      </c>
      <c r="F1938">
        <v>3449904</v>
      </c>
      <c r="G1938" s="1">
        <v>0</v>
      </c>
      <c r="H1938" s="2">
        <v>813</v>
      </c>
      <c r="I1938" t="str">
        <f>VLOOKUP(Tabela2[[#This Row],[PAIS]],'[1]nome do paixs'!$A:$B,2,0)</f>
        <v>China</v>
      </c>
      <c r="J1938" t="s">
        <v>12</v>
      </c>
    </row>
    <row r="1939" spans="1:10">
      <c r="A1939">
        <v>2021</v>
      </c>
      <c r="B1939">
        <v>10</v>
      </c>
      <c r="C1939">
        <v>8803</v>
      </c>
      <c r="D1939">
        <v>741</v>
      </c>
      <c r="E1939" t="s">
        <v>10</v>
      </c>
      <c r="F1939">
        <v>3449904</v>
      </c>
      <c r="G1939" s="1">
        <v>1</v>
      </c>
      <c r="H1939" s="2">
        <v>1521</v>
      </c>
      <c r="I1939" t="str">
        <f>VLOOKUP(Tabela2[[#This Row],[PAIS]],'[1]nome do paixs'!$A:$B,2,0)</f>
        <v>Singapura</v>
      </c>
      <c r="J1939" t="s">
        <v>12</v>
      </c>
    </row>
    <row r="1940" spans="1:10">
      <c r="A1940">
        <v>2021</v>
      </c>
      <c r="B1940">
        <v>11</v>
      </c>
      <c r="C1940">
        <v>8803</v>
      </c>
      <c r="D1940">
        <v>169</v>
      </c>
      <c r="E1940" t="s">
        <v>10</v>
      </c>
      <c r="F1940">
        <v>3449904</v>
      </c>
      <c r="G1940" s="1">
        <v>2</v>
      </c>
      <c r="H1940" s="2">
        <v>24912</v>
      </c>
      <c r="I1940" t="str">
        <f>VLOOKUP(Tabela2[[#This Row],[PAIS]],'[1]nome do paixs'!$A:$B,2,0)</f>
        <v>Colômbia</v>
      </c>
      <c r="J1940" t="s">
        <v>12</v>
      </c>
    </row>
    <row r="1941" spans="1:10">
      <c r="A1941">
        <v>2021</v>
      </c>
      <c r="B1941">
        <v>6</v>
      </c>
      <c r="C1941">
        <v>8803</v>
      </c>
      <c r="D1941">
        <v>741</v>
      </c>
      <c r="E1941" t="s">
        <v>10</v>
      </c>
      <c r="F1941">
        <v>3449904</v>
      </c>
      <c r="G1941" s="1">
        <v>4</v>
      </c>
      <c r="H1941" s="2">
        <v>4848</v>
      </c>
      <c r="I1941" t="str">
        <f>VLOOKUP(Tabela2[[#This Row],[PAIS]],'[1]nome do paixs'!$A:$B,2,0)</f>
        <v>Singapura</v>
      </c>
      <c r="J1941" t="s">
        <v>12</v>
      </c>
    </row>
    <row r="1942" spans="1:10">
      <c r="A1942">
        <v>2021</v>
      </c>
      <c r="B1942">
        <v>6</v>
      </c>
      <c r="C1942">
        <v>8803</v>
      </c>
      <c r="D1942">
        <v>249</v>
      </c>
      <c r="E1942" t="s">
        <v>10</v>
      </c>
      <c r="F1942">
        <v>3449904</v>
      </c>
      <c r="G1942" s="1">
        <v>4926</v>
      </c>
      <c r="H1942" s="2">
        <v>4003173</v>
      </c>
      <c r="I1942" t="str">
        <f>VLOOKUP(Tabela2[[#This Row],[PAIS]],'[1]nome do paixs'!$A:$B,2,0)</f>
        <v>Estados Unidos</v>
      </c>
      <c r="J1942" t="s">
        <v>12</v>
      </c>
    </row>
    <row r="1943" spans="1:10">
      <c r="A1943">
        <v>2021</v>
      </c>
      <c r="B1943">
        <v>2</v>
      </c>
      <c r="C1943">
        <v>8803</v>
      </c>
      <c r="D1943">
        <v>245</v>
      </c>
      <c r="E1943" t="s">
        <v>10</v>
      </c>
      <c r="F1943">
        <v>3449904</v>
      </c>
      <c r="G1943" s="1">
        <v>3324</v>
      </c>
      <c r="H1943" s="2">
        <v>1554653</v>
      </c>
      <c r="I1943" t="str">
        <f>VLOOKUP(Tabela2[[#This Row],[PAIS]],'[1]nome do paixs'!$A:$B,2,0)</f>
        <v>Espanha</v>
      </c>
      <c r="J1943" t="s">
        <v>12</v>
      </c>
    </row>
    <row r="1944" spans="1:10">
      <c r="A1944">
        <v>2021</v>
      </c>
      <c r="B1944">
        <v>6</v>
      </c>
      <c r="C1944">
        <v>8803</v>
      </c>
      <c r="D1944">
        <v>603</v>
      </c>
      <c r="E1944" t="s">
        <v>10</v>
      </c>
      <c r="F1944">
        <v>3449904</v>
      </c>
      <c r="G1944" s="1">
        <v>0</v>
      </c>
      <c r="H1944" s="2">
        <v>184</v>
      </c>
      <c r="I1944" t="str">
        <f>VLOOKUP(Tabela2[[#This Row],[PAIS]],'[1]nome do paixs'!$A:$B,2,0)</f>
        <v>Polônia</v>
      </c>
      <c r="J1944" t="s">
        <v>12</v>
      </c>
    </row>
    <row r="1945" spans="1:10">
      <c r="A1945">
        <v>2021</v>
      </c>
      <c r="B1945">
        <v>12</v>
      </c>
      <c r="C1945">
        <v>8803</v>
      </c>
      <c r="D1945">
        <v>245</v>
      </c>
      <c r="E1945" t="s">
        <v>10</v>
      </c>
      <c r="F1945">
        <v>3449904</v>
      </c>
      <c r="G1945" s="1">
        <v>6089</v>
      </c>
      <c r="H1945" s="2">
        <v>2979022</v>
      </c>
      <c r="I1945" t="str">
        <f>VLOOKUP(Tabela2[[#This Row],[PAIS]],'[1]nome do paixs'!$A:$B,2,0)</f>
        <v>Espanha</v>
      </c>
      <c r="J1945" t="s">
        <v>12</v>
      </c>
    </row>
    <row r="1946" spans="1:10">
      <c r="A1946">
        <v>2021</v>
      </c>
      <c r="B1946">
        <v>9</v>
      </c>
      <c r="C1946">
        <v>8803</v>
      </c>
      <c r="D1946">
        <v>169</v>
      </c>
      <c r="E1946" t="s">
        <v>10</v>
      </c>
      <c r="F1946">
        <v>3449904</v>
      </c>
      <c r="G1946" s="1">
        <v>32</v>
      </c>
      <c r="H1946" s="2">
        <v>163760</v>
      </c>
      <c r="I1946" t="str">
        <f>VLOOKUP(Tabela2[[#This Row],[PAIS]],'[1]nome do paixs'!$A:$B,2,0)</f>
        <v>Colômbia</v>
      </c>
      <c r="J1946" t="s">
        <v>12</v>
      </c>
    </row>
    <row r="1947" spans="1:10">
      <c r="A1947">
        <v>2021</v>
      </c>
      <c r="B1947">
        <v>3</v>
      </c>
      <c r="C1947">
        <v>8803</v>
      </c>
      <c r="D1947">
        <v>603</v>
      </c>
      <c r="E1947" t="s">
        <v>10</v>
      </c>
      <c r="F1947">
        <v>3449904</v>
      </c>
      <c r="G1947" s="1">
        <v>2</v>
      </c>
      <c r="H1947" s="2">
        <v>480</v>
      </c>
      <c r="I1947" t="str">
        <f>VLOOKUP(Tabela2[[#This Row],[PAIS]],'[1]nome do paixs'!$A:$B,2,0)</f>
        <v>Polônia</v>
      </c>
      <c r="J1947" t="s">
        <v>12</v>
      </c>
    </row>
    <row r="1948" spans="1:10">
      <c r="A1948">
        <v>2021</v>
      </c>
      <c r="B1948">
        <v>12</v>
      </c>
      <c r="C1948">
        <v>8803</v>
      </c>
      <c r="D1948">
        <v>169</v>
      </c>
      <c r="E1948" t="s">
        <v>10</v>
      </c>
      <c r="F1948">
        <v>3449904</v>
      </c>
      <c r="G1948" s="1">
        <v>10</v>
      </c>
      <c r="H1948" s="2">
        <v>24379</v>
      </c>
      <c r="I1948" t="str">
        <f>VLOOKUP(Tabela2[[#This Row],[PAIS]],'[1]nome do paixs'!$A:$B,2,0)</f>
        <v>Colômbia</v>
      </c>
      <c r="J1948" t="s">
        <v>12</v>
      </c>
    </row>
    <row r="1949" spans="1:10">
      <c r="A1949">
        <v>2021</v>
      </c>
      <c r="B1949">
        <v>4</v>
      </c>
      <c r="C1949">
        <v>8803</v>
      </c>
      <c r="D1949">
        <v>160</v>
      </c>
      <c r="E1949" t="s">
        <v>10</v>
      </c>
      <c r="F1949">
        <v>3449904</v>
      </c>
      <c r="G1949" s="1">
        <v>0</v>
      </c>
      <c r="H1949" s="2">
        <v>826</v>
      </c>
      <c r="I1949" t="str">
        <f>VLOOKUP(Tabela2[[#This Row],[PAIS]],'[1]nome do paixs'!$A:$B,2,0)</f>
        <v>China</v>
      </c>
      <c r="J1949" t="s">
        <v>12</v>
      </c>
    </row>
    <row r="1950" spans="1:10">
      <c r="A1950">
        <v>2021</v>
      </c>
      <c r="B1950">
        <v>11</v>
      </c>
      <c r="C1950">
        <v>8803</v>
      </c>
      <c r="D1950">
        <v>538</v>
      </c>
      <c r="E1950" t="s">
        <v>10</v>
      </c>
      <c r="F1950">
        <v>3449904</v>
      </c>
      <c r="G1950" s="1">
        <v>1</v>
      </c>
      <c r="H1950" s="2">
        <v>418</v>
      </c>
      <c r="I1950" t="str">
        <f>VLOOKUP(Tabela2[[#This Row],[PAIS]],'[1]nome do paixs'!$A:$B,2,0)</f>
        <v>Noruega</v>
      </c>
      <c r="J1950" t="s">
        <v>12</v>
      </c>
    </row>
    <row r="1951" spans="1:10">
      <c r="A1951">
        <v>2021</v>
      </c>
      <c r="B1951">
        <v>12</v>
      </c>
      <c r="C1951">
        <v>8803</v>
      </c>
      <c r="D1951">
        <v>267</v>
      </c>
      <c r="E1951" t="s">
        <v>10</v>
      </c>
      <c r="F1951">
        <v>3449904</v>
      </c>
      <c r="G1951" s="1">
        <v>4</v>
      </c>
      <c r="H1951" s="2">
        <v>62228</v>
      </c>
      <c r="I1951" t="str">
        <f>VLOOKUP(Tabela2[[#This Row],[PAIS]],'[1]nome do paixs'!$A:$B,2,0)</f>
        <v>Filipinas</v>
      </c>
      <c r="J1951" t="s">
        <v>12</v>
      </c>
    </row>
    <row r="1952" spans="1:10">
      <c r="A1952">
        <v>2021</v>
      </c>
      <c r="B1952">
        <v>10</v>
      </c>
      <c r="C1952">
        <v>8803</v>
      </c>
      <c r="D1952">
        <v>607</v>
      </c>
      <c r="E1952" t="s">
        <v>10</v>
      </c>
      <c r="F1952">
        <v>3449904</v>
      </c>
      <c r="G1952" s="1">
        <v>108</v>
      </c>
      <c r="H1952" s="2">
        <v>89836</v>
      </c>
      <c r="I1952" t="str">
        <f>VLOOKUP(Tabela2[[#This Row],[PAIS]],'[1]nome do paixs'!$A:$B,2,0)</f>
        <v>Portugal</v>
      </c>
      <c r="J1952" t="s">
        <v>12</v>
      </c>
    </row>
    <row r="1953" spans="1:10">
      <c r="A1953">
        <v>2021</v>
      </c>
      <c r="B1953">
        <v>10</v>
      </c>
      <c r="C1953">
        <v>8803</v>
      </c>
      <c r="D1953">
        <v>169</v>
      </c>
      <c r="E1953" t="s">
        <v>10</v>
      </c>
      <c r="F1953">
        <v>3449904</v>
      </c>
      <c r="G1953" s="1">
        <v>1</v>
      </c>
      <c r="H1953" s="2">
        <v>13088</v>
      </c>
      <c r="I1953" t="str">
        <f>VLOOKUP(Tabela2[[#This Row],[PAIS]],'[1]nome do paixs'!$A:$B,2,0)</f>
        <v>Colômbia</v>
      </c>
      <c r="J1953" t="s">
        <v>12</v>
      </c>
    </row>
    <row r="1954" spans="1:10">
      <c r="A1954">
        <v>2021</v>
      </c>
      <c r="B1954">
        <v>3</v>
      </c>
      <c r="C1954">
        <v>8803</v>
      </c>
      <c r="D1954">
        <v>87</v>
      </c>
      <c r="E1954" t="s">
        <v>10</v>
      </c>
      <c r="F1954">
        <v>3449904</v>
      </c>
      <c r="G1954" s="1">
        <v>4464</v>
      </c>
      <c r="H1954" s="2">
        <v>2019437</v>
      </c>
      <c r="I1954" t="str">
        <f>VLOOKUP(Tabela2[[#This Row],[PAIS]],'[1]nome do paixs'!$A:$B,2,0)</f>
        <v>Bélgica</v>
      </c>
      <c r="J1954" t="s">
        <v>12</v>
      </c>
    </row>
    <row r="1955" spans="1:10">
      <c r="A1955">
        <v>2021</v>
      </c>
      <c r="B1955">
        <v>5</v>
      </c>
      <c r="C1955">
        <v>8803</v>
      </c>
      <c r="D1955">
        <v>249</v>
      </c>
      <c r="E1955" t="s">
        <v>10</v>
      </c>
      <c r="F1955">
        <v>3449904</v>
      </c>
      <c r="G1955" s="1">
        <v>3905</v>
      </c>
      <c r="H1955" s="2">
        <v>3528055</v>
      </c>
      <c r="I1955" t="str">
        <f>VLOOKUP(Tabela2[[#This Row],[PAIS]],'[1]nome do paixs'!$A:$B,2,0)</f>
        <v>Estados Unidos</v>
      </c>
      <c r="J1955" t="s">
        <v>12</v>
      </c>
    </row>
    <row r="1956" spans="1:10">
      <c r="A1956">
        <v>2021</v>
      </c>
      <c r="B1956">
        <v>3</v>
      </c>
      <c r="C1956">
        <v>8803</v>
      </c>
      <c r="D1956">
        <v>573</v>
      </c>
      <c r="E1956" t="s">
        <v>10</v>
      </c>
      <c r="F1956">
        <v>3449904</v>
      </c>
      <c r="G1956" s="1">
        <v>0</v>
      </c>
      <c r="H1956" s="2">
        <v>128320</v>
      </c>
      <c r="I1956" t="str">
        <f>VLOOKUP(Tabela2[[#This Row],[PAIS]],'[1]nome do paixs'!$A:$B,2,0)</f>
        <v>Países Baixos (Holanda)</v>
      </c>
      <c r="J1956" t="s">
        <v>12</v>
      </c>
    </row>
    <row r="1957" spans="1:10">
      <c r="A1957">
        <v>2021</v>
      </c>
      <c r="B1957">
        <v>6</v>
      </c>
      <c r="C1957">
        <v>8803</v>
      </c>
      <c r="D1957">
        <v>767</v>
      </c>
      <c r="E1957" t="s">
        <v>10</v>
      </c>
      <c r="F1957">
        <v>3449904</v>
      </c>
      <c r="G1957" s="1">
        <v>5</v>
      </c>
      <c r="H1957" s="2">
        <v>247177</v>
      </c>
      <c r="I1957" t="str">
        <f>VLOOKUP(Tabela2[[#This Row],[PAIS]],'[1]nome do paixs'!$A:$B,2,0)</f>
        <v>Suíça</v>
      </c>
      <c r="J1957" t="s">
        <v>12</v>
      </c>
    </row>
    <row r="1958" spans="1:10">
      <c r="A1958">
        <v>2021</v>
      </c>
      <c r="B1958">
        <v>1</v>
      </c>
      <c r="C1958">
        <v>8803</v>
      </c>
      <c r="D1958">
        <v>275</v>
      </c>
      <c r="E1958" t="s">
        <v>10</v>
      </c>
      <c r="F1958">
        <v>3449904</v>
      </c>
      <c r="G1958" s="1">
        <v>119</v>
      </c>
      <c r="H1958" s="2">
        <v>129630</v>
      </c>
      <c r="I1958" t="str">
        <f>VLOOKUP(Tabela2[[#This Row],[PAIS]],'[1]nome do paixs'!$A:$B,2,0)</f>
        <v>França</v>
      </c>
      <c r="J1958" t="s">
        <v>12</v>
      </c>
    </row>
    <row r="1959" spans="1:10">
      <c r="A1959">
        <v>2021</v>
      </c>
      <c r="B1959">
        <v>5</v>
      </c>
      <c r="C1959">
        <v>8803</v>
      </c>
      <c r="D1959">
        <v>538</v>
      </c>
      <c r="E1959" t="s">
        <v>10</v>
      </c>
      <c r="F1959">
        <v>3449904</v>
      </c>
      <c r="G1959" s="1">
        <v>113</v>
      </c>
      <c r="H1959" s="2">
        <v>70734</v>
      </c>
      <c r="I1959" t="str">
        <f>VLOOKUP(Tabela2[[#This Row],[PAIS]],'[1]nome do paixs'!$A:$B,2,0)</f>
        <v>Noruega</v>
      </c>
      <c r="J1959" t="s">
        <v>12</v>
      </c>
    </row>
    <row r="1960" spans="1:10">
      <c r="A1960">
        <v>2021</v>
      </c>
      <c r="B1960">
        <v>4</v>
      </c>
      <c r="C1960">
        <v>8803</v>
      </c>
      <c r="D1960">
        <v>538</v>
      </c>
      <c r="E1960" t="s">
        <v>10</v>
      </c>
      <c r="F1960">
        <v>3449904</v>
      </c>
      <c r="G1960" s="1">
        <v>136</v>
      </c>
      <c r="H1960" s="2">
        <v>1227168</v>
      </c>
      <c r="I1960" t="str">
        <f>VLOOKUP(Tabela2[[#This Row],[PAIS]],'[1]nome do paixs'!$A:$B,2,0)</f>
        <v>Noruega</v>
      </c>
      <c r="J1960" t="s">
        <v>12</v>
      </c>
    </row>
    <row r="1961" spans="1:10">
      <c r="A1961">
        <v>2021</v>
      </c>
      <c r="B1961">
        <v>7</v>
      </c>
      <c r="C1961">
        <v>8803</v>
      </c>
      <c r="D1961">
        <v>455</v>
      </c>
      <c r="E1961" t="s">
        <v>10</v>
      </c>
      <c r="F1961">
        <v>3449904</v>
      </c>
      <c r="G1961" s="1">
        <v>1</v>
      </c>
      <c r="H1961" s="2">
        <v>277</v>
      </c>
      <c r="I1961" t="str">
        <f>VLOOKUP(Tabela2[[#This Row],[PAIS]],'[1]nome do paixs'!$A:$B,2,0)</f>
        <v>Malásia</v>
      </c>
      <c r="J1961" t="s">
        <v>12</v>
      </c>
    </row>
    <row r="1962" spans="1:10">
      <c r="A1962">
        <v>2021</v>
      </c>
      <c r="B1962">
        <v>5</v>
      </c>
      <c r="C1962">
        <v>8803</v>
      </c>
      <c r="D1962">
        <v>767</v>
      </c>
      <c r="E1962" t="s">
        <v>10</v>
      </c>
      <c r="F1962">
        <v>3449904</v>
      </c>
      <c r="G1962" s="1">
        <v>136</v>
      </c>
      <c r="H1962" s="2">
        <v>1244298</v>
      </c>
      <c r="I1962" t="str">
        <f>VLOOKUP(Tabela2[[#This Row],[PAIS]],'[1]nome do paixs'!$A:$B,2,0)</f>
        <v>Suíça</v>
      </c>
      <c r="J1962" t="s">
        <v>12</v>
      </c>
    </row>
    <row r="1963" spans="1:10">
      <c r="A1963">
        <v>2021</v>
      </c>
      <c r="B1963">
        <v>8</v>
      </c>
      <c r="C1963">
        <v>8803</v>
      </c>
      <c r="D1963">
        <v>488</v>
      </c>
      <c r="E1963" t="s">
        <v>10</v>
      </c>
      <c r="F1963">
        <v>3449904</v>
      </c>
      <c r="G1963" s="1">
        <v>19</v>
      </c>
      <c r="H1963" s="2">
        <v>23965</v>
      </c>
      <c r="I1963" t="str">
        <f>VLOOKUP(Tabela2[[#This Row],[PAIS]],'[1]nome do paixs'!$A:$B,2,0)</f>
        <v>Mauritânia</v>
      </c>
      <c r="J1963" t="s">
        <v>12</v>
      </c>
    </row>
    <row r="1964" spans="1:10">
      <c r="A1964">
        <v>2021</v>
      </c>
      <c r="B1964">
        <v>6</v>
      </c>
      <c r="C1964">
        <v>8803</v>
      </c>
      <c r="D1964">
        <v>386</v>
      </c>
      <c r="E1964" t="s">
        <v>10</v>
      </c>
      <c r="F1964">
        <v>3449904</v>
      </c>
      <c r="G1964" s="1">
        <v>2</v>
      </c>
      <c r="H1964" s="2">
        <v>56827</v>
      </c>
      <c r="I1964" t="str">
        <f>VLOOKUP(Tabela2[[#This Row],[PAIS]],'[1]nome do paixs'!$A:$B,2,0)</f>
        <v>Itália</v>
      </c>
      <c r="J1964" t="s">
        <v>12</v>
      </c>
    </row>
    <row r="1965" spans="1:10">
      <c r="A1965">
        <v>2021</v>
      </c>
      <c r="B1965">
        <v>6</v>
      </c>
      <c r="C1965">
        <v>8803</v>
      </c>
      <c r="D1965">
        <v>824</v>
      </c>
      <c r="E1965" t="s">
        <v>10</v>
      </c>
      <c r="F1965">
        <v>3449904</v>
      </c>
      <c r="G1965" s="1">
        <v>1</v>
      </c>
      <c r="H1965" s="2">
        <v>25528</v>
      </c>
      <c r="I1965" t="str">
        <f>VLOOKUP(Tabela2[[#This Row],[PAIS]],'[1]nome do paixs'!$A:$B,2,0)</f>
        <v>Turcomenistão</v>
      </c>
      <c r="J1965" t="s">
        <v>12</v>
      </c>
    </row>
    <row r="1966" spans="1:10">
      <c r="A1966">
        <v>2021</v>
      </c>
      <c r="B1966">
        <v>11</v>
      </c>
      <c r="C1966">
        <v>8803</v>
      </c>
      <c r="D1966">
        <v>249</v>
      </c>
      <c r="E1966" t="s">
        <v>10</v>
      </c>
      <c r="F1966">
        <v>3449904</v>
      </c>
      <c r="G1966" s="1">
        <v>10111</v>
      </c>
      <c r="H1966" s="2">
        <v>5506543</v>
      </c>
      <c r="I1966" t="str">
        <f>VLOOKUP(Tabela2[[#This Row],[PAIS]],'[1]nome do paixs'!$A:$B,2,0)</f>
        <v>Estados Unidos</v>
      </c>
      <c r="J1966" t="s">
        <v>12</v>
      </c>
    </row>
    <row r="1967" spans="1:10">
      <c r="A1967">
        <v>2021</v>
      </c>
      <c r="B1967">
        <v>12</v>
      </c>
      <c r="C1967">
        <v>8803</v>
      </c>
      <c r="D1967">
        <v>158</v>
      </c>
      <c r="E1967" t="s">
        <v>10</v>
      </c>
      <c r="F1967">
        <v>3449904</v>
      </c>
      <c r="G1967" s="1">
        <v>129</v>
      </c>
      <c r="H1967" s="2">
        <v>201135</v>
      </c>
      <c r="I1967" t="str">
        <f>VLOOKUP(Tabela2[[#This Row],[PAIS]],'[1]nome do paixs'!$A:$B,2,0)</f>
        <v>Chile</v>
      </c>
      <c r="J1967" t="s">
        <v>12</v>
      </c>
    </row>
    <row r="1968" spans="1:10">
      <c r="A1968">
        <v>2021</v>
      </c>
      <c r="B1968">
        <v>7</v>
      </c>
      <c r="C1968">
        <v>8803</v>
      </c>
      <c r="D1968">
        <v>245</v>
      </c>
      <c r="E1968" t="s">
        <v>10</v>
      </c>
      <c r="F1968">
        <v>3449904</v>
      </c>
      <c r="G1968" s="1">
        <v>4571</v>
      </c>
      <c r="H1968" s="2">
        <v>4378707</v>
      </c>
      <c r="I1968" t="str">
        <f>VLOOKUP(Tabela2[[#This Row],[PAIS]],'[1]nome do paixs'!$A:$B,2,0)</f>
        <v>Espanha</v>
      </c>
      <c r="J1968" t="s">
        <v>12</v>
      </c>
    </row>
    <row r="1969" spans="1:10">
      <c r="A1969">
        <v>2021</v>
      </c>
      <c r="B1969">
        <v>6</v>
      </c>
      <c r="C1969">
        <v>8803</v>
      </c>
      <c r="D1969">
        <v>607</v>
      </c>
      <c r="E1969" t="s">
        <v>10</v>
      </c>
      <c r="F1969">
        <v>3449904</v>
      </c>
      <c r="G1969" s="1">
        <v>18</v>
      </c>
      <c r="H1969" s="2">
        <v>20010</v>
      </c>
      <c r="I1969" t="str">
        <f>VLOOKUP(Tabela2[[#This Row],[PAIS]],'[1]nome do paixs'!$A:$B,2,0)</f>
        <v>Portugal</v>
      </c>
      <c r="J1969" t="s">
        <v>12</v>
      </c>
    </row>
    <row r="1970" spans="1:10">
      <c r="A1970">
        <v>2021</v>
      </c>
      <c r="B1970">
        <v>10</v>
      </c>
      <c r="C1970">
        <v>8803</v>
      </c>
      <c r="D1970">
        <v>153</v>
      </c>
      <c r="E1970" t="s">
        <v>10</v>
      </c>
      <c r="F1970">
        <v>3449904</v>
      </c>
      <c r="G1970" s="1">
        <v>1</v>
      </c>
      <c r="H1970" s="2">
        <v>572</v>
      </c>
      <c r="I1970" t="str">
        <f>VLOOKUP(Tabela2[[#This Row],[PAIS]],'[1]nome do paixs'!$A:$B,2,0)</f>
        <v>Cazaquistão</v>
      </c>
      <c r="J1970" t="s">
        <v>12</v>
      </c>
    </row>
    <row r="1971" spans="1:10">
      <c r="A1971">
        <v>2021</v>
      </c>
      <c r="B1971">
        <v>1</v>
      </c>
      <c r="C1971">
        <v>8803</v>
      </c>
      <c r="D1971">
        <v>23</v>
      </c>
      <c r="E1971" t="s">
        <v>10</v>
      </c>
      <c r="F1971">
        <v>3449904</v>
      </c>
      <c r="G1971" s="1">
        <v>237</v>
      </c>
      <c r="H1971" s="2">
        <v>223017</v>
      </c>
      <c r="I1971" t="str">
        <f>VLOOKUP(Tabela2[[#This Row],[PAIS]],'[1]nome do paixs'!$A:$B,2,0)</f>
        <v>Alemanha</v>
      </c>
      <c r="J1971" t="s">
        <v>12</v>
      </c>
    </row>
    <row r="1972" spans="1:10">
      <c r="A1972">
        <v>2021</v>
      </c>
      <c r="B1972">
        <v>8</v>
      </c>
      <c r="C1972">
        <v>8803</v>
      </c>
      <c r="D1972">
        <v>245</v>
      </c>
      <c r="E1972" t="s">
        <v>10</v>
      </c>
      <c r="F1972">
        <v>3449904</v>
      </c>
      <c r="G1972" s="1">
        <v>2958</v>
      </c>
      <c r="H1972" s="2">
        <v>1178445</v>
      </c>
      <c r="I1972" t="str">
        <f>VLOOKUP(Tabela2[[#This Row],[PAIS]],'[1]nome do paixs'!$A:$B,2,0)</f>
        <v>Espanha</v>
      </c>
      <c r="J1972" t="s">
        <v>12</v>
      </c>
    </row>
    <row r="1973" spans="1:10">
      <c r="A1973">
        <v>2021</v>
      </c>
      <c r="B1973">
        <v>12</v>
      </c>
      <c r="C1973">
        <v>8803</v>
      </c>
      <c r="D1973">
        <v>87</v>
      </c>
      <c r="E1973" t="s">
        <v>10</v>
      </c>
      <c r="F1973">
        <v>3449904</v>
      </c>
      <c r="G1973" s="1">
        <v>3796</v>
      </c>
      <c r="H1973" s="2">
        <v>1905127</v>
      </c>
      <c r="I1973" t="str">
        <f>VLOOKUP(Tabela2[[#This Row],[PAIS]],'[1]nome do paixs'!$A:$B,2,0)</f>
        <v>Bélgica</v>
      </c>
      <c r="J1973" t="s">
        <v>12</v>
      </c>
    </row>
    <row r="1974" spans="1:10">
      <c r="A1974">
        <v>2021</v>
      </c>
      <c r="B1974">
        <v>4</v>
      </c>
      <c r="C1974">
        <v>8803</v>
      </c>
      <c r="D1974">
        <v>87</v>
      </c>
      <c r="E1974" t="s">
        <v>10</v>
      </c>
      <c r="F1974">
        <v>3449904</v>
      </c>
      <c r="G1974" s="1">
        <v>5828</v>
      </c>
      <c r="H1974" s="2">
        <v>2769924</v>
      </c>
      <c r="I1974" t="str">
        <f>VLOOKUP(Tabela2[[#This Row],[PAIS]],'[1]nome do paixs'!$A:$B,2,0)</f>
        <v>Bélgica</v>
      </c>
      <c r="J1974" t="s">
        <v>12</v>
      </c>
    </row>
    <row r="1975" spans="1:10">
      <c r="A1975">
        <v>2021</v>
      </c>
      <c r="B1975">
        <v>9</v>
      </c>
      <c r="C1975">
        <v>8803</v>
      </c>
      <c r="D1975">
        <v>488</v>
      </c>
      <c r="E1975" t="s">
        <v>10</v>
      </c>
      <c r="F1975">
        <v>3449904</v>
      </c>
      <c r="G1975" s="1">
        <v>19</v>
      </c>
      <c r="H1975" s="2">
        <v>23965</v>
      </c>
      <c r="I1975" t="str">
        <f>VLOOKUP(Tabela2[[#This Row],[PAIS]],'[1]nome do paixs'!$A:$B,2,0)</f>
        <v>Mauritânia</v>
      </c>
      <c r="J1975" t="s">
        <v>12</v>
      </c>
    </row>
    <row r="1976" spans="1:10">
      <c r="A1976">
        <v>2021</v>
      </c>
      <c r="B1976">
        <v>9</v>
      </c>
      <c r="C1976">
        <v>8803</v>
      </c>
      <c r="D1976">
        <v>538</v>
      </c>
      <c r="E1976" t="s">
        <v>10</v>
      </c>
      <c r="F1976">
        <v>3449904</v>
      </c>
      <c r="G1976" s="1">
        <v>0</v>
      </c>
      <c r="H1976" s="2">
        <v>9644</v>
      </c>
      <c r="I1976" t="str">
        <f>VLOOKUP(Tabela2[[#This Row],[PAIS]],'[1]nome do paixs'!$A:$B,2,0)</f>
        <v>Noruega</v>
      </c>
      <c r="J1976" t="s">
        <v>12</v>
      </c>
    </row>
    <row r="1977" spans="1:10">
      <c r="A1977">
        <v>2021</v>
      </c>
      <c r="B1977">
        <v>3</v>
      </c>
      <c r="C1977">
        <v>8803</v>
      </c>
      <c r="D1977">
        <v>249</v>
      </c>
      <c r="E1977" t="s">
        <v>10</v>
      </c>
      <c r="F1977">
        <v>3449904</v>
      </c>
      <c r="G1977" s="1">
        <v>5215</v>
      </c>
      <c r="H1977" s="2">
        <v>4624856</v>
      </c>
      <c r="I1977" t="str">
        <f>VLOOKUP(Tabela2[[#This Row],[PAIS]],'[1]nome do paixs'!$A:$B,2,0)</f>
        <v>Estados Unidos</v>
      </c>
      <c r="J1977" t="s">
        <v>12</v>
      </c>
    </row>
    <row r="1978" spans="1:10">
      <c r="A1978">
        <v>2021</v>
      </c>
      <c r="B1978">
        <v>3</v>
      </c>
      <c r="C1978">
        <v>8803</v>
      </c>
      <c r="D1978">
        <v>158</v>
      </c>
      <c r="E1978" t="s">
        <v>10</v>
      </c>
      <c r="F1978">
        <v>3449904</v>
      </c>
      <c r="G1978" s="1">
        <v>71</v>
      </c>
      <c r="H1978" s="2">
        <v>200837</v>
      </c>
      <c r="I1978" t="str">
        <f>VLOOKUP(Tabela2[[#This Row],[PAIS]],'[1]nome do paixs'!$A:$B,2,0)</f>
        <v>Chile</v>
      </c>
      <c r="J1978" t="s">
        <v>12</v>
      </c>
    </row>
    <row r="1979" spans="1:10">
      <c r="A1979">
        <v>2021</v>
      </c>
      <c r="B1979">
        <v>11</v>
      </c>
      <c r="C1979">
        <v>8803</v>
      </c>
      <c r="D1979">
        <v>628</v>
      </c>
      <c r="E1979" t="s">
        <v>10</v>
      </c>
      <c r="F1979">
        <v>3449904</v>
      </c>
      <c r="G1979" s="1">
        <v>547</v>
      </c>
      <c r="H1979" s="2">
        <v>192692</v>
      </c>
      <c r="I1979" t="str">
        <f>VLOOKUP(Tabela2[[#This Row],[PAIS]],'[1]nome do paixs'!$A:$B,2,0)</f>
        <v>Reino Unido</v>
      </c>
      <c r="J1979" t="s">
        <v>12</v>
      </c>
    </row>
    <row r="1980" spans="1:10">
      <c r="A1980">
        <v>2021</v>
      </c>
      <c r="B1980">
        <v>1</v>
      </c>
      <c r="C1980">
        <v>8803</v>
      </c>
      <c r="D1980">
        <v>628</v>
      </c>
      <c r="E1980" t="s">
        <v>10</v>
      </c>
      <c r="F1980">
        <v>3449904</v>
      </c>
      <c r="G1980" s="1">
        <v>1</v>
      </c>
      <c r="H1980" s="2">
        <v>8058</v>
      </c>
      <c r="I1980" t="str">
        <f>VLOOKUP(Tabela2[[#This Row],[PAIS]],'[1]nome do paixs'!$A:$B,2,0)</f>
        <v>Reino Unido</v>
      </c>
      <c r="J1980" t="s">
        <v>12</v>
      </c>
    </row>
    <row r="1981" spans="1:10">
      <c r="A1981">
        <v>2021</v>
      </c>
      <c r="B1981">
        <v>9</v>
      </c>
      <c r="C1981">
        <v>8803</v>
      </c>
      <c r="D1981">
        <v>249</v>
      </c>
      <c r="E1981" t="s">
        <v>10</v>
      </c>
      <c r="F1981">
        <v>3449904</v>
      </c>
      <c r="G1981" s="1">
        <v>5144</v>
      </c>
      <c r="H1981" s="2">
        <v>4273368</v>
      </c>
      <c r="I1981" t="str">
        <f>VLOOKUP(Tabela2[[#This Row],[PAIS]],'[1]nome do paixs'!$A:$B,2,0)</f>
        <v>Estados Unidos</v>
      </c>
      <c r="J1981" t="s">
        <v>12</v>
      </c>
    </row>
    <row r="1982" spans="1:10">
      <c r="A1982">
        <v>2021</v>
      </c>
      <c r="B1982">
        <v>2</v>
      </c>
      <c r="C1982">
        <v>8803</v>
      </c>
      <c r="D1982">
        <v>149</v>
      </c>
      <c r="E1982" t="s">
        <v>10</v>
      </c>
      <c r="F1982">
        <v>3449904</v>
      </c>
      <c r="G1982" s="1">
        <v>1</v>
      </c>
      <c r="H1982" s="2">
        <v>5143</v>
      </c>
      <c r="I1982" t="str">
        <f>VLOOKUP(Tabela2[[#This Row],[PAIS]],'[1]nome do paixs'!$A:$B,2,0)</f>
        <v>Canadá</v>
      </c>
      <c r="J1982" t="s">
        <v>12</v>
      </c>
    </row>
    <row r="1983" spans="1:10">
      <c r="A1983">
        <v>2021</v>
      </c>
      <c r="B1983">
        <v>8</v>
      </c>
      <c r="C1983">
        <v>8803</v>
      </c>
      <c r="D1983">
        <v>628</v>
      </c>
      <c r="E1983" t="s">
        <v>10</v>
      </c>
      <c r="F1983">
        <v>3449904</v>
      </c>
      <c r="G1983" s="1">
        <v>23</v>
      </c>
      <c r="H1983" s="2">
        <v>22336</v>
      </c>
      <c r="I1983" t="str">
        <f>VLOOKUP(Tabela2[[#This Row],[PAIS]],'[1]nome do paixs'!$A:$B,2,0)</f>
        <v>Reino Unido</v>
      </c>
      <c r="J1983" t="s">
        <v>12</v>
      </c>
    </row>
    <row r="1984" spans="1:10">
      <c r="A1984">
        <v>2021</v>
      </c>
      <c r="B1984">
        <v>2</v>
      </c>
      <c r="C1984">
        <v>8803</v>
      </c>
      <c r="D1984">
        <v>607</v>
      </c>
      <c r="E1984" t="s">
        <v>10</v>
      </c>
      <c r="F1984">
        <v>3449904</v>
      </c>
      <c r="G1984" s="1">
        <v>12</v>
      </c>
      <c r="H1984" s="2">
        <v>13883</v>
      </c>
      <c r="I1984" t="str">
        <f>VLOOKUP(Tabela2[[#This Row],[PAIS]],'[1]nome do paixs'!$A:$B,2,0)</f>
        <v>Portugal</v>
      </c>
      <c r="J1984" t="s">
        <v>12</v>
      </c>
    </row>
    <row r="1985" spans="1:10">
      <c r="A1985">
        <v>2021</v>
      </c>
      <c r="B1985">
        <v>6</v>
      </c>
      <c r="C1985">
        <v>8803</v>
      </c>
      <c r="D1985">
        <v>87</v>
      </c>
      <c r="E1985" t="s">
        <v>10</v>
      </c>
      <c r="F1985">
        <v>3449904</v>
      </c>
      <c r="G1985" s="1">
        <v>3922</v>
      </c>
      <c r="H1985" s="2">
        <v>1798332</v>
      </c>
      <c r="I1985" t="str">
        <f>VLOOKUP(Tabela2[[#This Row],[PAIS]],'[1]nome do paixs'!$A:$B,2,0)</f>
        <v>Bélgica</v>
      </c>
      <c r="J1985" t="s">
        <v>12</v>
      </c>
    </row>
    <row r="1986" spans="1:10">
      <c r="A1986">
        <v>2021</v>
      </c>
      <c r="B1986">
        <v>12</v>
      </c>
      <c r="C1986">
        <v>8803</v>
      </c>
      <c r="D1986">
        <v>628</v>
      </c>
      <c r="E1986" t="s">
        <v>10</v>
      </c>
      <c r="F1986">
        <v>3449904</v>
      </c>
      <c r="G1986" s="1">
        <v>722</v>
      </c>
      <c r="H1986" s="2">
        <v>215332</v>
      </c>
      <c r="I1986" t="str">
        <f>VLOOKUP(Tabela2[[#This Row],[PAIS]],'[1]nome do paixs'!$A:$B,2,0)</f>
        <v>Reino Unido</v>
      </c>
      <c r="J1986" t="s">
        <v>12</v>
      </c>
    </row>
    <row r="1987" spans="1:10">
      <c r="A1987">
        <v>2021</v>
      </c>
      <c r="B1987">
        <v>10</v>
      </c>
      <c r="C1987">
        <v>8803</v>
      </c>
      <c r="D1987">
        <v>23</v>
      </c>
      <c r="E1987" t="s">
        <v>10</v>
      </c>
      <c r="F1987">
        <v>3449904</v>
      </c>
      <c r="G1987" s="1">
        <v>277</v>
      </c>
      <c r="H1987" s="2">
        <v>304992</v>
      </c>
      <c r="I1987" t="str">
        <f>VLOOKUP(Tabela2[[#This Row],[PAIS]],'[1]nome do paixs'!$A:$B,2,0)</f>
        <v>Alemanha</v>
      </c>
      <c r="J1987" t="s">
        <v>12</v>
      </c>
    </row>
    <row r="1988" spans="1:10">
      <c r="A1988">
        <v>2021</v>
      </c>
      <c r="B1988">
        <v>5</v>
      </c>
      <c r="C1988">
        <v>8803</v>
      </c>
      <c r="D1988">
        <v>628</v>
      </c>
      <c r="E1988" t="s">
        <v>10</v>
      </c>
      <c r="F1988">
        <v>3449904</v>
      </c>
      <c r="G1988" s="1">
        <v>4</v>
      </c>
      <c r="H1988" s="2">
        <v>13515</v>
      </c>
      <c r="I1988" t="str">
        <f>VLOOKUP(Tabela2[[#This Row],[PAIS]],'[1]nome do paixs'!$A:$B,2,0)</f>
        <v>Reino Unido</v>
      </c>
      <c r="J1988" t="s">
        <v>12</v>
      </c>
    </row>
    <row r="1989" spans="1:10">
      <c r="A1989">
        <v>2021</v>
      </c>
      <c r="B1989">
        <v>10</v>
      </c>
      <c r="C1989">
        <v>8803</v>
      </c>
      <c r="D1989">
        <v>455</v>
      </c>
      <c r="E1989" t="s">
        <v>10</v>
      </c>
      <c r="F1989">
        <v>3449904</v>
      </c>
      <c r="G1989" s="1">
        <v>1</v>
      </c>
      <c r="H1989" s="2">
        <v>448</v>
      </c>
      <c r="I1989" t="str">
        <f>VLOOKUP(Tabela2[[#This Row],[PAIS]],'[1]nome do paixs'!$A:$B,2,0)</f>
        <v>Malásia</v>
      </c>
      <c r="J1989" t="s">
        <v>12</v>
      </c>
    </row>
    <row r="1990" spans="1:10">
      <c r="A1990">
        <v>2021</v>
      </c>
      <c r="B1990">
        <v>6</v>
      </c>
      <c r="C1990">
        <v>8803</v>
      </c>
      <c r="D1990">
        <v>244</v>
      </c>
      <c r="E1990" t="s">
        <v>10</v>
      </c>
      <c r="F1990">
        <v>3449904</v>
      </c>
      <c r="G1990" s="1">
        <v>0</v>
      </c>
      <c r="H1990" s="2">
        <v>24</v>
      </c>
      <c r="I1990" t="str">
        <f>VLOOKUP(Tabela2[[#This Row],[PAIS]],'[1]nome do paixs'!$A:$B,2,0)</f>
        <v>Emirados Árabes Unidos</v>
      </c>
      <c r="J1990" t="s">
        <v>12</v>
      </c>
    </row>
    <row r="1991" spans="1:10">
      <c r="A1991">
        <v>2021</v>
      </c>
      <c r="B1991">
        <v>10</v>
      </c>
      <c r="C1991">
        <v>8803</v>
      </c>
      <c r="D1991">
        <v>249</v>
      </c>
      <c r="E1991" t="s">
        <v>10</v>
      </c>
      <c r="F1991">
        <v>3449904</v>
      </c>
      <c r="G1991" s="1">
        <v>6836</v>
      </c>
      <c r="H1991" s="2">
        <v>2818833</v>
      </c>
      <c r="I1991" t="str">
        <f>VLOOKUP(Tabela2[[#This Row],[PAIS]],'[1]nome do paixs'!$A:$B,2,0)</f>
        <v>Estados Unidos</v>
      </c>
      <c r="J1991" t="s">
        <v>12</v>
      </c>
    </row>
    <row r="1992" spans="1:10">
      <c r="A1992">
        <v>2021</v>
      </c>
      <c r="B1992">
        <v>1</v>
      </c>
      <c r="C1992">
        <v>8803</v>
      </c>
      <c r="D1992">
        <v>271</v>
      </c>
      <c r="E1992" t="s">
        <v>10</v>
      </c>
      <c r="F1992">
        <v>3449904</v>
      </c>
      <c r="G1992" s="1">
        <v>0</v>
      </c>
      <c r="H1992" s="2">
        <v>52836</v>
      </c>
      <c r="I1992" t="str">
        <f>VLOOKUP(Tabela2[[#This Row],[PAIS]],'[1]nome do paixs'!$A:$B,2,0)</f>
        <v>Finlândia</v>
      </c>
      <c r="J1992" t="s">
        <v>12</v>
      </c>
    </row>
    <row r="1993" spans="1:10">
      <c r="A1993">
        <v>2021</v>
      </c>
      <c r="B1993">
        <v>9</v>
      </c>
      <c r="C1993">
        <v>8803</v>
      </c>
      <c r="D1993">
        <v>493</v>
      </c>
      <c r="E1993" t="s">
        <v>10</v>
      </c>
      <c r="F1993">
        <v>3449904</v>
      </c>
      <c r="G1993" s="1">
        <v>0</v>
      </c>
      <c r="H1993" s="2">
        <v>332</v>
      </c>
      <c r="I1993" t="str">
        <f>VLOOKUP(Tabela2[[#This Row],[PAIS]],'[1]nome do paixs'!$A:$B,2,0)</f>
        <v>México</v>
      </c>
      <c r="J1993" t="s">
        <v>12</v>
      </c>
    </row>
    <row r="1994" spans="1:10">
      <c r="A1994">
        <v>2021</v>
      </c>
      <c r="B1994">
        <v>9</v>
      </c>
      <c r="C1994">
        <v>8803</v>
      </c>
      <c r="D1994">
        <v>267</v>
      </c>
      <c r="E1994" t="s">
        <v>10</v>
      </c>
      <c r="F1994">
        <v>3449904</v>
      </c>
      <c r="G1994" s="1">
        <v>125</v>
      </c>
      <c r="H1994" s="2">
        <v>374440</v>
      </c>
      <c r="I1994" t="str">
        <f>VLOOKUP(Tabela2[[#This Row],[PAIS]],'[1]nome do paixs'!$A:$B,2,0)</f>
        <v>Filipinas</v>
      </c>
      <c r="J1994" t="s">
        <v>12</v>
      </c>
    </row>
    <row r="1995" spans="1:10">
      <c r="A1995">
        <v>2021</v>
      </c>
      <c r="B1995">
        <v>4</v>
      </c>
      <c r="C1995">
        <v>8803</v>
      </c>
      <c r="D1995">
        <v>275</v>
      </c>
      <c r="E1995" t="s">
        <v>10</v>
      </c>
      <c r="F1995">
        <v>3449904</v>
      </c>
      <c r="G1995" s="1">
        <v>98</v>
      </c>
      <c r="H1995" s="2">
        <v>94120</v>
      </c>
      <c r="I1995" t="str">
        <f>VLOOKUP(Tabela2[[#This Row],[PAIS]],'[1]nome do paixs'!$A:$B,2,0)</f>
        <v>França</v>
      </c>
      <c r="J1995" t="s">
        <v>12</v>
      </c>
    </row>
    <row r="1996" spans="1:10">
      <c r="A1996">
        <v>2021</v>
      </c>
      <c r="B1996">
        <v>6</v>
      </c>
      <c r="C1996">
        <v>8803</v>
      </c>
      <c r="D1996">
        <v>493</v>
      </c>
      <c r="E1996" t="s">
        <v>10</v>
      </c>
      <c r="F1996">
        <v>3449904</v>
      </c>
      <c r="G1996" s="1">
        <v>25</v>
      </c>
      <c r="H1996" s="2">
        <v>20540</v>
      </c>
      <c r="I1996" t="str">
        <f>VLOOKUP(Tabela2[[#This Row],[PAIS]],'[1]nome do paixs'!$A:$B,2,0)</f>
        <v>México</v>
      </c>
      <c r="J1996" t="s">
        <v>12</v>
      </c>
    </row>
    <row r="1997" spans="1:10">
      <c r="A1997">
        <v>2021</v>
      </c>
      <c r="B1997">
        <v>4</v>
      </c>
      <c r="C1997">
        <v>8803</v>
      </c>
      <c r="D1997">
        <v>741</v>
      </c>
      <c r="E1997" t="s">
        <v>10</v>
      </c>
      <c r="F1997">
        <v>3449904</v>
      </c>
      <c r="G1997" s="1">
        <v>0</v>
      </c>
      <c r="H1997" s="2">
        <v>1301</v>
      </c>
      <c r="I1997" t="str">
        <f>VLOOKUP(Tabela2[[#This Row],[PAIS]],'[1]nome do paixs'!$A:$B,2,0)</f>
        <v>Singapura</v>
      </c>
      <c r="J1997" t="s">
        <v>12</v>
      </c>
    </row>
    <row r="1998" spans="1:10">
      <c r="A1998">
        <v>2021</v>
      </c>
      <c r="B1998">
        <v>12</v>
      </c>
      <c r="C1998">
        <v>8803</v>
      </c>
      <c r="D1998">
        <v>386</v>
      </c>
      <c r="E1998" t="s">
        <v>10</v>
      </c>
      <c r="F1998">
        <v>3449904</v>
      </c>
      <c r="G1998" s="1">
        <v>559</v>
      </c>
      <c r="H1998" s="2">
        <v>199105</v>
      </c>
      <c r="I1998" t="str">
        <f>VLOOKUP(Tabela2[[#This Row],[PAIS]],'[1]nome do paixs'!$A:$B,2,0)</f>
        <v>Itália</v>
      </c>
      <c r="J1998" t="s">
        <v>12</v>
      </c>
    </row>
    <row r="1999" spans="1:10">
      <c r="A1999">
        <v>2021</v>
      </c>
      <c r="B1999">
        <v>1</v>
      </c>
      <c r="C1999">
        <v>8803</v>
      </c>
      <c r="D1999">
        <v>245</v>
      </c>
      <c r="E1999" t="s">
        <v>10</v>
      </c>
      <c r="F1999">
        <v>3449904</v>
      </c>
      <c r="G1999" s="1">
        <v>2757</v>
      </c>
      <c r="H1999" s="2">
        <v>1028895</v>
      </c>
      <c r="I1999" t="str">
        <f>VLOOKUP(Tabela2[[#This Row],[PAIS]],'[1]nome do paixs'!$A:$B,2,0)</f>
        <v>Espanha</v>
      </c>
      <c r="J1999" t="s">
        <v>12</v>
      </c>
    </row>
    <row r="2000" spans="1:10">
      <c r="A2000">
        <v>2021</v>
      </c>
      <c r="B2000">
        <v>2</v>
      </c>
      <c r="C2000">
        <v>8803</v>
      </c>
      <c r="D2000">
        <v>23</v>
      </c>
      <c r="E2000" t="s">
        <v>10</v>
      </c>
      <c r="F2000">
        <v>3449904</v>
      </c>
      <c r="G2000" s="1">
        <v>294</v>
      </c>
      <c r="H2000" s="2">
        <v>325961</v>
      </c>
      <c r="I2000" t="str">
        <f>VLOOKUP(Tabela2[[#This Row],[PAIS]],'[1]nome do paixs'!$A:$B,2,0)</f>
        <v>Alemanha</v>
      </c>
      <c r="J2000" t="s">
        <v>12</v>
      </c>
    </row>
    <row r="2001" spans="1:10">
      <c r="A2001">
        <v>2021</v>
      </c>
      <c r="B2001">
        <v>11</v>
      </c>
      <c r="C2001">
        <v>8803</v>
      </c>
      <c r="D2001">
        <v>741</v>
      </c>
      <c r="E2001" t="s">
        <v>10</v>
      </c>
      <c r="F2001">
        <v>3449904</v>
      </c>
      <c r="G2001" s="1">
        <v>13</v>
      </c>
      <c r="H2001" s="2">
        <v>6436</v>
      </c>
      <c r="I2001" t="str">
        <f>VLOOKUP(Tabela2[[#This Row],[PAIS]],'[1]nome do paixs'!$A:$B,2,0)</f>
        <v>Singapura</v>
      </c>
      <c r="J2001" t="s">
        <v>12</v>
      </c>
    </row>
    <row r="2002" spans="1:10">
      <c r="A2002">
        <v>2021</v>
      </c>
      <c r="B2002">
        <v>3</v>
      </c>
      <c r="C2002">
        <v>8803</v>
      </c>
      <c r="D2002">
        <v>607</v>
      </c>
      <c r="E2002" t="s">
        <v>10</v>
      </c>
      <c r="F2002">
        <v>3449904</v>
      </c>
      <c r="G2002" s="1">
        <v>22</v>
      </c>
      <c r="H2002" s="2">
        <v>77071</v>
      </c>
      <c r="I2002" t="str">
        <f>VLOOKUP(Tabela2[[#This Row],[PAIS]],'[1]nome do paixs'!$A:$B,2,0)</f>
        <v>Portugal</v>
      </c>
      <c r="J2002" t="s">
        <v>12</v>
      </c>
    </row>
    <row r="2003" spans="1:10">
      <c r="A2003">
        <v>2021</v>
      </c>
      <c r="B2003">
        <v>12</v>
      </c>
      <c r="C2003">
        <v>8803</v>
      </c>
      <c r="D2003">
        <v>249</v>
      </c>
      <c r="E2003" t="s">
        <v>10</v>
      </c>
      <c r="F2003">
        <v>3449904</v>
      </c>
      <c r="G2003" s="1">
        <v>12492</v>
      </c>
      <c r="H2003" s="2">
        <v>5592735</v>
      </c>
      <c r="I2003" t="str">
        <f>VLOOKUP(Tabela2[[#This Row],[PAIS]],'[1]nome do paixs'!$A:$B,2,0)</f>
        <v>Estados Unidos</v>
      </c>
      <c r="J2003" t="s">
        <v>12</v>
      </c>
    </row>
    <row r="2004" spans="1:10">
      <c r="A2004">
        <v>2021</v>
      </c>
      <c r="B2004">
        <v>3</v>
      </c>
      <c r="C2004">
        <v>8803</v>
      </c>
      <c r="D2004">
        <v>245</v>
      </c>
      <c r="E2004" t="s">
        <v>10</v>
      </c>
      <c r="F2004">
        <v>3449904</v>
      </c>
      <c r="G2004" s="1">
        <v>4710</v>
      </c>
      <c r="H2004" s="2">
        <v>2237303</v>
      </c>
      <c r="I2004" t="str">
        <f>VLOOKUP(Tabela2[[#This Row],[PAIS]],'[1]nome do paixs'!$A:$B,2,0)</f>
        <v>Espanha</v>
      </c>
      <c r="J2004" t="s">
        <v>12</v>
      </c>
    </row>
    <row r="2005" spans="1:10">
      <c r="A2005">
        <v>2021</v>
      </c>
      <c r="B2005">
        <v>4</v>
      </c>
      <c r="C2005">
        <v>8803</v>
      </c>
      <c r="D2005">
        <v>249</v>
      </c>
      <c r="E2005" t="s">
        <v>10</v>
      </c>
      <c r="F2005">
        <v>3449904</v>
      </c>
      <c r="G2005" s="1">
        <v>6635</v>
      </c>
      <c r="H2005" s="2">
        <v>5958578</v>
      </c>
      <c r="I2005" t="str">
        <f>VLOOKUP(Tabela2[[#This Row],[PAIS]],'[1]nome do paixs'!$A:$B,2,0)</f>
        <v>Estados Unidos</v>
      </c>
      <c r="J2005" t="s">
        <v>12</v>
      </c>
    </row>
    <row r="2006" spans="1:10">
      <c r="A2006">
        <v>2021</v>
      </c>
      <c r="B2006">
        <v>2</v>
      </c>
      <c r="C2006">
        <v>8803</v>
      </c>
      <c r="D2006">
        <v>628</v>
      </c>
      <c r="E2006" t="s">
        <v>10</v>
      </c>
      <c r="F2006">
        <v>3449904</v>
      </c>
      <c r="G2006" s="1">
        <v>1</v>
      </c>
      <c r="H2006" s="2">
        <v>1460</v>
      </c>
      <c r="I2006" t="str">
        <f>VLOOKUP(Tabela2[[#This Row],[PAIS]],'[1]nome do paixs'!$A:$B,2,0)</f>
        <v>Reino Unido</v>
      </c>
      <c r="J2006" t="s">
        <v>12</v>
      </c>
    </row>
    <row r="2007" spans="1:10">
      <c r="A2007">
        <v>2021</v>
      </c>
      <c r="B2007">
        <v>1</v>
      </c>
      <c r="C2007">
        <v>8803</v>
      </c>
      <c r="D2007">
        <v>87</v>
      </c>
      <c r="E2007" t="s">
        <v>10</v>
      </c>
      <c r="F2007">
        <v>3449904</v>
      </c>
      <c r="G2007" s="1">
        <v>4664</v>
      </c>
      <c r="H2007" s="2">
        <v>2414552</v>
      </c>
      <c r="I2007" t="str">
        <f>VLOOKUP(Tabela2[[#This Row],[PAIS]],'[1]nome do paixs'!$A:$B,2,0)</f>
        <v>Bélgica</v>
      </c>
      <c r="J2007" t="s">
        <v>12</v>
      </c>
    </row>
    <row r="2008" spans="1:10">
      <c r="A2008">
        <v>2021</v>
      </c>
      <c r="B2008">
        <v>11</v>
      </c>
      <c r="C2008">
        <v>8803</v>
      </c>
      <c r="D2008">
        <v>275</v>
      </c>
      <c r="E2008" t="s">
        <v>10</v>
      </c>
      <c r="F2008">
        <v>3449904</v>
      </c>
      <c r="G2008" s="1">
        <v>266</v>
      </c>
      <c r="H2008" s="2">
        <v>356265</v>
      </c>
      <c r="I2008" t="str">
        <f>VLOOKUP(Tabela2[[#This Row],[PAIS]],'[1]nome do paixs'!$A:$B,2,0)</f>
        <v>França</v>
      </c>
      <c r="J2008" t="s">
        <v>12</v>
      </c>
    </row>
    <row r="2009" spans="1:10">
      <c r="A2009">
        <v>2021</v>
      </c>
      <c r="B2009">
        <v>6</v>
      </c>
      <c r="C2009">
        <v>8803</v>
      </c>
      <c r="D2009">
        <v>538</v>
      </c>
      <c r="E2009" t="s">
        <v>10</v>
      </c>
      <c r="F2009">
        <v>3449904</v>
      </c>
      <c r="G2009" s="1">
        <v>273</v>
      </c>
      <c r="H2009" s="2">
        <v>2467794</v>
      </c>
      <c r="I2009" t="str">
        <f>VLOOKUP(Tabela2[[#This Row],[PAIS]],'[1]nome do paixs'!$A:$B,2,0)</f>
        <v>Noruega</v>
      </c>
      <c r="J2009" t="s">
        <v>12</v>
      </c>
    </row>
    <row r="2010" spans="1:10">
      <c r="A2010">
        <v>2021</v>
      </c>
      <c r="B2010">
        <v>8</v>
      </c>
      <c r="C2010">
        <v>8803</v>
      </c>
      <c r="D2010">
        <v>244</v>
      </c>
      <c r="E2010" t="s">
        <v>10</v>
      </c>
      <c r="F2010">
        <v>3449904</v>
      </c>
      <c r="G2010" s="1">
        <v>21</v>
      </c>
      <c r="H2010" s="2">
        <v>2523</v>
      </c>
      <c r="I2010" t="str">
        <f>VLOOKUP(Tabela2[[#This Row],[PAIS]],'[1]nome do paixs'!$A:$B,2,0)</f>
        <v>Emirados Árabes Unidos</v>
      </c>
      <c r="J2010" t="s">
        <v>12</v>
      </c>
    </row>
    <row r="2011" spans="1:10">
      <c r="A2011">
        <v>2021</v>
      </c>
      <c r="B2011">
        <v>5</v>
      </c>
      <c r="C2011">
        <v>8803</v>
      </c>
      <c r="D2011">
        <v>245</v>
      </c>
      <c r="E2011" t="s">
        <v>10</v>
      </c>
      <c r="F2011">
        <v>3449904</v>
      </c>
      <c r="G2011" s="1">
        <v>3559</v>
      </c>
      <c r="H2011" s="2">
        <v>1680730</v>
      </c>
      <c r="I2011" t="str">
        <f>VLOOKUP(Tabela2[[#This Row],[PAIS]],'[1]nome do paixs'!$A:$B,2,0)</f>
        <v>Espanha</v>
      </c>
      <c r="J2011" t="s">
        <v>12</v>
      </c>
    </row>
    <row r="2012" spans="1:10">
      <c r="A2012">
        <v>2021</v>
      </c>
      <c r="B2012">
        <v>9</v>
      </c>
      <c r="C2012">
        <v>8803</v>
      </c>
      <c r="D2012">
        <v>767</v>
      </c>
      <c r="E2012" t="s">
        <v>10</v>
      </c>
      <c r="F2012">
        <v>3449904</v>
      </c>
      <c r="G2012" s="1">
        <v>0</v>
      </c>
      <c r="H2012" s="2">
        <v>342</v>
      </c>
      <c r="I2012" t="str">
        <f>VLOOKUP(Tabela2[[#This Row],[PAIS]],'[1]nome do paixs'!$A:$B,2,0)</f>
        <v>Suíça</v>
      </c>
      <c r="J2012" t="s">
        <v>12</v>
      </c>
    </row>
    <row r="2013" spans="1:10">
      <c r="A2013">
        <v>2021</v>
      </c>
      <c r="B2013">
        <v>6</v>
      </c>
      <c r="C2013">
        <v>8803</v>
      </c>
      <c r="D2013">
        <v>427</v>
      </c>
      <c r="E2013" t="s">
        <v>10</v>
      </c>
      <c r="F2013">
        <v>3449904</v>
      </c>
      <c r="G2013" s="1">
        <v>1</v>
      </c>
      <c r="H2013" s="2">
        <v>1584</v>
      </c>
      <c r="I2013" t="str">
        <f>VLOOKUP(Tabela2[[#This Row],[PAIS]],'[1]nome do paixs'!$A:$B,2,0)</f>
        <v>Letônia</v>
      </c>
      <c r="J2013" t="s">
        <v>12</v>
      </c>
    </row>
    <row r="2014" spans="1:10">
      <c r="A2014">
        <v>2021</v>
      </c>
      <c r="B2014">
        <v>11</v>
      </c>
      <c r="C2014">
        <v>8803</v>
      </c>
      <c r="D2014">
        <v>756</v>
      </c>
      <c r="E2014" t="s">
        <v>10</v>
      </c>
      <c r="F2014">
        <v>3449904</v>
      </c>
      <c r="G2014" s="1">
        <v>0</v>
      </c>
      <c r="H2014" s="2">
        <v>13698</v>
      </c>
      <c r="I2014" t="str">
        <f>VLOOKUP(Tabela2[[#This Row],[PAIS]],'[1]nome do paixs'!$A:$B,2,0)</f>
        <v>África do Sul</v>
      </c>
      <c r="J2014" t="s">
        <v>12</v>
      </c>
    </row>
    <row r="2015" spans="1:10">
      <c r="A2015">
        <v>2021</v>
      </c>
      <c r="B2015">
        <v>6</v>
      </c>
      <c r="C2015">
        <v>8803</v>
      </c>
      <c r="D2015">
        <v>160</v>
      </c>
      <c r="E2015" t="s">
        <v>10</v>
      </c>
      <c r="F2015">
        <v>3449904</v>
      </c>
      <c r="G2015" s="1">
        <v>1</v>
      </c>
      <c r="H2015" s="2">
        <v>6014</v>
      </c>
      <c r="I2015" t="str">
        <f>VLOOKUP(Tabela2[[#This Row],[PAIS]],'[1]nome do paixs'!$A:$B,2,0)</f>
        <v>China</v>
      </c>
      <c r="J2015" t="s">
        <v>12</v>
      </c>
    </row>
    <row r="2016" spans="1:10">
      <c r="A2016">
        <v>2021</v>
      </c>
      <c r="B2016">
        <v>7</v>
      </c>
      <c r="C2016">
        <v>8803</v>
      </c>
      <c r="D2016">
        <v>169</v>
      </c>
      <c r="E2016" t="s">
        <v>10</v>
      </c>
      <c r="F2016">
        <v>3449904</v>
      </c>
      <c r="G2016" s="1">
        <v>16</v>
      </c>
      <c r="H2016" s="2">
        <v>27218</v>
      </c>
      <c r="I2016" t="str">
        <f>VLOOKUP(Tabela2[[#This Row],[PAIS]],'[1]nome do paixs'!$A:$B,2,0)</f>
        <v>Colômbia</v>
      </c>
      <c r="J2016" t="s">
        <v>12</v>
      </c>
    </row>
    <row r="2017" spans="1:10">
      <c r="A2017">
        <v>2021</v>
      </c>
      <c r="B2017">
        <v>2</v>
      </c>
      <c r="C2017">
        <v>8803</v>
      </c>
      <c r="D2017">
        <v>275</v>
      </c>
      <c r="E2017" t="s">
        <v>10</v>
      </c>
      <c r="F2017">
        <v>3424402</v>
      </c>
      <c r="G2017" s="1">
        <v>2316</v>
      </c>
      <c r="H2017" s="2">
        <v>1474850</v>
      </c>
      <c r="I2017" t="str">
        <f>VLOOKUP(Tabela2[[#This Row],[PAIS]],'[1]nome do paixs'!$A:$B,2,0)</f>
        <v>França</v>
      </c>
      <c r="J2017" t="s">
        <v>13</v>
      </c>
    </row>
    <row r="2018" spans="1:10">
      <c r="A2018">
        <v>2021</v>
      </c>
      <c r="B2018">
        <v>11</v>
      </c>
      <c r="C2018">
        <v>8803</v>
      </c>
      <c r="D2018">
        <v>245</v>
      </c>
      <c r="E2018" t="s">
        <v>10</v>
      </c>
      <c r="F2018">
        <v>3424402</v>
      </c>
      <c r="G2018" s="1">
        <v>0</v>
      </c>
      <c r="H2018" s="2">
        <v>632</v>
      </c>
      <c r="I2018" t="str">
        <f>VLOOKUP(Tabela2[[#This Row],[PAIS]],'[1]nome do paixs'!$A:$B,2,0)</f>
        <v>Espanha</v>
      </c>
      <c r="J2018" t="s">
        <v>13</v>
      </c>
    </row>
    <row r="2019" spans="1:10">
      <c r="A2019">
        <v>2021</v>
      </c>
      <c r="B2019">
        <v>7</v>
      </c>
      <c r="C2019">
        <v>8803</v>
      </c>
      <c r="D2019">
        <v>249</v>
      </c>
      <c r="E2019" t="s">
        <v>10</v>
      </c>
      <c r="F2019">
        <v>3424402</v>
      </c>
      <c r="G2019" s="1">
        <v>52</v>
      </c>
      <c r="H2019" s="2">
        <v>21076</v>
      </c>
      <c r="I2019" t="str">
        <f>VLOOKUP(Tabela2[[#This Row],[PAIS]],'[1]nome do paixs'!$A:$B,2,0)</f>
        <v>Estados Unidos</v>
      </c>
      <c r="J2019" t="s">
        <v>13</v>
      </c>
    </row>
    <row r="2020" spans="1:10">
      <c r="A2020">
        <v>2021</v>
      </c>
      <c r="B2020">
        <v>4</v>
      </c>
      <c r="C2020">
        <v>8803</v>
      </c>
      <c r="D2020">
        <v>249</v>
      </c>
      <c r="E2020" t="s">
        <v>10</v>
      </c>
      <c r="F2020">
        <v>3424402</v>
      </c>
      <c r="G2020" s="1">
        <v>65</v>
      </c>
      <c r="H2020" s="2">
        <v>26499</v>
      </c>
      <c r="I2020" t="str">
        <f>VLOOKUP(Tabela2[[#This Row],[PAIS]],'[1]nome do paixs'!$A:$B,2,0)</f>
        <v>Estados Unidos</v>
      </c>
      <c r="J2020" t="s">
        <v>13</v>
      </c>
    </row>
    <row r="2021" spans="1:10">
      <c r="A2021">
        <v>2021</v>
      </c>
      <c r="B2021">
        <v>11</v>
      </c>
      <c r="C2021">
        <v>8803</v>
      </c>
      <c r="D2021">
        <v>249</v>
      </c>
      <c r="E2021" t="s">
        <v>10</v>
      </c>
      <c r="F2021">
        <v>3424402</v>
      </c>
      <c r="G2021" s="1">
        <v>113</v>
      </c>
      <c r="H2021" s="2">
        <v>44812</v>
      </c>
      <c r="I2021" t="str">
        <f>VLOOKUP(Tabela2[[#This Row],[PAIS]],'[1]nome do paixs'!$A:$B,2,0)</f>
        <v>Estados Unidos</v>
      </c>
      <c r="J2021" t="s">
        <v>13</v>
      </c>
    </row>
    <row r="2022" spans="1:10">
      <c r="A2022">
        <v>2021</v>
      </c>
      <c r="B2022">
        <v>2</v>
      </c>
      <c r="C2022">
        <v>8803</v>
      </c>
      <c r="D2022">
        <v>249</v>
      </c>
      <c r="E2022" t="s">
        <v>10</v>
      </c>
      <c r="F2022">
        <v>3424402</v>
      </c>
      <c r="G2022" s="1">
        <v>62</v>
      </c>
      <c r="H2022" s="2">
        <v>27928</v>
      </c>
      <c r="I2022" t="str">
        <f>VLOOKUP(Tabela2[[#This Row],[PAIS]],'[1]nome do paixs'!$A:$B,2,0)</f>
        <v>Estados Unidos</v>
      </c>
      <c r="J2022" t="s">
        <v>13</v>
      </c>
    </row>
    <row r="2023" spans="1:10">
      <c r="A2023">
        <v>2021</v>
      </c>
      <c r="B2023">
        <v>5</v>
      </c>
      <c r="C2023">
        <v>8803</v>
      </c>
      <c r="D2023">
        <v>249</v>
      </c>
      <c r="E2023" t="s">
        <v>10</v>
      </c>
      <c r="F2023">
        <v>3424402</v>
      </c>
      <c r="G2023" s="1">
        <v>78</v>
      </c>
      <c r="H2023" s="2">
        <v>36868</v>
      </c>
      <c r="I2023" t="str">
        <f>VLOOKUP(Tabela2[[#This Row],[PAIS]],'[1]nome do paixs'!$A:$B,2,0)</f>
        <v>Estados Unidos</v>
      </c>
      <c r="J2023" t="s">
        <v>13</v>
      </c>
    </row>
    <row r="2024" spans="1:10">
      <c r="A2024">
        <v>2021</v>
      </c>
      <c r="B2024">
        <v>1</v>
      </c>
      <c r="C2024">
        <v>8803</v>
      </c>
      <c r="D2024">
        <v>275</v>
      </c>
      <c r="E2024" t="s">
        <v>10</v>
      </c>
      <c r="F2024">
        <v>3424402</v>
      </c>
      <c r="G2024" s="1">
        <v>2630</v>
      </c>
      <c r="H2024" s="2">
        <v>1786542</v>
      </c>
      <c r="I2024" t="str">
        <f>VLOOKUP(Tabela2[[#This Row],[PAIS]],'[1]nome do paixs'!$A:$B,2,0)</f>
        <v>França</v>
      </c>
      <c r="J2024" t="s">
        <v>13</v>
      </c>
    </row>
    <row r="2025" spans="1:10">
      <c r="A2025">
        <v>2021</v>
      </c>
      <c r="B2025">
        <v>1</v>
      </c>
      <c r="C2025">
        <v>8803</v>
      </c>
      <c r="D2025">
        <v>249</v>
      </c>
      <c r="E2025" t="s">
        <v>10</v>
      </c>
      <c r="F2025">
        <v>3424402</v>
      </c>
      <c r="G2025" s="1">
        <v>7</v>
      </c>
      <c r="H2025" s="2">
        <v>2442</v>
      </c>
      <c r="I2025" t="str">
        <f>VLOOKUP(Tabela2[[#This Row],[PAIS]],'[1]nome do paixs'!$A:$B,2,0)</f>
        <v>Estados Unidos</v>
      </c>
      <c r="J2025" t="s">
        <v>13</v>
      </c>
    </row>
    <row r="2026" spans="1:10">
      <c r="A2026">
        <v>2021</v>
      </c>
      <c r="B2026">
        <v>10</v>
      </c>
      <c r="C2026">
        <v>8803</v>
      </c>
      <c r="D2026">
        <v>249</v>
      </c>
      <c r="E2026" t="s">
        <v>10</v>
      </c>
      <c r="F2026">
        <v>3424402</v>
      </c>
      <c r="G2026" s="1">
        <v>69</v>
      </c>
      <c r="H2026" s="2">
        <v>26920</v>
      </c>
      <c r="I2026" t="str">
        <f>VLOOKUP(Tabela2[[#This Row],[PAIS]],'[1]nome do paixs'!$A:$B,2,0)</f>
        <v>Estados Unidos</v>
      </c>
      <c r="J2026" t="s">
        <v>13</v>
      </c>
    </row>
    <row r="2027" spans="1:10">
      <c r="A2027">
        <v>2021</v>
      </c>
      <c r="B2027">
        <v>12</v>
      </c>
      <c r="C2027">
        <v>8803</v>
      </c>
      <c r="D2027">
        <v>275</v>
      </c>
      <c r="E2027" t="s">
        <v>10</v>
      </c>
      <c r="F2027">
        <v>3424402</v>
      </c>
      <c r="G2027" s="1">
        <v>4344</v>
      </c>
      <c r="H2027" s="2">
        <v>3143041</v>
      </c>
      <c r="I2027" t="str">
        <f>VLOOKUP(Tabela2[[#This Row],[PAIS]],'[1]nome do paixs'!$A:$B,2,0)</f>
        <v>França</v>
      </c>
      <c r="J2027" t="s">
        <v>13</v>
      </c>
    </row>
    <row r="2028" spans="1:10">
      <c r="A2028">
        <v>2021</v>
      </c>
      <c r="B2028">
        <v>5</v>
      </c>
      <c r="C2028">
        <v>8803</v>
      </c>
      <c r="D2028">
        <v>275</v>
      </c>
      <c r="E2028" t="s">
        <v>10</v>
      </c>
      <c r="F2028">
        <v>3424402</v>
      </c>
      <c r="G2028" s="1">
        <v>3036</v>
      </c>
      <c r="H2028" s="2">
        <v>1611138</v>
      </c>
      <c r="I2028" t="str">
        <f>VLOOKUP(Tabela2[[#This Row],[PAIS]],'[1]nome do paixs'!$A:$B,2,0)</f>
        <v>França</v>
      </c>
      <c r="J2028" t="s">
        <v>13</v>
      </c>
    </row>
    <row r="2029" spans="1:10">
      <c r="A2029">
        <v>2021</v>
      </c>
      <c r="B2029">
        <v>8</v>
      </c>
      <c r="C2029">
        <v>8803</v>
      </c>
      <c r="D2029">
        <v>249</v>
      </c>
      <c r="E2029" t="s">
        <v>10</v>
      </c>
      <c r="F2029">
        <v>3424402</v>
      </c>
      <c r="G2029" s="1">
        <v>73</v>
      </c>
      <c r="H2029" s="2">
        <v>35401</v>
      </c>
      <c r="I2029" t="str">
        <f>VLOOKUP(Tabela2[[#This Row],[PAIS]],'[1]nome do paixs'!$A:$B,2,0)</f>
        <v>Estados Unidos</v>
      </c>
      <c r="J2029" t="s">
        <v>13</v>
      </c>
    </row>
    <row r="2030" spans="1:10">
      <c r="A2030">
        <v>2021</v>
      </c>
      <c r="B2030">
        <v>8</v>
      </c>
      <c r="C2030">
        <v>8803</v>
      </c>
      <c r="D2030">
        <v>275</v>
      </c>
      <c r="E2030" t="s">
        <v>10</v>
      </c>
      <c r="F2030">
        <v>3424402</v>
      </c>
      <c r="G2030" s="1">
        <v>5184</v>
      </c>
      <c r="H2030" s="2">
        <v>3151490</v>
      </c>
      <c r="I2030" t="str">
        <f>VLOOKUP(Tabela2[[#This Row],[PAIS]],'[1]nome do paixs'!$A:$B,2,0)</f>
        <v>França</v>
      </c>
      <c r="J2030" t="s">
        <v>13</v>
      </c>
    </row>
    <row r="2031" spans="1:10">
      <c r="A2031">
        <v>2021</v>
      </c>
      <c r="B2031">
        <v>11</v>
      </c>
      <c r="C2031">
        <v>8803</v>
      </c>
      <c r="D2031">
        <v>275</v>
      </c>
      <c r="E2031" t="s">
        <v>10</v>
      </c>
      <c r="F2031">
        <v>3424402</v>
      </c>
      <c r="G2031" s="1">
        <v>4038</v>
      </c>
      <c r="H2031" s="2">
        <v>2830730</v>
      </c>
      <c r="I2031" t="str">
        <f>VLOOKUP(Tabela2[[#This Row],[PAIS]],'[1]nome do paixs'!$A:$B,2,0)</f>
        <v>França</v>
      </c>
      <c r="J2031" t="s">
        <v>13</v>
      </c>
    </row>
    <row r="2032" spans="1:10">
      <c r="A2032">
        <v>2021</v>
      </c>
      <c r="B2032">
        <v>4</v>
      </c>
      <c r="C2032">
        <v>8803</v>
      </c>
      <c r="D2032">
        <v>275</v>
      </c>
      <c r="E2032" t="s">
        <v>10</v>
      </c>
      <c r="F2032">
        <v>3424402</v>
      </c>
      <c r="G2032" s="1">
        <v>3162</v>
      </c>
      <c r="H2032" s="2">
        <v>1782577</v>
      </c>
      <c r="I2032" t="str">
        <f>VLOOKUP(Tabela2[[#This Row],[PAIS]],'[1]nome do paixs'!$A:$B,2,0)</f>
        <v>França</v>
      </c>
      <c r="J2032" t="s">
        <v>13</v>
      </c>
    </row>
    <row r="2033" spans="1:10">
      <c r="A2033">
        <v>2021</v>
      </c>
      <c r="B2033">
        <v>9</v>
      </c>
      <c r="C2033">
        <v>8803</v>
      </c>
      <c r="D2033">
        <v>249</v>
      </c>
      <c r="E2033" t="s">
        <v>10</v>
      </c>
      <c r="F2033">
        <v>3424402</v>
      </c>
      <c r="G2033" s="1">
        <v>88</v>
      </c>
      <c r="H2033" s="2">
        <v>44774</v>
      </c>
      <c r="I2033" t="str">
        <f>VLOOKUP(Tabela2[[#This Row],[PAIS]],'[1]nome do paixs'!$A:$B,2,0)</f>
        <v>Estados Unidos</v>
      </c>
      <c r="J2033" t="s">
        <v>13</v>
      </c>
    </row>
    <row r="2034" spans="1:10">
      <c r="A2034">
        <v>2021</v>
      </c>
      <c r="B2034">
        <v>1</v>
      </c>
      <c r="C2034">
        <v>8803</v>
      </c>
      <c r="D2034">
        <v>791</v>
      </c>
      <c r="E2034" t="s">
        <v>10</v>
      </c>
      <c r="F2034">
        <v>3424402</v>
      </c>
      <c r="G2034" s="1">
        <v>15</v>
      </c>
      <c r="H2034" s="2">
        <v>30705</v>
      </c>
      <c r="I2034" t="str">
        <f>VLOOKUP(Tabela2[[#This Row],[PAIS]],'[1]nome do paixs'!$A:$B,2,0)</f>
        <v>Tcheca, República</v>
      </c>
      <c r="J2034" t="s">
        <v>13</v>
      </c>
    </row>
    <row r="2035" spans="1:10">
      <c r="A2035">
        <v>2021</v>
      </c>
      <c r="B2035">
        <v>10</v>
      </c>
      <c r="C2035">
        <v>8803</v>
      </c>
      <c r="D2035">
        <v>275</v>
      </c>
      <c r="E2035" t="s">
        <v>10</v>
      </c>
      <c r="F2035">
        <v>3424402</v>
      </c>
      <c r="G2035" s="1">
        <v>4548</v>
      </c>
      <c r="H2035" s="2">
        <v>3427719</v>
      </c>
      <c r="I2035" t="str">
        <f>VLOOKUP(Tabela2[[#This Row],[PAIS]],'[1]nome do paixs'!$A:$B,2,0)</f>
        <v>França</v>
      </c>
      <c r="J2035" t="s">
        <v>13</v>
      </c>
    </row>
    <row r="2036" spans="1:10">
      <c r="A2036">
        <v>2021</v>
      </c>
      <c r="B2036">
        <v>9</v>
      </c>
      <c r="C2036">
        <v>8803</v>
      </c>
      <c r="D2036">
        <v>275</v>
      </c>
      <c r="E2036" t="s">
        <v>10</v>
      </c>
      <c r="F2036">
        <v>3424402</v>
      </c>
      <c r="G2036" s="1">
        <v>5317</v>
      </c>
      <c r="H2036" s="2">
        <v>3310084</v>
      </c>
      <c r="I2036" t="str">
        <f>VLOOKUP(Tabela2[[#This Row],[PAIS]],'[1]nome do paixs'!$A:$B,2,0)</f>
        <v>França</v>
      </c>
      <c r="J2036" t="s">
        <v>13</v>
      </c>
    </row>
    <row r="2037" spans="1:10">
      <c r="A2037">
        <v>2021</v>
      </c>
      <c r="B2037">
        <v>3</v>
      </c>
      <c r="C2037">
        <v>8803</v>
      </c>
      <c r="D2037">
        <v>249</v>
      </c>
      <c r="E2037" t="s">
        <v>10</v>
      </c>
      <c r="F2037">
        <v>3424402</v>
      </c>
      <c r="G2037" s="1">
        <v>66</v>
      </c>
      <c r="H2037" s="2">
        <v>31314</v>
      </c>
      <c r="I2037" t="str">
        <f>VLOOKUP(Tabela2[[#This Row],[PAIS]],'[1]nome do paixs'!$A:$B,2,0)</f>
        <v>Estados Unidos</v>
      </c>
      <c r="J2037" t="s">
        <v>13</v>
      </c>
    </row>
    <row r="2038" spans="1:10">
      <c r="A2038">
        <v>2021</v>
      </c>
      <c r="B2038">
        <v>6</v>
      </c>
      <c r="C2038">
        <v>8803</v>
      </c>
      <c r="D2038">
        <v>249</v>
      </c>
      <c r="E2038" t="s">
        <v>10</v>
      </c>
      <c r="F2038">
        <v>3424402</v>
      </c>
      <c r="G2038" s="1">
        <v>28</v>
      </c>
      <c r="H2038" s="2">
        <v>21243</v>
      </c>
      <c r="I2038" t="str">
        <f>VLOOKUP(Tabela2[[#This Row],[PAIS]],'[1]nome do paixs'!$A:$B,2,0)</f>
        <v>Estados Unidos</v>
      </c>
      <c r="J2038" t="s">
        <v>13</v>
      </c>
    </row>
    <row r="2039" spans="1:10">
      <c r="A2039">
        <v>2021</v>
      </c>
      <c r="B2039">
        <v>3</v>
      </c>
      <c r="C2039">
        <v>8803</v>
      </c>
      <c r="D2039">
        <v>275</v>
      </c>
      <c r="E2039" t="s">
        <v>10</v>
      </c>
      <c r="F2039">
        <v>3424402</v>
      </c>
      <c r="G2039" s="1">
        <v>3696</v>
      </c>
      <c r="H2039" s="2">
        <v>2033926</v>
      </c>
      <c r="I2039" t="str">
        <f>VLOOKUP(Tabela2[[#This Row],[PAIS]],'[1]nome do paixs'!$A:$B,2,0)</f>
        <v>França</v>
      </c>
      <c r="J2039" t="s">
        <v>13</v>
      </c>
    </row>
    <row r="2040" spans="1:10">
      <c r="A2040">
        <v>2021</v>
      </c>
      <c r="B2040">
        <v>7</v>
      </c>
      <c r="C2040">
        <v>8803</v>
      </c>
      <c r="D2040">
        <v>275</v>
      </c>
      <c r="E2040" t="s">
        <v>10</v>
      </c>
      <c r="F2040">
        <v>3424402</v>
      </c>
      <c r="G2040" s="1">
        <v>5574</v>
      </c>
      <c r="H2040" s="2">
        <v>3592721</v>
      </c>
      <c r="I2040" t="str">
        <f>VLOOKUP(Tabela2[[#This Row],[PAIS]],'[1]nome do paixs'!$A:$B,2,0)</f>
        <v>França</v>
      </c>
      <c r="J2040" t="s">
        <v>13</v>
      </c>
    </row>
    <row r="2041" spans="1:10">
      <c r="A2041">
        <v>2021</v>
      </c>
      <c r="B2041">
        <v>6</v>
      </c>
      <c r="C2041">
        <v>8803</v>
      </c>
      <c r="D2041">
        <v>275</v>
      </c>
      <c r="E2041" t="s">
        <v>10</v>
      </c>
      <c r="F2041">
        <v>3424402</v>
      </c>
      <c r="G2041" s="1">
        <v>4756</v>
      </c>
      <c r="H2041" s="2">
        <v>3633193</v>
      </c>
      <c r="I2041" t="str">
        <f>VLOOKUP(Tabela2[[#This Row],[PAIS]],'[1]nome do paixs'!$A:$B,2,0)</f>
        <v>França</v>
      </c>
      <c r="J2041" t="s">
        <v>13</v>
      </c>
    </row>
    <row r="2042" spans="1:10">
      <c r="A2042">
        <v>2021</v>
      </c>
      <c r="B2042">
        <v>12</v>
      </c>
      <c r="C2042">
        <v>8803</v>
      </c>
      <c r="D2042">
        <v>249</v>
      </c>
      <c r="E2042" t="s">
        <v>10</v>
      </c>
      <c r="F2042">
        <v>3424402</v>
      </c>
      <c r="G2042" s="1">
        <v>164</v>
      </c>
      <c r="H2042" s="2">
        <v>77627</v>
      </c>
      <c r="I2042" t="str">
        <f>VLOOKUP(Tabela2[[#This Row],[PAIS]],'[1]nome do paixs'!$A:$B,2,0)</f>
        <v>Estados Unidos</v>
      </c>
      <c r="J2042" t="s">
        <v>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Víctor</dc:creator>
  <cp:keywords/>
  <dc:description/>
  <cp:lastModifiedBy>GABRIEL GONCALVES DE BARROS</cp:lastModifiedBy>
  <cp:revision/>
  <dcterms:created xsi:type="dcterms:W3CDTF">2025-09-30T18:37:00Z</dcterms:created>
  <dcterms:modified xsi:type="dcterms:W3CDTF">2025-10-04T00:17:38Z</dcterms:modified>
  <cp:category/>
  <cp:contentStatus/>
</cp:coreProperties>
</file>